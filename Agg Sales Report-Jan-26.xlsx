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Day\New-Day\Jan-2026\"/>
    </mc:Choice>
  </mc:AlternateContent>
  <xr:revisionPtr revIDLastSave="0" documentId="13_ncr:1_{B649E927-CF66-48EA-8FE2-A470DF7952F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ales-Report" sheetId="2" r:id="rId1"/>
  </sheets>
  <definedNames>
    <definedName name="_xlnm._FilterDatabase" localSheetId="0" hidden="1">'Sales-Report'!$A$3:$AL$1072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72" i="2" l="1"/>
  <c r="Z1072" i="2" s="1"/>
  <c r="P1071" i="2"/>
  <c r="R1071" i="2" s="1"/>
  <c r="P1070" i="2"/>
  <c r="Z1070" i="2" s="1"/>
  <c r="P1069" i="2"/>
  <c r="Z1069" i="2" s="1"/>
  <c r="P1068" i="2"/>
  <c r="R1068" i="2" s="1"/>
  <c r="P1067" i="2"/>
  <c r="Z1067" i="2" s="1"/>
  <c r="P1066" i="2"/>
  <c r="X1066" i="2" s="1"/>
  <c r="P1065" i="2"/>
  <c r="Z1065" i="2" s="1"/>
  <c r="P1064" i="2"/>
  <c r="X1064" i="2" s="1"/>
  <c r="Z1063" i="2"/>
  <c r="P1063" i="2"/>
  <c r="R1063" i="2" s="1"/>
  <c r="P1062" i="2"/>
  <c r="Z1062" i="2" s="1"/>
  <c r="P1061" i="2"/>
  <c r="Z1061" i="2" s="1"/>
  <c r="P1060" i="2"/>
  <c r="R1060" i="2" s="1"/>
  <c r="P1059" i="2"/>
  <c r="Z1059" i="2" s="1"/>
  <c r="P1058" i="2"/>
  <c r="X1058" i="2" s="1"/>
  <c r="P1057" i="2"/>
  <c r="Z1057" i="2" s="1"/>
  <c r="P1056" i="2"/>
  <c r="X1056" i="2" s="1"/>
  <c r="P1055" i="2"/>
  <c r="R1055" i="2" s="1"/>
  <c r="P1054" i="2"/>
  <c r="R1054" i="2" s="1"/>
  <c r="P1053" i="2"/>
  <c r="Z1053" i="2" s="1"/>
  <c r="Z1052" i="2"/>
  <c r="X1052" i="2"/>
  <c r="P1052" i="2"/>
  <c r="R1052" i="2" s="1"/>
  <c r="P1051" i="2"/>
  <c r="Z1051" i="2" s="1"/>
  <c r="P1050" i="2"/>
  <c r="X1050" i="2" s="1"/>
  <c r="P1049" i="2"/>
  <c r="Z1049" i="2" s="1"/>
  <c r="P1048" i="2"/>
  <c r="X1048" i="2" s="1"/>
  <c r="P1047" i="2"/>
  <c r="Z1047" i="2" s="1"/>
  <c r="P1046" i="2"/>
  <c r="R1046" i="2" s="1"/>
  <c r="P1045" i="2"/>
  <c r="Z1045" i="2" s="1"/>
  <c r="P1044" i="2"/>
  <c r="Z1044" i="2" s="1"/>
  <c r="P1043" i="2"/>
  <c r="Z1043" i="2" s="1"/>
  <c r="P1042" i="2"/>
  <c r="Z1042" i="2" s="1"/>
  <c r="P1041" i="2"/>
  <c r="Z1041" i="2" s="1"/>
  <c r="P1040" i="2"/>
  <c r="Z1040" i="2" s="1"/>
  <c r="P1039" i="2"/>
  <c r="Z1039" i="2" s="1"/>
  <c r="P1038" i="2"/>
  <c r="R1038" i="2" s="1"/>
  <c r="P1037" i="2"/>
  <c r="X1037" i="2" s="1"/>
  <c r="P1036" i="2"/>
  <c r="Z1036" i="2" s="1"/>
  <c r="R1035" i="2"/>
  <c r="P1035" i="2"/>
  <c r="Z1035" i="2" s="1"/>
  <c r="P1034" i="2"/>
  <c r="Z1034" i="2" s="1"/>
  <c r="P1033" i="2"/>
  <c r="X1033" i="2" s="1"/>
  <c r="P1032" i="2"/>
  <c r="Z1032" i="2" s="1"/>
  <c r="P1031" i="2"/>
  <c r="Z1031" i="2" s="1"/>
  <c r="P1030" i="2"/>
  <c r="R1030" i="2" s="1"/>
  <c r="P1029" i="2"/>
  <c r="X1029" i="2" s="1"/>
  <c r="P1028" i="2"/>
  <c r="Z1028" i="2" s="1"/>
  <c r="P1027" i="2"/>
  <c r="Z1027" i="2" s="1"/>
  <c r="X1026" i="2"/>
  <c r="P1026" i="2"/>
  <c r="R1026" i="2" s="1"/>
  <c r="P1025" i="2"/>
  <c r="X1025" i="2" s="1"/>
  <c r="P1024" i="2"/>
  <c r="Z1024" i="2" s="1"/>
  <c r="P1023" i="2"/>
  <c r="Z1023" i="2" s="1"/>
  <c r="Z1022" i="2"/>
  <c r="P1022" i="2"/>
  <c r="R1022" i="2" s="1"/>
  <c r="P1021" i="2"/>
  <c r="X1021" i="2" s="1"/>
  <c r="P1020" i="2"/>
  <c r="Z1020" i="2" s="1"/>
  <c r="P1019" i="2"/>
  <c r="Z1019" i="2" s="1"/>
  <c r="P1018" i="2"/>
  <c r="R1018" i="2" s="1"/>
  <c r="P1017" i="2"/>
  <c r="X1017" i="2" s="1"/>
  <c r="P1016" i="2"/>
  <c r="Z1016" i="2" s="1"/>
  <c r="P1015" i="2"/>
  <c r="Z1015" i="2" s="1"/>
  <c r="P1014" i="2"/>
  <c r="R1014" i="2" s="1"/>
  <c r="P1013" i="2"/>
  <c r="X1013" i="2" s="1"/>
  <c r="P1012" i="2"/>
  <c r="Z1012" i="2" s="1"/>
  <c r="X1011" i="2"/>
  <c r="P1011" i="2"/>
  <c r="Z1011" i="2" s="1"/>
  <c r="P1010" i="2"/>
  <c r="R1010" i="2" s="1"/>
  <c r="P1009" i="2"/>
  <c r="X1009" i="2" s="1"/>
  <c r="P1008" i="2"/>
  <c r="Z1008" i="2" s="1"/>
  <c r="P1007" i="2"/>
  <c r="Z1007" i="2" s="1"/>
  <c r="P1006" i="2"/>
  <c r="R1006" i="2" s="1"/>
  <c r="P1005" i="2"/>
  <c r="Z1005" i="2" s="1"/>
  <c r="P1004" i="2"/>
  <c r="Z1004" i="2" s="1"/>
  <c r="P1003" i="2"/>
  <c r="Z1003" i="2" s="1"/>
  <c r="P1002" i="2"/>
  <c r="Z1002" i="2" s="1"/>
  <c r="P1001" i="2"/>
  <c r="Z1001" i="2" s="1"/>
  <c r="P1000" i="2"/>
  <c r="X1000" i="2" s="1"/>
  <c r="P999" i="2"/>
  <c r="X999" i="2" s="1"/>
  <c r="P998" i="2"/>
  <c r="R998" i="2" s="1"/>
  <c r="P997" i="2"/>
  <c r="Z997" i="2" s="1"/>
  <c r="P996" i="2"/>
  <c r="Z996" i="2" s="1"/>
  <c r="P995" i="2"/>
  <c r="Z995" i="2" s="1"/>
  <c r="P994" i="2"/>
  <c r="Z994" i="2" s="1"/>
  <c r="P993" i="2"/>
  <c r="Z993" i="2" s="1"/>
  <c r="P992" i="2"/>
  <c r="X992" i="2" s="1"/>
  <c r="P991" i="2"/>
  <c r="X991" i="2" s="1"/>
  <c r="P990" i="2"/>
  <c r="R990" i="2" s="1"/>
  <c r="P989" i="2"/>
  <c r="Z989" i="2" s="1"/>
  <c r="P988" i="2"/>
  <c r="Z988" i="2" s="1"/>
  <c r="P987" i="2"/>
  <c r="Z987" i="2" s="1"/>
  <c r="P986" i="2"/>
  <c r="Z986" i="2" s="1"/>
  <c r="P985" i="2"/>
  <c r="Z985" i="2" s="1"/>
  <c r="P984" i="2"/>
  <c r="X984" i="2" s="1"/>
  <c r="P983" i="2"/>
  <c r="X983" i="2" s="1"/>
  <c r="P982" i="2"/>
  <c r="R982" i="2" s="1"/>
  <c r="P981" i="2"/>
  <c r="Z981" i="2" s="1"/>
  <c r="P980" i="2"/>
  <c r="Z980" i="2" s="1"/>
  <c r="P979" i="2"/>
  <c r="Z979" i="2" s="1"/>
  <c r="P978" i="2"/>
  <c r="Z978" i="2" s="1"/>
  <c r="P977" i="2"/>
  <c r="R977" i="2" s="1"/>
  <c r="P976" i="2"/>
  <c r="Z976" i="2" s="1"/>
  <c r="P975" i="2"/>
  <c r="R975" i="2" s="1"/>
  <c r="P974" i="2"/>
  <c r="R974" i="2" s="1"/>
  <c r="P973" i="2"/>
  <c r="Z973" i="2" s="1"/>
  <c r="P972" i="2"/>
  <c r="Z972" i="2" s="1"/>
  <c r="P971" i="2"/>
  <c r="Z971" i="2" s="1"/>
  <c r="P970" i="2"/>
  <c r="X970" i="2" s="1"/>
  <c r="P969" i="2"/>
  <c r="X969" i="2" s="1"/>
  <c r="P968" i="2"/>
  <c r="Z968" i="2" s="1"/>
  <c r="P967" i="2"/>
  <c r="R967" i="2" s="1"/>
  <c r="P966" i="2"/>
  <c r="R966" i="2" s="1"/>
  <c r="P965" i="2"/>
  <c r="Z965" i="2" s="1"/>
  <c r="P964" i="2"/>
  <c r="Z964" i="2" s="1"/>
  <c r="P963" i="2"/>
  <c r="Z963" i="2" s="1"/>
  <c r="P962" i="2"/>
  <c r="X962" i="2" s="1"/>
  <c r="P961" i="2"/>
  <c r="Z961" i="2" s="1"/>
  <c r="P960" i="2"/>
  <c r="Z960" i="2" s="1"/>
  <c r="P959" i="2"/>
  <c r="X959" i="2" s="1"/>
  <c r="P958" i="2"/>
  <c r="Z958" i="2" s="1"/>
  <c r="P957" i="2"/>
  <c r="R957" i="2" s="1"/>
  <c r="P956" i="2"/>
  <c r="R956" i="2" s="1"/>
  <c r="P955" i="2"/>
  <c r="Z955" i="2" s="1"/>
  <c r="P954" i="2"/>
  <c r="R954" i="2" s="1"/>
  <c r="P953" i="2"/>
  <c r="Z953" i="2" s="1"/>
  <c r="P952" i="2"/>
  <c r="X952" i="2" s="1"/>
  <c r="P951" i="2"/>
  <c r="X951" i="2" s="1"/>
  <c r="P950" i="2"/>
  <c r="Z950" i="2" s="1"/>
  <c r="P949" i="2"/>
  <c r="R949" i="2" s="1"/>
  <c r="P948" i="2"/>
  <c r="R948" i="2" s="1"/>
  <c r="P947" i="2"/>
  <c r="Z947" i="2" s="1"/>
  <c r="P946" i="2"/>
  <c r="Z946" i="2" s="1"/>
  <c r="P945" i="2"/>
  <c r="Z945" i="2" s="1"/>
  <c r="P944" i="2"/>
  <c r="X944" i="2" s="1"/>
  <c r="P943" i="2"/>
  <c r="Z943" i="2" s="1"/>
  <c r="P942" i="2"/>
  <c r="Z942" i="2" s="1"/>
  <c r="P941" i="2"/>
  <c r="X941" i="2" s="1"/>
  <c r="P940" i="2"/>
  <c r="Z940" i="2" s="1"/>
  <c r="P939" i="2"/>
  <c r="Z939" i="2" s="1"/>
  <c r="P938" i="2"/>
  <c r="R938" i="2" s="1"/>
  <c r="P937" i="2"/>
  <c r="Z937" i="2" s="1"/>
  <c r="P936" i="2"/>
  <c r="X936" i="2" s="1"/>
  <c r="P935" i="2"/>
  <c r="X935" i="2" s="1"/>
  <c r="G2" i="2"/>
  <c r="P934" i="2"/>
  <c r="Z934" i="2" s="1"/>
  <c r="P933" i="2"/>
  <c r="Z933" i="2" s="1"/>
  <c r="P932" i="2"/>
  <c r="Z932" i="2" s="1"/>
  <c r="P931" i="2"/>
  <c r="X931" i="2" s="1"/>
  <c r="P930" i="2"/>
  <c r="Z930" i="2" s="1"/>
  <c r="P929" i="2"/>
  <c r="Z929" i="2" s="1"/>
  <c r="P928" i="2"/>
  <c r="Z928" i="2" s="1"/>
  <c r="P927" i="2"/>
  <c r="Z927" i="2" s="1"/>
  <c r="P926" i="2"/>
  <c r="Z926" i="2" s="1"/>
  <c r="P925" i="2"/>
  <c r="Z925" i="2" s="1"/>
  <c r="P924" i="2"/>
  <c r="Z924" i="2" s="1"/>
  <c r="P923" i="2"/>
  <c r="R923" i="2" s="1"/>
  <c r="P922" i="2"/>
  <c r="Z922" i="2" s="1"/>
  <c r="P921" i="2"/>
  <c r="Z921" i="2" s="1"/>
  <c r="P920" i="2"/>
  <c r="Z920" i="2" s="1"/>
  <c r="P919" i="2"/>
  <c r="Z919" i="2" s="1"/>
  <c r="P918" i="2"/>
  <c r="Z918" i="2" s="1"/>
  <c r="P917" i="2"/>
  <c r="R917" i="2" s="1"/>
  <c r="P916" i="2"/>
  <c r="Z916" i="2" s="1"/>
  <c r="P915" i="2"/>
  <c r="Z915" i="2" s="1"/>
  <c r="P914" i="2"/>
  <c r="Z914" i="2" s="1"/>
  <c r="P913" i="2"/>
  <c r="Z913" i="2" s="1"/>
  <c r="P912" i="2"/>
  <c r="X912" i="2" s="1"/>
  <c r="P911" i="2"/>
  <c r="Z911" i="2" s="1"/>
  <c r="P910" i="2"/>
  <c r="Z910" i="2" s="1"/>
  <c r="P909" i="2"/>
  <c r="R909" i="2" s="1"/>
  <c r="P908" i="2"/>
  <c r="Z908" i="2" s="1"/>
  <c r="P907" i="2"/>
  <c r="R907" i="2" s="1"/>
  <c r="P906" i="2"/>
  <c r="Z906" i="2" s="1"/>
  <c r="P905" i="2"/>
  <c r="Z905" i="2" s="1"/>
  <c r="P904" i="2"/>
  <c r="Z904" i="2" s="1"/>
  <c r="P903" i="2"/>
  <c r="X903" i="2" s="1"/>
  <c r="P902" i="2"/>
  <c r="X902" i="2" s="1"/>
  <c r="P901" i="2"/>
  <c r="Z901" i="2" s="1"/>
  <c r="P900" i="2"/>
  <c r="Z900" i="2" s="1"/>
  <c r="P899" i="2"/>
  <c r="R899" i="2" s="1"/>
  <c r="P898" i="2"/>
  <c r="Z898" i="2" s="1"/>
  <c r="X897" i="2"/>
  <c r="P897" i="2"/>
  <c r="Z897" i="2" s="1"/>
  <c r="P896" i="2"/>
  <c r="X896" i="2" s="1"/>
  <c r="P895" i="2"/>
  <c r="X895" i="2" s="1"/>
  <c r="P894" i="2"/>
  <c r="X894" i="2" s="1"/>
  <c r="P893" i="2"/>
  <c r="X893" i="2" s="1"/>
  <c r="P892" i="2"/>
  <c r="Z892" i="2" s="1"/>
  <c r="P891" i="2"/>
  <c r="R891" i="2" s="1"/>
  <c r="P890" i="2"/>
  <c r="Z890" i="2" s="1"/>
  <c r="P889" i="2"/>
  <c r="Z889" i="2" s="1"/>
  <c r="P888" i="2"/>
  <c r="Z888" i="2" s="1"/>
  <c r="P887" i="2"/>
  <c r="X887" i="2" s="1"/>
  <c r="P886" i="2"/>
  <c r="X886" i="2" s="1"/>
  <c r="P885" i="2"/>
  <c r="Z885" i="2" s="1"/>
  <c r="P884" i="2"/>
  <c r="Z884" i="2" s="1"/>
  <c r="P883" i="2"/>
  <c r="R883" i="2" s="1"/>
  <c r="P882" i="2"/>
  <c r="Z882" i="2" s="1"/>
  <c r="P881" i="2"/>
  <c r="Z881" i="2" s="1"/>
  <c r="P880" i="2"/>
  <c r="Z880" i="2" s="1"/>
  <c r="P879" i="2"/>
  <c r="X879" i="2" s="1"/>
  <c r="P878" i="2"/>
  <c r="X878" i="2" s="1"/>
  <c r="P877" i="2"/>
  <c r="X877" i="2" s="1"/>
  <c r="P876" i="2"/>
  <c r="R876" i="2" s="1"/>
  <c r="P875" i="2"/>
  <c r="R875" i="2" s="1"/>
  <c r="P874" i="2"/>
  <c r="Z874" i="2" s="1"/>
  <c r="P873" i="2"/>
  <c r="Z873" i="2" s="1"/>
  <c r="P872" i="2"/>
  <c r="Z872" i="2" s="1"/>
  <c r="P871" i="2"/>
  <c r="Z871" i="2" s="1"/>
  <c r="P870" i="2"/>
  <c r="X870" i="2" s="1"/>
  <c r="P869" i="2"/>
  <c r="Z869" i="2" s="1"/>
  <c r="P868" i="2"/>
  <c r="Z868" i="2" s="1"/>
  <c r="P867" i="2"/>
  <c r="R867" i="2" s="1"/>
  <c r="P866" i="2"/>
  <c r="Z866" i="2" s="1"/>
  <c r="P865" i="2"/>
  <c r="Z865" i="2" s="1"/>
  <c r="P864" i="2"/>
  <c r="R864" i="2" s="1"/>
  <c r="P863" i="2"/>
  <c r="Z863" i="2" s="1"/>
  <c r="P862" i="2"/>
  <c r="X862" i="2" s="1"/>
  <c r="P861" i="2"/>
  <c r="Z861" i="2" s="1"/>
  <c r="P860" i="2"/>
  <c r="Z860" i="2" s="1"/>
  <c r="P859" i="2"/>
  <c r="R859" i="2" s="1"/>
  <c r="P858" i="2"/>
  <c r="X858" i="2" s="1"/>
  <c r="P857" i="2"/>
  <c r="Z857" i="2" s="1"/>
  <c r="P856" i="2"/>
  <c r="R856" i="2" s="1"/>
  <c r="P855" i="2"/>
  <c r="R855" i="2" s="1"/>
  <c r="P854" i="2"/>
  <c r="X854" i="2" s="1"/>
  <c r="P853" i="2"/>
  <c r="R853" i="2" s="1"/>
  <c r="P852" i="2"/>
  <c r="Z852" i="2" s="1"/>
  <c r="P851" i="2"/>
  <c r="R851" i="2" s="1"/>
  <c r="P850" i="2"/>
  <c r="R850" i="2" s="1"/>
  <c r="P849" i="2"/>
  <c r="Z849" i="2" s="1"/>
  <c r="P848" i="2"/>
  <c r="R848" i="2" s="1"/>
  <c r="P847" i="2"/>
  <c r="Z847" i="2" s="1"/>
  <c r="P846" i="2"/>
  <c r="X846" i="2" s="1"/>
  <c r="P845" i="2"/>
  <c r="Z845" i="2" s="1"/>
  <c r="P844" i="2"/>
  <c r="Z844" i="2" s="1"/>
  <c r="P843" i="2"/>
  <c r="R843" i="2" s="1"/>
  <c r="P842" i="2"/>
  <c r="Z842" i="2" s="1"/>
  <c r="P841" i="2"/>
  <c r="Z841" i="2" s="1"/>
  <c r="Z875" i="2" l="1"/>
  <c r="R1023" i="2"/>
  <c r="Z1033" i="2"/>
  <c r="Z1013" i="2"/>
  <c r="X1023" i="2"/>
  <c r="R1047" i="2"/>
  <c r="AA1047" i="2" s="1"/>
  <c r="Z1048" i="2"/>
  <c r="AA1048" i="2" s="1"/>
  <c r="R1034" i="2"/>
  <c r="Z1064" i="2"/>
  <c r="X1002" i="2"/>
  <c r="X1034" i="2"/>
  <c r="R1043" i="2"/>
  <c r="R1058" i="2"/>
  <c r="Z949" i="2"/>
  <c r="R1015" i="2"/>
  <c r="Z1025" i="2"/>
  <c r="Z1030" i="2"/>
  <c r="X1039" i="2"/>
  <c r="X1043" i="2"/>
  <c r="Z1056" i="2"/>
  <c r="R1065" i="2"/>
  <c r="R1041" i="2"/>
  <c r="X1018" i="2"/>
  <c r="AA1018" i="2" s="1"/>
  <c r="R1027" i="2"/>
  <c r="AA1027" i="2" s="1"/>
  <c r="R1064" i="2"/>
  <c r="Z1037" i="2"/>
  <c r="X1042" i="2"/>
  <c r="X978" i="2"/>
  <c r="X1019" i="2"/>
  <c r="X1060" i="2"/>
  <c r="AA1060" i="2" s="1"/>
  <c r="Z1009" i="2"/>
  <c r="X1065" i="2"/>
  <c r="AA1065" i="2" s="1"/>
  <c r="X1072" i="2"/>
  <c r="X869" i="2"/>
  <c r="X1010" i="2"/>
  <c r="Z1017" i="2"/>
  <c r="X1027" i="2"/>
  <c r="R1031" i="2"/>
  <c r="AA1031" i="2" s="1"/>
  <c r="X1038" i="2"/>
  <c r="AA1038" i="2" s="1"/>
  <c r="X1041" i="2"/>
  <c r="R1049" i="2"/>
  <c r="R1057" i="2"/>
  <c r="AA1057" i="2" s="1"/>
  <c r="Z1060" i="2"/>
  <c r="X1068" i="2"/>
  <c r="X856" i="2"/>
  <c r="AA856" i="2" s="1"/>
  <c r="Z938" i="2"/>
  <c r="Z1010" i="2"/>
  <c r="X1014" i="2"/>
  <c r="AA1014" i="2" s="1"/>
  <c r="Z1021" i="2"/>
  <c r="X1031" i="2"/>
  <c r="Z1038" i="2"/>
  <c r="X1049" i="2"/>
  <c r="X1057" i="2"/>
  <c r="Z1068" i="2"/>
  <c r="AA1068" i="2" s="1"/>
  <c r="AA1010" i="2"/>
  <c r="Z856" i="2"/>
  <c r="Z1014" i="2"/>
  <c r="R1011" i="2"/>
  <c r="Z1018" i="2"/>
  <c r="X1022" i="2"/>
  <c r="AA1022" i="2" s="1"/>
  <c r="Z1029" i="2"/>
  <c r="X1035" i="2"/>
  <c r="AA1035" i="2" s="1"/>
  <c r="R1039" i="2"/>
  <c r="R1042" i="2"/>
  <c r="R1050" i="2"/>
  <c r="Z1055" i="2"/>
  <c r="X949" i="2"/>
  <c r="R1002" i="2"/>
  <c r="AA1002" i="2" s="1"/>
  <c r="X1015" i="2"/>
  <c r="R1019" i="2"/>
  <c r="AA1019" i="2" s="1"/>
  <c r="Z1026" i="2"/>
  <c r="AA1026" i="2" s="1"/>
  <c r="X1030" i="2"/>
  <c r="AA1030" i="2" s="1"/>
  <c r="X1047" i="2"/>
  <c r="R1048" i="2"/>
  <c r="R1056" i="2"/>
  <c r="R1066" i="2"/>
  <c r="AA1023" i="2"/>
  <c r="AA1034" i="2"/>
  <c r="AA1043" i="2"/>
  <c r="AA1052" i="2"/>
  <c r="AA1064" i="2"/>
  <c r="X1061" i="2"/>
  <c r="X1069" i="2"/>
  <c r="Z1050" i="2"/>
  <c r="AA1050" i="2" s="1"/>
  <c r="X1055" i="2"/>
  <c r="AA1055" i="2" s="1"/>
  <c r="Z1058" i="2"/>
  <c r="X1063" i="2"/>
  <c r="AA1063" i="2" s="1"/>
  <c r="Z1066" i="2"/>
  <c r="X1071" i="2"/>
  <c r="AA1071" i="2" s="1"/>
  <c r="Z1071" i="2"/>
  <c r="R1051" i="2"/>
  <c r="X1054" i="2"/>
  <c r="R1059" i="2"/>
  <c r="X1062" i="2"/>
  <c r="R1067" i="2"/>
  <c r="X1070" i="2"/>
  <c r="R1072" i="2"/>
  <c r="AA1072" i="2" s="1"/>
  <c r="R1062" i="2"/>
  <c r="R1070" i="2"/>
  <c r="X1051" i="2"/>
  <c r="Z1054" i="2"/>
  <c r="X1059" i="2"/>
  <c r="X1067" i="2"/>
  <c r="R1053" i="2"/>
  <c r="R1061" i="2"/>
  <c r="R1069" i="2"/>
  <c r="X1053" i="2"/>
  <c r="X1046" i="2"/>
  <c r="Z1046" i="2"/>
  <c r="R1045" i="2"/>
  <c r="X1045" i="2"/>
  <c r="R1044" i="2"/>
  <c r="AA1044" i="2" s="1"/>
  <c r="X1044" i="2"/>
  <c r="AA1011" i="2"/>
  <c r="AA1039" i="2"/>
  <c r="AA1015" i="2"/>
  <c r="R1009" i="2"/>
  <c r="X1012" i="2"/>
  <c r="R1017" i="2"/>
  <c r="X1020" i="2"/>
  <c r="R1025" i="2"/>
  <c r="X1028" i="2"/>
  <c r="R1033" i="2"/>
  <c r="AA1033" i="2" s="1"/>
  <c r="X1036" i="2"/>
  <c r="R1012" i="2"/>
  <c r="R1020" i="2"/>
  <c r="R1028" i="2"/>
  <c r="R1036" i="2"/>
  <c r="R1040" i="2"/>
  <c r="R1008" i="2"/>
  <c r="R1016" i="2"/>
  <c r="R1024" i="2"/>
  <c r="R1032" i="2"/>
  <c r="X1008" i="2"/>
  <c r="R1013" i="2"/>
  <c r="X1016" i="2"/>
  <c r="R1021" i="2"/>
  <c r="X1024" i="2"/>
  <c r="R1029" i="2"/>
  <c r="AA1029" i="2" s="1"/>
  <c r="X1032" i="2"/>
  <c r="R1037" i="2"/>
  <c r="AA1037" i="2" s="1"/>
  <c r="X1040" i="2"/>
  <c r="X843" i="2"/>
  <c r="Z917" i="2"/>
  <c r="X904" i="2"/>
  <c r="R892" i="2"/>
  <c r="Z936" i="2"/>
  <c r="R995" i="2"/>
  <c r="X848" i="2"/>
  <c r="X892" i="2"/>
  <c r="X977" i="2"/>
  <c r="AA977" i="2" s="1"/>
  <c r="R845" i="2"/>
  <c r="Z848" i="2"/>
  <c r="Z879" i="2"/>
  <c r="X900" i="2"/>
  <c r="R920" i="2"/>
  <c r="R947" i="2"/>
  <c r="Z977" i="2"/>
  <c r="X1001" i="2"/>
  <c r="Z846" i="2"/>
  <c r="R921" i="2"/>
  <c r="Z843" i="2"/>
  <c r="R896" i="2"/>
  <c r="AA896" i="2" s="1"/>
  <c r="X957" i="2"/>
  <c r="Z899" i="2"/>
  <c r="Z941" i="2"/>
  <c r="Z957" i="2"/>
  <c r="Z970" i="2"/>
  <c r="X988" i="2"/>
  <c r="Z896" i="2"/>
  <c r="X905" i="2"/>
  <c r="Z923" i="2"/>
  <c r="X964" i="2"/>
  <c r="X995" i="2"/>
  <c r="R1001" i="2"/>
  <c r="AA1001" i="2" s="1"/>
  <c r="X845" i="2"/>
  <c r="X875" i="2"/>
  <c r="R897" i="2"/>
  <c r="AA897" i="2" s="1"/>
  <c r="X920" i="2"/>
  <c r="X938" i="2"/>
  <c r="X972" i="2"/>
  <c r="Z984" i="2"/>
  <c r="Z876" i="2"/>
  <c r="R946" i="2"/>
  <c r="Z962" i="2"/>
  <c r="Z999" i="2"/>
  <c r="X899" i="2"/>
  <c r="X946" i="2"/>
  <c r="X1003" i="2"/>
  <c r="Z867" i="2"/>
  <c r="X853" i="2"/>
  <c r="R861" i="2"/>
  <c r="X864" i="2"/>
  <c r="R872" i="2"/>
  <c r="R880" i="2"/>
  <c r="AA880" i="2" s="1"/>
  <c r="X883" i="2"/>
  <c r="X889" i="2"/>
  <c r="Z912" i="2"/>
  <c r="R924" i="2"/>
  <c r="AA924" i="2" s="1"/>
  <c r="R928" i="2"/>
  <c r="X942" i="2"/>
  <c r="X954" i="2"/>
  <c r="X967" i="2"/>
  <c r="X975" i="2"/>
  <c r="R985" i="2"/>
  <c r="X987" i="2"/>
  <c r="X994" i="2"/>
  <c r="X1004" i="2"/>
  <c r="Z853" i="2"/>
  <c r="X861" i="2"/>
  <c r="Z864" i="2"/>
  <c r="R869" i="2"/>
  <c r="X872" i="2"/>
  <c r="X876" i="2"/>
  <c r="X880" i="2"/>
  <c r="Z883" i="2"/>
  <c r="Z887" i="2"/>
  <c r="R900" i="2"/>
  <c r="R904" i="2"/>
  <c r="AA904" i="2" s="1"/>
  <c r="X917" i="2"/>
  <c r="X924" i="2"/>
  <c r="X928" i="2"/>
  <c r="R932" i="2"/>
  <c r="R939" i="2"/>
  <c r="X950" i="2"/>
  <c r="Z954" i="2"/>
  <c r="X958" i="2"/>
  <c r="R964" i="2"/>
  <c r="Z967" i="2"/>
  <c r="R972" i="2"/>
  <c r="Z975" i="2"/>
  <c r="R978" i="2"/>
  <c r="X981" i="2"/>
  <c r="X985" i="2"/>
  <c r="Z992" i="2"/>
  <c r="AA949" i="2"/>
  <c r="R889" i="2"/>
  <c r="X980" i="2"/>
  <c r="Z991" i="2"/>
  <c r="X997" i="2"/>
  <c r="R884" i="2"/>
  <c r="X891" i="2"/>
  <c r="R914" i="2"/>
  <c r="R925" i="2"/>
  <c r="Z944" i="2"/>
  <c r="X976" i="2"/>
  <c r="R993" i="2"/>
  <c r="Z851" i="2"/>
  <c r="X859" i="2"/>
  <c r="Z862" i="2"/>
  <c r="X884" i="2"/>
  <c r="Z891" i="2"/>
  <c r="AA891" i="2" s="1"/>
  <c r="Z895" i="2"/>
  <c r="Z909" i="2"/>
  <c r="X914" i="2"/>
  <c r="X925" i="2"/>
  <c r="R929" i="2"/>
  <c r="AA929" i="2" s="1"/>
  <c r="R941" i="2"/>
  <c r="Z952" i="2"/>
  <c r="R979" i="2"/>
  <c r="AA979" i="2" s="1"/>
  <c r="Z983" i="2"/>
  <c r="R986" i="2"/>
  <c r="X989" i="2"/>
  <c r="X993" i="2"/>
  <c r="Z1000" i="2"/>
  <c r="R1007" i="2"/>
  <c r="Z903" i="2"/>
  <c r="Z931" i="2"/>
  <c r="R987" i="2"/>
  <c r="AA987" i="2" s="1"/>
  <c r="R994" i="2"/>
  <c r="X851" i="2"/>
  <c r="Z854" i="2"/>
  <c r="R888" i="2"/>
  <c r="X909" i="2"/>
  <c r="R933" i="2"/>
  <c r="R955" i="2"/>
  <c r="X968" i="2"/>
  <c r="R881" i="2"/>
  <c r="X888" i="2"/>
  <c r="Z859" i="2"/>
  <c r="X867" i="2"/>
  <c r="Z870" i="2"/>
  <c r="X881" i="2"/>
  <c r="R905" i="2"/>
  <c r="X923" i="2"/>
  <c r="X934" i="2"/>
  <c r="R965" i="2"/>
  <c r="R973" i="2"/>
  <c r="X979" i="2"/>
  <c r="X986" i="2"/>
  <c r="X996" i="2"/>
  <c r="R1003" i="2"/>
  <c r="X1007" i="2"/>
  <c r="X982" i="2"/>
  <c r="X990" i="2"/>
  <c r="X998" i="2"/>
  <c r="AA998" i="2" s="1"/>
  <c r="X1006" i="2"/>
  <c r="Z1006" i="2"/>
  <c r="Z982" i="2"/>
  <c r="R984" i="2"/>
  <c r="AA984" i="2" s="1"/>
  <c r="Z990" i="2"/>
  <c r="R992" i="2"/>
  <c r="Z998" i="2"/>
  <c r="R1000" i="2"/>
  <c r="R981" i="2"/>
  <c r="R989" i="2"/>
  <c r="R997" i="2"/>
  <c r="R1005" i="2"/>
  <c r="X1005" i="2"/>
  <c r="R983" i="2"/>
  <c r="R991" i="2"/>
  <c r="R999" i="2"/>
  <c r="R980" i="2"/>
  <c r="AA980" i="2" s="1"/>
  <c r="R988" i="2"/>
  <c r="R996" i="2"/>
  <c r="R1004" i="2"/>
  <c r="R935" i="2"/>
  <c r="R943" i="2"/>
  <c r="R951" i="2"/>
  <c r="R959" i="2"/>
  <c r="R961" i="2"/>
  <c r="R969" i="2"/>
  <c r="R940" i="2"/>
  <c r="X943" i="2"/>
  <c r="X961" i="2"/>
  <c r="Z935" i="2"/>
  <c r="R937" i="2"/>
  <c r="X940" i="2"/>
  <c r="R945" i="2"/>
  <c r="X948" i="2"/>
  <c r="Z951" i="2"/>
  <c r="R953" i="2"/>
  <c r="X956" i="2"/>
  <c r="Z959" i="2"/>
  <c r="R963" i="2"/>
  <c r="X966" i="2"/>
  <c r="Z969" i="2"/>
  <c r="R971" i="2"/>
  <c r="X974" i="2"/>
  <c r="X937" i="2"/>
  <c r="R942" i="2"/>
  <c r="X945" i="2"/>
  <c r="Z948" i="2"/>
  <c r="R950" i="2"/>
  <c r="X953" i="2"/>
  <c r="Z956" i="2"/>
  <c r="R958" i="2"/>
  <c r="X963" i="2"/>
  <c r="Z966" i="2"/>
  <c r="R968" i="2"/>
  <c r="X971" i="2"/>
  <c r="Z974" i="2"/>
  <c r="R976" i="2"/>
  <c r="AA976" i="2" s="1"/>
  <c r="R936" i="2"/>
  <c r="X939" i="2"/>
  <c r="R944" i="2"/>
  <c r="X947" i="2"/>
  <c r="R952" i="2"/>
  <c r="X955" i="2"/>
  <c r="X960" i="2"/>
  <c r="R962" i="2"/>
  <c r="AA962" i="2" s="1"/>
  <c r="X965" i="2"/>
  <c r="R970" i="2"/>
  <c r="AA970" i="2" s="1"/>
  <c r="X973" i="2"/>
  <c r="X933" i="2"/>
  <c r="R919" i="2"/>
  <c r="X922" i="2"/>
  <c r="R927" i="2"/>
  <c r="X930" i="2"/>
  <c r="R922" i="2"/>
  <c r="R930" i="2"/>
  <c r="X919" i="2"/>
  <c r="X927" i="2"/>
  <c r="X932" i="2"/>
  <c r="X921" i="2"/>
  <c r="AA921" i="2" s="1"/>
  <c r="R926" i="2"/>
  <c r="X929" i="2"/>
  <c r="R934" i="2"/>
  <c r="X926" i="2"/>
  <c r="R931" i="2"/>
  <c r="R911" i="2"/>
  <c r="X911" i="2"/>
  <c r="R916" i="2"/>
  <c r="R913" i="2"/>
  <c r="X916" i="2"/>
  <c r="R910" i="2"/>
  <c r="X913" i="2"/>
  <c r="R918" i="2"/>
  <c r="X910" i="2"/>
  <c r="R915" i="2"/>
  <c r="X918" i="2"/>
  <c r="R912" i="2"/>
  <c r="AA912" i="2" s="1"/>
  <c r="X915" i="2"/>
  <c r="AA875" i="2"/>
  <c r="X907" i="2"/>
  <c r="Z907" i="2"/>
  <c r="Z902" i="2"/>
  <c r="R877" i="2"/>
  <c r="R885" i="2"/>
  <c r="R901" i="2"/>
  <c r="R882" i="2"/>
  <c r="X885" i="2"/>
  <c r="R898" i="2"/>
  <c r="X901" i="2"/>
  <c r="R906" i="2"/>
  <c r="X874" i="2"/>
  <c r="Z877" i="2"/>
  <c r="R879" i="2"/>
  <c r="X882" i="2"/>
  <c r="R887" i="2"/>
  <c r="X890" i="2"/>
  <c r="Z893" i="2"/>
  <c r="R895" i="2"/>
  <c r="X898" i="2"/>
  <c r="R903" i="2"/>
  <c r="X906" i="2"/>
  <c r="Z878" i="2"/>
  <c r="Z886" i="2"/>
  <c r="Z894" i="2"/>
  <c r="R893" i="2"/>
  <c r="R874" i="2"/>
  <c r="R890" i="2"/>
  <c r="R908" i="2"/>
  <c r="X908" i="2"/>
  <c r="R878" i="2"/>
  <c r="R886" i="2"/>
  <c r="R894" i="2"/>
  <c r="R902" i="2"/>
  <c r="R842" i="2"/>
  <c r="R866" i="2"/>
  <c r="X842" i="2"/>
  <c r="R847" i="2"/>
  <c r="Z858" i="2"/>
  <c r="X873" i="2"/>
  <c r="R858" i="2"/>
  <c r="X850" i="2"/>
  <c r="R863" i="2"/>
  <c r="X866" i="2"/>
  <c r="R871" i="2"/>
  <c r="R844" i="2"/>
  <c r="X847" i="2"/>
  <c r="Z850" i="2"/>
  <c r="R852" i="2"/>
  <c r="X855" i="2"/>
  <c r="R860" i="2"/>
  <c r="X863" i="2"/>
  <c r="R868" i="2"/>
  <c r="X871" i="2"/>
  <c r="R841" i="2"/>
  <c r="X844" i="2"/>
  <c r="R849" i="2"/>
  <c r="X852" i="2"/>
  <c r="Z855" i="2"/>
  <c r="R857" i="2"/>
  <c r="X860" i="2"/>
  <c r="R865" i="2"/>
  <c r="X868" i="2"/>
  <c r="R873" i="2"/>
  <c r="AA873" i="2" s="1"/>
  <c r="X841" i="2"/>
  <c r="R846" i="2"/>
  <c r="X849" i="2"/>
  <c r="R854" i="2"/>
  <c r="X857" i="2"/>
  <c r="R862" i="2"/>
  <c r="X865" i="2"/>
  <c r="R870" i="2"/>
  <c r="AA1032" i="2" l="1"/>
  <c r="AA1009" i="2"/>
  <c r="AA1041" i="2"/>
  <c r="AA1056" i="2"/>
  <c r="AA967" i="2"/>
  <c r="AA1066" i="2"/>
  <c r="AA1058" i="2"/>
  <c r="AA978" i="2"/>
  <c r="AA846" i="2"/>
  <c r="AA1025" i="2"/>
  <c r="AA983" i="2"/>
  <c r="AA982" i="2"/>
  <c r="AA843" i="2"/>
  <c r="AA1013" i="2"/>
  <c r="AA1017" i="2"/>
  <c r="AA930" i="2"/>
  <c r="AA995" i="2"/>
  <c r="AA1020" i="2"/>
  <c r="AA1070" i="2"/>
  <c r="AA1042" i="2"/>
  <c r="AA1049" i="2"/>
  <c r="AA851" i="2"/>
  <c r="AA934" i="2"/>
  <c r="AA1021" i="2"/>
  <c r="AA928" i="2"/>
  <c r="AA900" i="2"/>
  <c r="AA881" i="2"/>
  <c r="AA876" i="2"/>
  <c r="AA966" i="2"/>
  <c r="AA959" i="2"/>
  <c r="AA1000" i="2"/>
  <c r="AA867" i="2"/>
  <c r="AA899" i="2"/>
  <c r="AA848" i="2"/>
  <c r="AA1006" i="2"/>
  <c r="AA892" i="2"/>
  <c r="AA895" i="2"/>
  <c r="AA906" i="2"/>
  <c r="AA950" i="2"/>
  <c r="AA999" i="2"/>
  <c r="AA990" i="2"/>
  <c r="AA941" i="2"/>
  <c r="AA964" i="2"/>
  <c r="AA917" i="2"/>
  <c r="AA869" i="2"/>
  <c r="AA883" i="2"/>
  <c r="AA938" i="2"/>
  <c r="AA957" i="2"/>
  <c r="AA920" i="2"/>
  <c r="AA1024" i="2"/>
  <c r="AA1054" i="2"/>
  <c r="AA1051" i="2"/>
  <c r="AA1069" i="2"/>
  <c r="AA1062" i="2"/>
  <c r="AA1059" i="2"/>
  <c r="AA1061" i="2"/>
  <c r="AA1053" i="2"/>
  <c r="AA1067" i="2"/>
  <c r="AA1046" i="2"/>
  <c r="AA1045" i="2"/>
  <c r="AA1012" i="2"/>
  <c r="AA1016" i="2"/>
  <c r="AA1040" i="2"/>
  <c r="AA1036" i="2"/>
  <c r="AA1008" i="2"/>
  <c r="AA1028" i="2"/>
  <c r="AA993" i="2"/>
  <c r="AA955" i="2"/>
  <c r="AA931" i="2"/>
  <c r="AA889" i="2"/>
  <c r="AA864" i="2"/>
  <c r="AA910" i="2"/>
  <c r="AA973" i="2"/>
  <c r="AA914" i="2"/>
  <c r="AA975" i="2"/>
  <c r="AA861" i="2"/>
  <c r="AA946" i="2"/>
  <c r="AA991" i="2"/>
  <c r="AA968" i="2"/>
  <c r="AA925" i="2"/>
  <c r="AA1003" i="2"/>
  <c r="AA986" i="2"/>
  <c r="AA954" i="2"/>
  <c r="AA870" i="2"/>
  <c r="AA992" i="2"/>
  <c r="AA909" i="2"/>
  <c r="AA947" i="2"/>
  <c r="AA944" i="2"/>
  <c r="AA953" i="2"/>
  <c r="AA958" i="2"/>
  <c r="AA923" i="2"/>
  <c r="AA1007" i="2"/>
  <c r="AA972" i="2"/>
  <c r="AA853" i="2"/>
  <c r="AA845" i="2"/>
  <c r="AA854" i="2"/>
  <c r="AA879" i="2"/>
  <c r="AA936" i="2"/>
  <c r="AA988" i="2"/>
  <c r="AA905" i="2"/>
  <c r="AA994" i="2"/>
  <c r="AA859" i="2"/>
  <c r="AA985" i="2"/>
  <c r="AA841" i="2"/>
  <c r="AA884" i="2"/>
  <c r="AA952" i="2"/>
  <c r="AA862" i="2"/>
  <c r="AA942" i="2"/>
  <c r="AA887" i="2"/>
  <c r="AA1004" i="2"/>
  <c r="AA872" i="2"/>
  <c r="AA939" i="2"/>
  <c r="AA997" i="2"/>
  <c r="AA932" i="2"/>
  <c r="AA919" i="2"/>
  <c r="AA965" i="2"/>
  <c r="AA969" i="2"/>
  <c r="AA989" i="2"/>
  <c r="AA888" i="2"/>
  <c r="AA974" i="2"/>
  <c r="AA996" i="2"/>
  <c r="AA850" i="2"/>
  <c r="AA903" i="2"/>
  <c r="AA933" i="2"/>
  <c r="AA981" i="2"/>
  <c r="AA1005" i="2"/>
  <c r="AA963" i="2"/>
  <c r="AA951" i="2"/>
  <c r="AA948" i="2"/>
  <c r="AA943" i="2"/>
  <c r="AA937" i="2"/>
  <c r="AA956" i="2"/>
  <c r="AA935" i="2"/>
  <c r="AA940" i="2"/>
  <c r="AA971" i="2"/>
  <c r="AA945" i="2"/>
  <c r="AA961" i="2"/>
  <c r="AA922" i="2"/>
  <c r="AA927" i="2"/>
  <c r="AA926" i="2"/>
  <c r="AA918" i="2"/>
  <c r="AA913" i="2"/>
  <c r="AA916" i="2"/>
  <c r="AA915" i="2"/>
  <c r="AA911" i="2"/>
  <c r="AA894" i="2"/>
  <c r="AA893" i="2"/>
  <c r="AA907" i="2"/>
  <c r="AA878" i="2"/>
  <c r="AA882" i="2"/>
  <c r="AA908" i="2"/>
  <c r="AA886" i="2"/>
  <c r="AA890" i="2"/>
  <c r="AA877" i="2"/>
  <c r="AA874" i="2"/>
  <c r="AA902" i="2"/>
  <c r="AA901" i="2"/>
  <c r="AA898" i="2"/>
  <c r="AA885" i="2"/>
  <c r="AA855" i="2"/>
  <c r="AA865" i="2"/>
  <c r="AA844" i="2"/>
  <c r="AA847" i="2"/>
  <c r="AA868" i="2"/>
  <c r="AA871" i="2"/>
  <c r="AA857" i="2"/>
  <c r="AA866" i="2"/>
  <c r="AA860" i="2"/>
  <c r="AA863" i="2"/>
  <c r="AA842" i="2"/>
  <c r="AA849" i="2"/>
  <c r="AA852" i="2"/>
  <c r="AA858" i="2"/>
  <c r="P840" i="2" l="1"/>
  <c r="Z840" i="2" s="1"/>
  <c r="P839" i="2"/>
  <c r="Z839" i="2" s="1"/>
  <c r="P838" i="2"/>
  <c r="Z838" i="2" s="1"/>
  <c r="P837" i="2"/>
  <c r="Z837" i="2" s="1"/>
  <c r="P836" i="2"/>
  <c r="X836" i="2" s="1"/>
  <c r="P835" i="2"/>
  <c r="X835" i="2" s="1"/>
  <c r="P834" i="2"/>
  <c r="X834" i="2" s="1"/>
  <c r="P833" i="2"/>
  <c r="R833" i="2" s="1"/>
  <c r="P832" i="2"/>
  <c r="R832" i="2" s="1"/>
  <c r="P831" i="2"/>
  <c r="Z831" i="2" s="1"/>
  <c r="P830" i="2"/>
  <c r="R830" i="2" s="1"/>
  <c r="P829" i="2"/>
  <c r="Z829" i="2" s="1"/>
  <c r="P828" i="2"/>
  <c r="X828" i="2" s="1"/>
  <c r="P827" i="2"/>
  <c r="X827" i="2" s="1"/>
  <c r="P826" i="2"/>
  <c r="Z826" i="2" s="1"/>
  <c r="P825" i="2"/>
  <c r="Z825" i="2" s="1"/>
  <c r="P824" i="2"/>
  <c r="R824" i="2" s="1"/>
  <c r="P823" i="2"/>
  <c r="Z823" i="2" s="1"/>
  <c r="P822" i="2"/>
  <c r="Z822" i="2" s="1"/>
  <c r="P821" i="2"/>
  <c r="Z821" i="2" s="1"/>
  <c r="P820" i="2"/>
  <c r="X820" i="2" s="1"/>
  <c r="P819" i="2"/>
  <c r="X819" i="2" s="1"/>
  <c r="P818" i="2"/>
  <c r="R818" i="2" s="1"/>
  <c r="P817" i="2"/>
  <c r="Z817" i="2" s="1"/>
  <c r="P816" i="2"/>
  <c r="R816" i="2" s="1"/>
  <c r="P815" i="2"/>
  <c r="Z815" i="2" s="1"/>
  <c r="P814" i="2"/>
  <c r="Z814" i="2" s="1"/>
  <c r="P813" i="2"/>
  <c r="X813" i="2" s="1"/>
  <c r="P812" i="2"/>
  <c r="X812" i="2" s="1"/>
  <c r="P811" i="2"/>
  <c r="X811" i="2" s="1"/>
  <c r="P810" i="2"/>
  <c r="X810" i="2" s="1"/>
  <c r="P809" i="2"/>
  <c r="R809" i="2" s="1"/>
  <c r="P808" i="2"/>
  <c r="R808" i="2" s="1"/>
  <c r="P807" i="2"/>
  <c r="Z807" i="2" s="1"/>
  <c r="P806" i="2"/>
  <c r="R806" i="2" s="1"/>
  <c r="P805" i="2"/>
  <c r="Z805" i="2" s="1"/>
  <c r="P804" i="2"/>
  <c r="X804" i="2" s="1"/>
  <c r="P803" i="2"/>
  <c r="X803" i="2" s="1"/>
  <c r="P802" i="2"/>
  <c r="X802" i="2" s="1"/>
  <c r="P801" i="2"/>
  <c r="Z801" i="2" s="1"/>
  <c r="P800" i="2"/>
  <c r="R800" i="2" s="1"/>
  <c r="P799" i="2"/>
  <c r="Z799" i="2" s="1"/>
  <c r="P798" i="2"/>
  <c r="Z798" i="2" s="1"/>
  <c r="P797" i="2"/>
  <c r="X797" i="2" s="1"/>
  <c r="P796" i="2"/>
  <c r="Z796" i="2" s="1"/>
  <c r="P795" i="2"/>
  <c r="Z795" i="2" s="1"/>
  <c r="P794" i="2"/>
  <c r="X794" i="2" s="1"/>
  <c r="P793" i="2"/>
  <c r="R793" i="2" s="1"/>
  <c r="P792" i="2"/>
  <c r="X792" i="2" s="1"/>
  <c r="P791" i="2"/>
  <c r="Z791" i="2" s="1"/>
  <c r="P790" i="2"/>
  <c r="Z790" i="2" s="1"/>
  <c r="P789" i="2"/>
  <c r="R789" i="2" s="1"/>
  <c r="P788" i="2"/>
  <c r="X788" i="2" s="1"/>
  <c r="P787" i="2"/>
  <c r="Z787" i="2" s="1"/>
  <c r="P786" i="2"/>
  <c r="Z786" i="2" s="1"/>
  <c r="P785" i="2"/>
  <c r="R785" i="2" s="1"/>
  <c r="P784" i="2"/>
  <c r="X784" i="2" s="1"/>
  <c r="P783" i="2"/>
  <c r="Z783" i="2" s="1"/>
  <c r="P782" i="2"/>
  <c r="Z782" i="2" s="1"/>
  <c r="P781" i="2"/>
  <c r="R781" i="2" s="1"/>
  <c r="P780" i="2"/>
  <c r="X780" i="2" s="1"/>
  <c r="P779" i="2"/>
  <c r="Z779" i="2" s="1"/>
  <c r="P778" i="2"/>
  <c r="R778" i="2" s="1"/>
  <c r="P777" i="2"/>
  <c r="R777" i="2" s="1"/>
  <c r="P776" i="2"/>
  <c r="X776" i="2" s="1"/>
  <c r="P775" i="2"/>
  <c r="Z775" i="2" s="1"/>
  <c r="P774" i="2"/>
  <c r="P773" i="2"/>
  <c r="R773" i="2" s="1"/>
  <c r="P772" i="2"/>
  <c r="X772" i="2" s="1"/>
  <c r="P771" i="2"/>
  <c r="Z771" i="2" s="1"/>
  <c r="P770" i="2"/>
  <c r="X770" i="2" s="1"/>
  <c r="P769" i="2"/>
  <c r="R769" i="2" s="1"/>
  <c r="P768" i="2"/>
  <c r="X768" i="2" s="1"/>
  <c r="P767" i="2"/>
  <c r="Z767" i="2" s="1"/>
  <c r="P766" i="2"/>
  <c r="Z766" i="2" s="1"/>
  <c r="P765" i="2"/>
  <c r="R765" i="2" s="1"/>
  <c r="P764" i="2"/>
  <c r="X764" i="2" s="1"/>
  <c r="P763" i="2"/>
  <c r="Z763" i="2" s="1"/>
  <c r="P762" i="2"/>
  <c r="Z762" i="2" s="1"/>
  <c r="P761" i="2"/>
  <c r="R761" i="2" s="1"/>
  <c r="P760" i="2"/>
  <c r="X760" i="2" s="1"/>
  <c r="P759" i="2"/>
  <c r="R759" i="2" s="1"/>
  <c r="P758" i="2"/>
  <c r="Z758" i="2" s="1"/>
  <c r="P757" i="2"/>
  <c r="X757" i="2" s="1"/>
  <c r="P756" i="2"/>
  <c r="X756" i="2" s="1"/>
  <c r="P755" i="2"/>
  <c r="X755" i="2" s="1"/>
  <c r="P754" i="2"/>
  <c r="Z754" i="2" s="1"/>
  <c r="P753" i="2"/>
  <c r="Z753" i="2" s="1"/>
  <c r="P752" i="2"/>
  <c r="Z752" i="2" s="1"/>
  <c r="P751" i="2"/>
  <c r="Z751" i="2" s="1"/>
  <c r="P750" i="2"/>
  <c r="Z750" i="2" s="1"/>
  <c r="P749" i="2"/>
  <c r="Z749" i="2" s="1"/>
  <c r="P748" i="2"/>
  <c r="X748" i="2" s="1"/>
  <c r="P747" i="2"/>
  <c r="X747" i="2" s="1"/>
  <c r="P746" i="2"/>
  <c r="Z746" i="2" s="1"/>
  <c r="P745" i="2"/>
  <c r="X745" i="2" s="1"/>
  <c r="P744" i="2"/>
  <c r="Z744" i="2" s="1"/>
  <c r="P743" i="2"/>
  <c r="Z743" i="2" s="1"/>
  <c r="P742" i="2"/>
  <c r="Z742" i="2" s="1"/>
  <c r="P741" i="2"/>
  <c r="Z741" i="2" s="1"/>
  <c r="P740" i="2"/>
  <c r="R740" i="2" s="1"/>
  <c r="P739" i="2"/>
  <c r="X739" i="2" s="1"/>
  <c r="P738" i="2"/>
  <c r="Z738" i="2" s="1"/>
  <c r="P737" i="2"/>
  <c r="Z737" i="2" s="1"/>
  <c r="P736" i="2"/>
  <c r="Z736" i="2" s="1"/>
  <c r="P735" i="2"/>
  <c r="Z735" i="2" s="1"/>
  <c r="P734" i="2"/>
  <c r="Z734" i="2" s="1"/>
  <c r="P733" i="2"/>
  <c r="R733" i="2" s="1"/>
  <c r="P732" i="2"/>
  <c r="R732" i="2" s="1"/>
  <c r="P731" i="2"/>
  <c r="X731" i="2" s="1"/>
  <c r="P730" i="2"/>
  <c r="R730" i="2" s="1"/>
  <c r="P729" i="2"/>
  <c r="Z729" i="2" s="1"/>
  <c r="P728" i="2"/>
  <c r="Z728" i="2" s="1"/>
  <c r="P727" i="2"/>
  <c r="Z727" i="2" s="1"/>
  <c r="P726" i="2"/>
  <c r="Z726" i="2" s="1"/>
  <c r="P725" i="2"/>
  <c r="X725" i="2" s="1"/>
  <c r="P724" i="2"/>
  <c r="R724" i="2" s="1"/>
  <c r="P723" i="2"/>
  <c r="X723" i="2" s="1"/>
  <c r="P722" i="2"/>
  <c r="R722" i="2" s="1"/>
  <c r="P721" i="2"/>
  <c r="R721" i="2" s="1"/>
  <c r="P720" i="2"/>
  <c r="Z720" i="2" s="1"/>
  <c r="P719" i="2"/>
  <c r="Z719" i="2" s="1"/>
  <c r="P718" i="2"/>
  <c r="Z718" i="2" s="1"/>
  <c r="P717" i="2"/>
  <c r="X717" i="2" s="1"/>
  <c r="P716" i="2"/>
  <c r="Z716" i="2" s="1"/>
  <c r="P715" i="2"/>
  <c r="Z715" i="2" s="1"/>
  <c r="P714" i="2"/>
  <c r="Z714" i="2" s="1"/>
  <c r="P713" i="2"/>
  <c r="Z713" i="2" s="1"/>
  <c r="P712" i="2"/>
  <c r="Z712" i="2" s="1"/>
  <c r="P711" i="2"/>
  <c r="X711" i="2" s="1"/>
  <c r="P710" i="2"/>
  <c r="R710" i="2" s="1"/>
  <c r="P709" i="2"/>
  <c r="X709" i="2" s="1"/>
  <c r="P708" i="2"/>
  <c r="R708" i="2" s="1"/>
  <c r="P707" i="2"/>
  <c r="Z707" i="2" s="1"/>
  <c r="P706" i="2"/>
  <c r="Z706" i="2" s="1"/>
  <c r="P705" i="2"/>
  <c r="Z705" i="2" s="1"/>
  <c r="P704" i="2"/>
  <c r="Z704" i="2" s="1"/>
  <c r="P703" i="2"/>
  <c r="X703" i="2" s="1"/>
  <c r="P702" i="2"/>
  <c r="R702" i="2" s="1"/>
  <c r="P701" i="2"/>
  <c r="R701" i="2" s="1"/>
  <c r="P700" i="2"/>
  <c r="Z700" i="2" s="1"/>
  <c r="P699" i="2"/>
  <c r="Z699" i="2" s="1"/>
  <c r="P698" i="2"/>
  <c r="X698" i="2" s="1"/>
  <c r="P697" i="2"/>
  <c r="Z697" i="2" s="1"/>
  <c r="P696" i="2"/>
  <c r="Z696" i="2" s="1"/>
  <c r="P695" i="2"/>
  <c r="X695" i="2" s="1"/>
  <c r="P694" i="2"/>
  <c r="R694" i="2" s="1"/>
  <c r="P693" i="2"/>
  <c r="Z693" i="2" s="1"/>
  <c r="P692" i="2"/>
  <c r="Z692" i="2" s="1"/>
  <c r="P691" i="2"/>
  <c r="Z691" i="2" s="1"/>
  <c r="P690" i="2"/>
  <c r="Z690" i="2" s="1"/>
  <c r="P689" i="2"/>
  <c r="Z689" i="2" s="1"/>
  <c r="P688" i="2"/>
  <c r="Z688" i="2" s="1"/>
  <c r="P687" i="2"/>
  <c r="X687" i="2" s="1"/>
  <c r="P686" i="2"/>
  <c r="R686" i="2" s="1"/>
  <c r="P685" i="2"/>
  <c r="X685" i="2" s="1"/>
  <c r="P684" i="2"/>
  <c r="R684" i="2" s="1"/>
  <c r="P683" i="2"/>
  <c r="Z683" i="2" s="1"/>
  <c r="P682" i="2"/>
  <c r="Z682" i="2" s="1"/>
  <c r="P681" i="2"/>
  <c r="Z681" i="2" s="1"/>
  <c r="P680" i="2"/>
  <c r="R680" i="2" s="1"/>
  <c r="P679" i="2"/>
  <c r="X679" i="2" s="1"/>
  <c r="P678" i="2"/>
  <c r="R678" i="2" s="1"/>
  <c r="Z813" i="2" l="1"/>
  <c r="Z820" i="2"/>
  <c r="Z809" i="2"/>
  <c r="R691" i="2"/>
  <c r="AA691" i="2" s="1"/>
  <c r="X721" i="2"/>
  <c r="AA721" i="2" s="1"/>
  <c r="Z748" i="2"/>
  <c r="Z830" i="2"/>
  <c r="Z770" i="2"/>
  <c r="X809" i="2"/>
  <c r="Z733" i="2"/>
  <c r="X691" i="2"/>
  <c r="Z721" i="2"/>
  <c r="R805" i="2"/>
  <c r="Z739" i="2"/>
  <c r="X778" i="2"/>
  <c r="Z717" i="2"/>
  <c r="AA717" i="2" s="1"/>
  <c r="Z745" i="2"/>
  <c r="Z778" i="2"/>
  <c r="Z761" i="2"/>
  <c r="R739" i="2"/>
  <c r="R699" i="2"/>
  <c r="R717" i="2"/>
  <c r="R734" i="2"/>
  <c r="AA734" i="2" s="1"/>
  <c r="R749" i="2"/>
  <c r="AA749" i="2" s="1"/>
  <c r="R821" i="2"/>
  <c r="R837" i="2"/>
  <c r="X749" i="2"/>
  <c r="X806" i="2"/>
  <c r="X837" i="2"/>
  <c r="R707" i="2"/>
  <c r="AA707" i="2" s="1"/>
  <c r="Z792" i="2"/>
  <c r="Z806" i="2"/>
  <c r="Z833" i="2"/>
  <c r="R742" i="2"/>
  <c r="R747" i="2"/>
  <c r="Z769" i="2"/>
  <c r="R797" i="2"/>
  <c r="R813" i="2"/>
  <c r="X680" i="2"/>
  <c r="Z760" i="2"/>
  <c r="Z680" i="2"/>
  <c r="X699" i="2"/>
  <c r="X712" i="2"/>
  <c r="X734" i="2"/>
  <c r="Z755" i="2"/>
  <c r="Z772" i="2"/>
  <c r="Z800" i="2"/>
  <c r="X821" i="2"/>
  <c r="Z785" i="2"/>
  <c r="X833" i="2"/>
  <c r="X707" i="2"/>
  <c r="Z724" i="2"/>
  <c r="X769" i="2"/>
  <c r="R829" i="2"/>
  <c r="R683" i="2"/>
  <c r="R715" i="2"/>
  <c r="X733" i="2"/>
  <c r="X742" i="2"/>
  <c r="X752" i="2"/>
  <c r="X781" i="2"/>
  <c r="Z797" i="2"/>
  <c r="Z824" i="2"/>
  <c r="X830" i="2"/>
  <c r="AA830" i="2" s="1"/>
  <c r="R737" i="2"/>
  <c r="AA737" i="2" s="1"/>
  <c r="Z768" i="2"/>
  <c r="R782" i="2"/>
  <c r="Z804" i="2"/>
  <c r="X816" i="2"/>
  <c r="Z819" i="2"/>
  <c r="R822" i="2"/>
  <c r="Z678" i="2"/>
  <c r="Z686" i="2"/>
  <c r="Z694" i="2"/>
  <c r="Z702" i="2"/>
  <c r="Z710" i="2"/>
  <c r="R725" i="2"/>
  <c r="X728" i="2"/>
  <c r="Z731" i="2"/>
  <c r="X737" i="2"/>
  <c r="Z740" i="2"/>
  <c r="R753" i="2"/>
  <c r="Z756" i="2"/>
  <c r="Z759" i="2"/>
  <c r="R762" i="2"/>
  <c r="Z765" i="2"/>
  <c r="Z776" i="2"/>
  <c r="X782" i="2"/>
  <c r="R786" i="2"/>
  <c r="Z789" i="2"/>
  <c r="X793" i="2"/>
  <c r="R798" i="2"/>
  <c r="R801" i="2"/>
  <c r="Z816" i="2"/>
  <c r="X822" i="2"/>
  <c r="R825" i="2"/>
  <c r="AA825" i="2" s="1"/>
  <c r="X762" i="2"/>
  <c r="X786" i="2"/>
  <c r="Z793" i="2"/>
  <c r="X798" i="2"/>
  <c r="X801" i="2"/>
  <c r="AA801" i="2" s="1"/>
  <c r="X825" i="2"/>
  <c r="X686" i="2"/>
  <c r="R731" i="2"/>
  <c r="AA731" i="2" s="1"/>
  <c r="X740" i="2"/>
  <c r="AA740" i="2" s="1"/>
  <c r="X753" i="2"/>
  <c r="X683" i="2"/>
  <c r="X715" i="2"/>
  <c r="R719" i="2"/>
  <c r="R723" i="2"/>
  <c r="Z725" i="2"/>
  <c r="R729" i="2"/>
  <c r="X732" i="2"/>
  <c r="AA732" i="2" s="1"/>
  <c r="R741" i="2"/>
  <c r="X744" i="2"/>
  <c r="Z747" i="2"/>
  <c r="R750" i="2"/>
  <c r="R757" i="2"/>
  <c r="R766" i="2"/>
  <c r="X777" i="2"/>
  <c r="Z780" i="2"/>
  <c r="R790" i="2"/>
  <c r="X805" i="2"/>
  <c r="X808" i="2"/>
  <c r="Z811" i="2"/>
  <c r="R814" i="2"/>
  <c r="R817" i="2"/>
  <c r="X829" i="2"/>
  <c r="AA829" i="2" s="1"/>
  <c r="X832" i="2"/>
  <c r="Z835" i="2"/>
  <c r="R838" i="2"/>
  <c r="X678" i="2"/>
  <c r="X765" i="2"/>
  <c r="R688" i="2"/>
  <c r="R696" i="2"/>
  <c r="R704" i="2"/>
  <c r="R712" i="2"/>
  <c r="AA712" i="2" s="1"/>
  <c r="Z723" i="2"/>
  <c r="X729" i="2"/>
  <c r="Z732" i="2"/>
  <c r="X741" i="2"/>
  <c r="X750" i="2"/>
  <c r="Z757" i="2"/>
  <c r="X766" i="2"/>
  <c r="X773" i="2"/>
  <c r="Z777" i="2"/>
  <c r="Z784" i="2"/>
  <c r="X790" i="2"/>
  <c r="R794" i="2"/>
  <c r="Z808" i="2"/>
  <c r="X814" i="2"/>
  <c r="AA814" i="2" s="1"/>
  <c r="X817" i="2"/>
  <c r="AA817" i="2" s="1"/>
  <c r="Z832" i="2"/>
  <c r="Z828" i="2"/>
  <c r="X688" i="2"/>
  <c r="X696" i="2"/>
  <c r="X704" i="2"/>
  <c r="R726" i="2"/>
  <c r="AA726" i="2" s="1"/>
  <c r="R745" i="2"/>
  <c r="R770" i="2"/>
  <c r="Z773" i="2"/>
  <c r="Z794" i="2"/>
  <c r="Z812" i="2"/>
  <c r="Z836" i="2"/>
  <c r="X694" i="2"/>
  <c r="X702" i="2"/>
  <c r="X710" i="2"/>
  <c r="X759" i="2"/>
  <c r="AA759" i="2" s="1"/>
  <c r="X789" i="2"/>
  <c r="X724" i="2"/>
  <c r="X726" i="2"/>
  <c r="X736" i="2"/>
  <c r="R755" i="2"/>
  <c r="R758" i="2"/>
  <c r="X761" i="2"/>
  <c r="AA761" i="2" s="1"/>
  <c r="Z764" i="2"/>
  <c r="Z781" i="2"/>
  <c r="X785" i="2"/>
  <c r="Z788" i="2"/>
  <c r="X800" i="2"/>
  <c r="Z803" i="2"/>
  <c r="X824" i="2"/>
  <c r="Z827" i="2"/>
  <c r="R840" i="2"/>
  <c r="R810" i="2"/>
  <c r="R826" i="2"/>
  <c r="R834" i="2"/>
  <c r="R799" i="2"/>
  <c r="R815" i="2"/>
  <c r="X818" i="2"/>
  <c r="R823" i="2"/>
  <c r="X826" i="2"/>
  <c r="R839" i="2"/>
  <c r="AA839" i="2" s="1"/>
  <c r="X799" i="2"/>
  <c r="Z802" i="2"/>
  <c r="R804" i="2"/>
  <c r="X807" i="2"/>
  <c r="Z810" i="2"/>
  <c r="R812" i="2"/>
  <c r="X815" i="2"/>
  <c r="Z818" i="2"/>
  <c r="R820" i="2"/>
  <c r="X823" i="2"/>
  <c r="R828" i="2"/>
  <c r="X831" i="2"/>
  <c r="Z834" i="2"/>
  <c r="R836" i="2"/>
  <c r="X839" i="2"/>
  <c r="R802" i="2"/>
  <c r="R807" i="2"/>
  <c r="R831" i="2"/>
  <c r="X838" i="2"/>
  <c r="R803" i="2"/>
  <c r="R811" i="2"/>
  <c r="AA811" i="2" s="1"/>
  <c r="R819" i="2"/>
  <c r="R827" i="2"/>
  <c r="R835" i="2"/>
  <c r="X840" i="2"/>
  <c r="R764" i="2"/>
  <c r="X767" i="2"/>
  <c r="R772" i="2"/>
  <c r="R776" i="2"/>
  <c r="X779" i="2"/>
  <c r="R784" i="2"/>
  <c r="X787" i="2"/>
  <c r="R792" i="2"/>
  <c r="X795" i="2"/>
  <c r="R767" i="2"/>
  <c r="AA767" i="2" s="1"/>
  <c r="R779" i="2"/>
  <c r="R787" i="2"/>
  <c r="R795" i="2"/>
  <c r="R796" i="2"/>
  <c r="R763" i="2"/>
  <c r="R771" i="2"/>
  <c r="R775" i="2"/>
  <c r="R783" i="2"/>
  <c r="R791" i="2"/>
  <c r="R760" i="2"/>
  <c r="X763" i="2"/>
  <c r="R768" i="2"/>
  <c r="X771" i="2"/>
  <c r="X775" i="2"/>
  <c r="R780" i="2"/>
  <c r="X783" i="2"/>
  <c r="R788" i="2"/>
  <c r="X791" i="2"/>
  <c r="X796" i="2"/>
  <c r="X758" i="2"/>
  <c r="R728" i="2"/>
  <c r="R736" i="2"/>
  <c r="R744" i="2"/>
  <c r="AA744" i="2" s="1"/>
  <c r="R752" i="2"/>
  <c r="AA752" i="2" s="1"/>
  <c r="R738" i="2"/>
  <c r="R746" i="2"/>
  <c r="R754" i="2"/>
  <c r="X722" i="2"/>
  <c r="R727" i="2"/>
  <c r="X730" i="2"/>
  <c r="R735" i="2"/>
  <c r="X738" i="2"/>
  <c r="R743" i="2"/>
  <c r="X746" i="2"/>
  <c r="R751" i="2"/>
  <c r="X754" i="2"/>
  <c r="Z722" i="2"/>
  <c r="X727" i="2"/>
  <c r="Z730" i="2"/>
  <c r="X735" i="2"/>
  <c r="X743" i="2"/>
  <c r="R748" i="2"/>
  <c r="X751" i="2"/>
  <c r="R756" i="2"/>
  <c r="X719" i="2"/>
  <c r="R718" i="2"/>
  <c r="X718" i="2"/>
  <c r="R720" i="2"/>
  <c r="X720" i="2"/>
  <c r="R714" i="2"/>
  <c r="Z685" i="2"/>
  <c r="R695" i="2"/>
  <c r="R703" i="2"/>
  <c r="X706" i="2"/>
  <c r="Z709" i="2"/>
  <c r="R700" i="2"/>
  <c r="R716" i="2"/>
  <c r="AA716" i="2" s="1"/>
  <c r="Z679" i="2"/>
  <c r="R681" i="2"/>
  <c r="X684" i="2"/>
  <c r="Z687" i="2"/>
  <c r="R689" i="2"/>
  <c r="X692" i="2"/>
  <c r="Z695" i="2"/>
  <c r="R697" i="2"/>
  <c r="X700" i="2"/>
  <c r="Z703" i="2"/>
  <c r="R705" i="2"/>
  <c r="X708" i="2"/>
  <c r="Z711" i="2"/>
  <c r="R713" i="2"/>
  <c r="X716" i="2"/>
  <c r="R709" i="2"/>
  <c r="R682" i="2"/>
  <c r="X701" i="2"/>
  <c r="R706" i="2"/>
  <c r="R679" i="2"/>
  <c r="X682" i="2"/>
  <c r="R687" i="2"/>
  <c r="X690" i="2"/>
  <c r="Z701" i="2"/>
  <c r="R711" i="2"/>
  <c r="X714" i="2"/>
  <c r="R692" i="2"/>
  <c r="Z698" i="2"/>
  <c r="X681" i="2"/>
  <c r="Z684" i="2"/>
  <c r="X689" i="2"/>
  <c r="X697" i="2"/>
  <c r="X705" i="2"/>
  <c r="Z708" i="2"/>
  <c r="X713" i="2"/>
  <c r="R685" i="2"/>
  <c r="R693" i="2"/>
  <c r="R690" i="2"/>
  <c r="X693" i="2"/>
  <c r="R698" i="2"/>
  <c r="AA771" i="2" l="1"/>
  <c r="AA820" i="2"/>
  <c r="AA770" i="2"/>
  <c r="AA824" i="2"/>
  <c r="AA797" i="2"/>
  <c r="AA709" i="2"/>
  <c r="AA755" i="2"/>
  <c r="AA838" i="2"/>
  <c r="AA809" i="2"/>
  <c r="AA813" i="2"/>
  <c r="AA775" i="2"/>
  <c r="AA833" i="2"/>
  <c r="AA683" i="2"/>
  <c r="AA793" i="2"/>
  <c r="AA782" i="2"/>
  <c r="AA699" i="2"/>
  <c r="AA742" i="2"/>
  <c r="AA837" i="2"/>
  <c r="AA778" i="2"/>
  <c r="AA748" i="2"/>
  <c r="AA796" i="2"/>
  <c r="AA790" i="2"/>
  <c r="AA733" i="2"/>
  <c r="AA821" i="2"/>
  <c r="AA832" i="2"/>
  <c r="AA680" i="2"/>
  <c r="AA792" i="2"/>
  <c r="AA840" i="2"/>
  <c r="AA800" i="2"/>
  <c r="AA696" i="2"/>
  <c r="AA764" i="2"/>
  <c r="AA688" i="2"/>
  <c r="AA678" i="2"/>
  <c r="AA762" i="2"/>
  <c r="AA725" i="2"/>
  <c r="AA816" i="2"/>
  <c r="AA781" i="2"/>
  <c r="AA769" i="2"/>
  <c r="AA806" i="2"/>
  <c r="AA739" i="2"/>
  <c r="AA723" i="2"/>
  <c r="AA730" i="2"/>
  <c r="AA724" i="2"/>
  <c r="AA794" i="2"/>
  <c r="AA805" i="2"/>
  <c r="AA798" i="2"/>
  <c r="AA827" i="2"/>
  <c r="AA789" i="2"/>
  <c r="AA768" i="2"/>
  <c r="AA745" i="2"/>
  <c r="AA750" i="2"/>
  <c r="AA758" i="2"/>
  <c r="AA808" i="2"/>
  <c r="AA686" i="2"/>
  <c r="AA776" i="2"/>
  <c r="AA828" i="2"/>
  <c r="AA780" i="2"/>
  <c r="AA710" i="2"/>
  <c r="AA702" i="2"/>
  <c r="AA757" i="2"/>
  <c r="AA753" i="2"/>
  <c r="AA694" i="2"/>
  <c r="AA722" i="2"/>
  <c r="AA785" i="2"/>
  <c r="AA747" i="2"/>
  <c r="AA715" i="2"/>
  <c r="AA804" i="2"/>
  <c r="AA777" i="2"/>
  <c r="AA772" i="2"/>
  <c r="AA704" i="2"/>
  <c r="AA773" i="2"/>
  <c r="AA741" i="2"/>
  <c r="AA765" i="2"/>
  <c r="AA803" i="2"/>
  <c r="AA736" i="2"/>
  <c r="AA719" i="2"/>
  <c r="AA728" i="2"/>
  <c r="AA756" i="2"/>
  <c r="AA784" i="2"/>
  <c r="AA786" i="2"/>
  <c r="AA754" i="2"/>
  <c r="AA795" i="2"/>
  <c r="AA787" i="2"/>
  <c r="AA729" i="2"/>
  <c r="AA835" i="2"/>
  <c r="AA701" i="2"/>
  <c r="AA738" i="2"/>
  <c r="AA788" i="2"/>
  <c r="AA819" i="2"/>
  <c r="AA836" i="2"/>
  <c r="AA812" i="2"/>
  <c r="AA766" i="2"/>
  <c r="AA822" i="2"/>
  <c r="AA799" i="2"/>
  <c r="AA818" i="2"/>
  <c r="AA815" i="2"/>
  <c r="AA826" i="2"/>
  <c r="AA834" i="2"/>
  <c r="AA831" i="2"/>
  <c r="AA807" i="2"/>
  <c r="AA802" i="2"/>
  <c r="AA810" i="2"/>
  <c r="AA823" i="2"/>
  <c r="AA783" i="2"/>
  <c r="AA791" i="2"/>
  <c r="AA760" i="2"/>
  <c r="AA779" i="2"/>
  <c r="AA763" i="2"/>
  <c r="AA751" i="2"/>
  <c r="AA743" i="2"/>
  <c r="AA727" i="2"/>
  <c r="AA746" i="2"/>
  <c r="AA735" i="2"/>
  <c r="AA720" i="2"/>
  <c r="AA718" i="2"/>
  <c r="AA693" i="2"/>
  <c r="AA685" i="2"/>
  <c r="AA679" i="2"/>
  <c r="AA703" i="2"/>
  <c r="AA689" i="2"/>
  <c r="AA708" i="2"/>
  <c r="AA692" i="2"/>
  <c r="AA705" i="2"/>
  <c r="AA684" i="2"/>
  <c r="AA695" i="2"/>
  <c r="AA681" i="2"/>
  <c r="AA682" i="2"/>
  <c r="AA698" i="2"/>
  <c r="AA706" i="2"/>
  <c r="AA711" i="2"/>
  <c r="AA714" i="2"/>
  <c r="AA697" i="2"/>
  <c r="AA700" i="2"/>
  <c r="AA690" i="2"/>
  <c r="AA687" i="2"/>
  <c r="AA713" i="2"/>
  <c r="P677" i="2" l="1"/>
  <c r="Z677" i="2" s="1"/>
  <c r="P676" i="2"/>
  <c r="R676" i="2" s="1"/>
  <c r="P675" i="2"/>
  <c r="Z675" i="2" s="1"/>
  <c r="P674" i="2"/>
  <c r="Z674" i="2" s="1"/>
  <c r="P673" i="2"/>
  <c r="R673" i="2" s="1"/>
  <c r="P672" i="2"/>
  <c r="Z672" i="2" s="1"/>
  <c r="P671" i="2"/>
  <c r="X671" i="2" s="1"/>
  <c r="P670" i="2"/>
  <c r="R670" i="2" s="1"/>
  <c r="P669" i="2"/>
  <c r="X669" i="2" s="1"/>
  <c r="P668" i="2"/>
  <c r="R668" i="2" s="1"/>
  <c r="P667" i="2"/>
  <c r="Z667" i="2" s="1"/>
  <c r="P666" i="2"/>
  <c r="Z666" i="2" s="1"/>
  <c r="P665" i="2"/>
  <c r="Z665" i="2" s="1"/>
  <c r="P664" i="2"/>
  <c r="Z664" i="2" s="1"/>
  <c r="P663" i="2"/>
  <c r="X663" i="2" s="1"/>
  <c r="P662" i="2"/>
  <c r="Z662" i="2" s="1"/>
  <c r="P661" i="2"/>
  <c r="X661" i="2" s="1"/>
  <c r="P660" i="2"/>
  <c r="R660" i="2" s="1"/>
  <c r="P659" i="2"/>
  <c r="Z659" i="2" s="1"/>
  <c r="P658" i="2"/>
  <c r="Z658" i="2" s="1"/>
  <c r="P657" i="2"/>
  <c r="R657" i="2" s="1"/>
  <c r="P656" i="2"/>
  <c r="X656" i="2" s="1"/>
  <c r="P655" i="2"/>
  <c r="X655" i="2" s="1"/>
  <c r="P654" i="2"/>
  <c r="R654" i="2" s="1"/>
  <c r="P653" i="2"/>
  <c r="R653" i="2" s="1"/>
  <c r="P652" i="2"/>
  <c r="R652" i="2" s="1"/>
  <c r="P651" i="2"/>
  <c r="Z651" i="2" s="1"/>
  <c r="P650" i="2"/>
  <c r="Z650" i="2" s="1"/>
  <c r="P649" i="2"/>
  <c r="Z649" i="2" s="1"/>
  <c r="P648" i="2"/>
  <c r="Z648" i="2" s="1"/>
  <c r="P647" i="2"/>
  <c r="X647" i="2" s="1"/>
  <c r="P646" i="2"/>
  <c r="R646" i="2" s="1"/>
  <c r="P645" i="2"/>
  <c r="X645" i="2" s="1"/>
  <c r="P644" i="2"/>
  <c r="R644" i="2" s="1"/>
  <c r="P643" i="2"/>
  <c r="Z643" i="2" s="1"/>
  <c r="P642" i="2"/>
  <c r="Z642" i="2" s="1"/>
  <c r="P641" i="2"/>
  <c r="R641" i="2" s="1"/>
  <c r="P640" i="2"/>
  <c r="X640" i="2" s="1"/>
  <c r="P639" i="2"/>
  <c r="X639" i="2" s="1"/>
  <c r="P638" i="2"/>
  <c r="X638" i="2" s="1"/>
  <c r="P637" i="2"/>
  <c r="R637" i="2" s="1"/>
  <c r="P636" i="2"/>
  <c r="R636" i="2" s="1"/>
  <c r="P635" i="2"/>
  <c r="X635" i="2" s="1"/>
  <c r="P634" i="2"/>
  <c r="Z634" i="2" s="1"/>
  <c r="P633" i="2"/>
  <c r="R633" i="2" s="1"/>
  <c r="P632" i="2"/>
  <c r="Z632" i="2" s="1"/>
  <c r="P631" i="2"/>
  <c r="X631" i="2" s="1"/>
  <c r="P630" i="2"/>
  <c r="X630" i="2" s="1"/>
  <c r="P629" i="2"/>
  <c r="X629" i="2" s="1"/>
  <c r="P628" i="2"/>
  <c r="X628" i="2" s="1"/>
  <c r="P627" i="2"/>
  <c r="X627" i="2" s="1"/>
  <c r="P626" i="2"/>
  <c r="Z626" i="2" s="1"/>
  <c r="P625" i="2"/>
  <c r="X625" i="2" s="1"/>
  <c r="P624" i="2"/>
  <c r="Z624" i="2" s="1"/>
  <c r="P623" i="2"/>
  <c r="X623" i="2" s="1"/>
  <c r="P622" i="2"/>
  <c r="Z622" i="2" s="1"/>
  <c r="P621" i="2"/>
  <c r="X621" i="2" s="1"/>
  <c r="P620" i="2"/>
  <c r="Z620" i="2" s="1"/>
  <c r="P619" i="2"/>
  <c r="X619" i="2" s="1"/>
  <c r="P618" i="2"/>
  <c r="Z618" i="2" s="1"/>
  <c r="P617" i="2"/>
  <c r="X617" i="2" s="1"/>
  <c r="P616" i="2"/>
  <c r="Z616" i="2" s="1"/>
  <c r="P615" i="2"/>
  <c r="X615" i="2" s="1"/>
  <c r="P614" i="2"/>
  <c r="Z614" i="2" s="1"/>
  <c r="Z623" i="2" l="1"/>
  <c r="Z636" i="2"/>
  <c r="X673" i="2"/>
  <c r="Z619" i="2"/>
  <c r="R615" i="2"/>
  <c r="Z673" i="2"/>
  <c r="AA673" i="2" s="1"/>
  <c r="Z627" i="2"/>
  <c r="X641" i="2"/>
  <c r="Z655" i="2"/>
  <c r="R619" i="2"/>
  <c r="Z615" i="2"/>
  <c r="Z668" i="2"/>
  <c r="R627" i="2"/>
  <c r="R623" i="2"/>
  <c r="Z641" i="2"/>
  <c r="X660" i="2"/>
  <c r="Z647" i="2"/>
  <c r="Z660" i="2"/>
  <c r="X665" i="2"/>
  <c r="Z633" i="2"/>
  <c r="X652" i="2"/>
  <c r="R629" i="2"/>
  <c r="R665" i="2"/>
  <c r="X633" i="2"/>
  <c r="AA633" i="2" s="1"/>
  <c r="X657" i="2"/>
  <c r="Z617" i="2"/>
  <c r="Z621" i="2"/>
  <c r="Z625" i="2"/>
  <c r="X644" i="2"/>
  <c r="R649" i="2"/>
  <c r="Z657" i="2"/>
  <c r="X676" i="2"/>
  <c r="AA676" i="2" s="1"/>
  <c r="R621" i="2"/>
  <c r="Z671" i="2"/>
  <c r="Z644" i="2"/>
  <c r="X649" i="2"/>
  <c r="Z663" i="2"/>
  <c r="Z676" i="2"/>
  <c r="R617" i="2"/>
  <c r="R625" i="2"/>
  <c r="Z639" i="2"/>
  <c r="Z652" i="2"/>
  <c r="X636" i="2"/>
  <c r="X668" i="2"/>
  <c r="R638" i="2"/>
  <c r="R635" i="2"/>
  <c r="X654" i="2"/>
  <c r="X662" i="2"/>
  <c r="Z646" i="2"/>
  <c r="X651" i="2"/>
  <c r="Z654" i="2"/>
  <c r="X659" i="2"/>
  <c r="R664" i="2"/>
  <c r="Z670" i="2"/>
  <c r="X664" i="2"/>
  <c r="R662" i="2"/>
  <c r="AA662" i="2" s="1"/>
  <c r="X646" i="2"/>
  <c r="R651" i="2"/>
  <c r="R667" i="2"/>
  <c r="X670" i="2"/>
  <c r="Z638" i="2"/>
  <c r="X643" i="2"/>
  <c r="R672" i="2"/>
  <c r="X632" i="2"/>
  <c r="Z635" i="2"/>
  <c r="R645" i="2"/>
  <c r="X648" i="2"/>
  <c r="R661" i="2"/>
  <c r="R669" i="2"/>
  <c r="X672" i="2"/>
  <c r="R677" i="2"/>
  <c r="R634" i="2"/>
  <c r="X637" i="2"/>
  <c r="Z640" i="2"/>
  <c r="R650" i="2"/>
  <c r="X653" i="2"/>
  <c r="Z656" i="2"/>
  <c r="R674" i="2"/>
  <c r="X677" i="2"/>
  <c r="X634" i="2"/>
  <c r="Z637" i="2"/>
  <c r="R639" i="2"/>
  <c r="X642" i="2"/>
  <c r="Z645" i="2"/>
  <c r="R647" i="2"/>
  <c r="X650" i="2"/>
  <c r="Z653" i="2"/>
  <c r="R655" i="2"/>
  <c r="X658" i="2"/>
  <c r="Z661" i="2"/>
  <c r="R663" i="2"/>
  <c r="X666" i="2"/>
  <c r="Z669" i="2"/>
  <c r="R671" i="2"/>
  <c r="X674" i="2"/>
  <c r="R643" i="2"/>
  <c r="R659" i="2"/>
  <c r="R675" i="2"/>
  <c r="R632" i="2"/>
  <c r="R640" i="2"/>
  <c r="R648" i="2"/>
  <c r="R656" i="2"/>
  <c r="X667" i="2"/>
  <c r="X675" i="2"/>
  <c r="R642" i="2"/>
  <c r="R658" i="2"/>
  <c r="R666" i="2"/>
  <c r="Z629" i="2"/>
  <c r="R631" i="2"/>
  <c r="Z631" i="2"/>
  <c r="X614" i="2"/>
  <c r="X616" i="2"/>
  <c r="X618" i="2"/>
  <c r="X620" i="2"/>
  <c r="X622" i="2"/>
  <c r="X624" i="2"/>
  <c r="X626" i="2"/>
  <c r="R614" i="2"/>
  <c r="R616" i="2"/>
  <c r="R618" i="2"/>
  <c r="R620" i="2"/>
  <c r="R622" i="2"/>
  <c r="R624" i="2"/>
  <c r="R626" i="2"/>
  <c r="R628" i="2"/>
  <c r="Z628" i="2"/>
  <c r="R630" i="2"/>
  <c r="Z630" i="2"/>
  <c r="P613" i="2"/>
  <c r="Z613" i="2" s="1"/>
  <c r="P612" i="2"/>
  <c r="R612" i="2" s="1"/>
  <c r="P611" i="2"/>
  <c r="Z611" i="2" s="1"/>
  <c r="P610" i="2"/>
  <c r="Z610" i="2" s="1"/>
  <c r="P609" i="2"/>
  <c r="X609" i="2" s="1"/>
  <c r="P608" i="2"/>
  <c r="R608" i="2" s="1"/>
  <c r="P607" i="2"/>
  <c r="X607" i="2" s="1"/>
  <c r="P606" i="2"/>
  <c r="X606" i="2" s="1"/>
  <c r="P605" i="2"/>
  <c r="Z605" i="2" s="1"/>
  <c r="P604" i="2"/>
  <c r="R604" i="2" s="1"/>
  <c r="P603" i="2"/>
  <c r="X603" i="2" s="1"/>
  <c r="P602" i="2"/>
  <c r="Z602" i="2" s="1"/>
  <c r="P601" i="2"/>
  <c r="Z601" i="2" s="1"/>
  <c r="P600" i="2"/>
  <c r="R600" i="2" s="1"/>
  <c r="P599" i="2"/>
  <c r="X599" i="2" s="1"/>
  <c r="P598" i="2"/>
  <c r="R598" i="2" s="1"/>
  <c r="P597" i="2"/>
  <c r="X597" i="2" s="1"/>
  <c r="P596" i="2"/>
  <c r="R596" i="2" s="1"/>
  <c r="P595" i="2"/>
  <c r="Z595" i="2" s="1"/>
  <c r="P594" i="2"/>
  <c r="Z594" i="2" s="1"/>
  <c r="P593" i="2"/>
  <c r="Z593" i="2" s="1"/>
  <c r="P592" i="2"/>
  <c r="Z592" i="2" s="1"/>
  <c r="P591" i="2"/>
  <c r="X591" i="2" s="1"/>
  <c r="P590" i="2"/>
  <c r="Z590" i="2" s="1"/>
  <c r="P589" i="2"/>
  <c r="X589" i="2" s="1"/>
  <c r="P588" i="2"/>
  <c r="R588" i="2" s="1"/>
  <c r="P587" i="2"/>
  <c r="X587" i="2" s="1"/>
  <c r="P586" i="2"/>
  <c r="Z586" i="2" s="1"/>
  <c r="P585" i="2"/>
  <c r="R585" i="2" s="1"/>
  <c r="P584" i="2"/>
  <c r="Z584" i="2" s="1"/>
  <c r="P583" i="2"/>
  <c r="X583" i="2" s="1"/>
  <c r="P582" i="2"/>
  <c r="X582" i="2" s="1"/>
  <c r="P581" i="2"/>
  <c r="X581" i="2" s="1"/>
  <c r="P580" i="2"/>
  <c r="R580" i="2" s="1"/>
  <c r="P579" i="2"/>
  <c r="Z579" i="2" s="1"/>
  <c r="P578" i="2"/>
  <c r="Z578" i="2" s="1"/>
  <c r="P577" i="2"/>
  <c r="X577" i="2" s="1"/>
  <c r="P576" i="2"/>
  <c r="Z576" i="2" s="1"/>
  <c r="P575" i="2"/>
  <c r="X575" i="2" s="1"/>
  <c r="P574" i="2"/>
  <c r="Z574" i="2" s="1"/>
  <c r="P573" i="2"/>
  <c r="X573" i="2" s="1"/>
  <c r="P572" i="2"/>
  <c r="R572" i="2" s="1"/>
  <c r="P571" i="2"/>
  <c r="X571" i="2" s="1"/>
  <c r="P570" i="2"/>
  <c r="Z570" i="2" s="1"/>
  <c r="P569" i="2"/>
  <c r="Z569" i="2" s="1"/>
  <c r="P568" i="2"/>
  <c r="Z568" i="2" s="1"/>
  <c r="P567" i="2"/>
  <c r="X567" i="2" s="1"/>
  <c r="P566" i="2"/>
  <c r="X566" i="2" s="1"/>
  <c r="P565" i="2"/>
  <c r="X565" i="2" s="1"/>
  <c r="P564" i="2"/>
  <c r="Z564" i="2" s="1"/>
  <c r="P563" i="2"/>
  <c r="R563" i="2" s="1"/>
  <c r="P562" i="2"/>
  <c r="X562" i="2" s="1"/>
  <c r="P561" i="2"/>
  <c r="Z561" i="2" s="1"/>
  <c r="P560" i="2"/>
  <c r="X560" i="2" s="1"/>
  <c r="P559" i="2"/>
  <c r="R559" i="2" s="1"/>
  <c r="P558" i="2"/>
  <c r="X558" i="2" s="1"/>
  <c r="P557" i="2"/>
  <c r="R557" i="2" s="1"/>
  <c r="P556" i="2"/>
  <c r="X556" i="2" s="1"/>
  <c r="P555" i="2"/>
  <c r="R555" i="2" s="1"/>
  <c r="P554" i="2"/>
  <c r="R554" i="2" s="1"/>
  <c r="P553" i="2"/>
  <c r="Z553" i="2" s="1"/>
  <c r="P552" i="2"/>
  <c r="X552" i="2" s="1"/>
  <c r="P551" i="2"/>
  <c r="R551" i="2" s="1"/>
  <c r="P550" i="2"/>
  <c r="X550" i="2" s="1"/>
  <c r="P549" i="2"/>
  <c r="R549" i="2" s="1"/>
  <c r="P548" i="2"/>
  <c r="Z548" i="2" s="1"/>
  <c r="P547" i="2"/>
  <c r="R547" i="2" s="1"/>
  <c r="P546" i="2"/>
  <c r="X546" i="2" s="1"/>
  <c r="P545" i="2"/>
  <c r="Z545" i="2" s="1"/>
  <c r="P544" i="2"/>
  <c r="X544" i="2" s="1"/>
  <c r="P543" i="2"/>
  <c r="R543" i="2" s="1"/>
  <c r="P542" i="2"/>
  <c r="X542" i="2" s="1"/>
  <c r="P541" i="2"/>
  <c r="R541" i="2" s="1"/>
  <c r="P540" i="2"/>
  <c r="X540" i="2" s="1"/>
  <c r="P539" i="2"/>
  <c r="R539" i="2" s="1"/>
  <c r="P538" i="2"/>
  <c r="X538" i="2" s="1"/>
  <c r="P537" i="2"/>
  <c r="Z537" i="2" s="1"/>
  <c r="P536" i="2"/>
  <c r="X536" i="2" s="1"/>
  <c r="P535" i="2"/>
  <c r="R535" i="2" s="1"/>
  <c r="P534" i="2"/>
  <c r="X534" i="2" s="1"/>
  <c r="P533" i="2"/>
  <c r="R533" i="2" s="1"/>
  <c r="P532" i="2"/>
  <c r="Z532" i="2" s="1"/>
  <c r="P531" i="2"/>
  <c r="R531" i="2" s="1"/>
  <c r="P530" i="2"/>
  <c r="R530" i="2" s="1"/>
  <c r="P529" i="2"/>
  <c r="Z529" i="2" s="1"/>
  <c r="P528" i="2"/>
  <c r="X528" i="2" s="1"/>
  <c r="P527" i="2"/>
  <c r="R527" i="2" s="1"/>
  <c r="P526" i="2"/>
  <c r="R526" i="2" s="1"/>
  <c r="P525" i="2"/>
  <c r="Z525" i="2" s="1"/>
  <c r="P524" i="2"/>
  <c r="R524" i="2" s="1"/>
  <c r="P523" i="2"/>
  <c r="Z523" i="2" s="1"/>
  <c r="P522" i="2"/>
  <c r="Z522" i="2" s="1"/>
  <c r="P521" i="2"/>
  <c r="X521" i="2" s="1"/>
  <c r="P520" i="2"/>
  <c r="Z520" i="2" s="1"/>
  <c r="P519" i="2"/>
  <c r="X519" i="2" s="1"/>
  <c r="P518" i="2"/>
  <c r="Z518" i="2" s="1"/>
  <c r="P517" i="2"/>
  <c r="Z517" i="2" s="1"/>
  <c r="P516" i="2"/>
  <c r="R516" i="2" s="1"/>
  <c r="P515" i="2"/>
  <c r="Z515" i="2" s="1"/>
  <c r="P514" i="2"/>
  <c r="Z514" i="2" s="1"/>
  <c r="P513" i="2"/>
  <c r="Z513" i="2" s="1"/>
  <c r="P512" i="2"/>
  <c r="Z512" i="2" s="1"/>
  <c r="P511" i="2"/>
  <c r="X511" i="2" s="1"/>
  <c r="P510" i="2"/>
  <c r="Z510" i="2" s="1"/>
  <c r="P509" i="2"/>
  <c r="Z509" i="2" s="1"/>
  <c r="P508" i="2"/>
  <c r="R508" i="2" s="1"/>
  <c r="P507" i="2"/>
  <c r="Z507" i="2" s="1"/>
  <c r="P506" i="2"/>
  <c r="Z506" i="2" s="1"/>
  <c r="P505" i="2"/>
  <c r="R505" i="2" s="1"/>
  <c r="P504" i="2"/>
  <c r="Z504" i="2" s="1"/>
  <c r="P503" i="2"/>
  <c r="X503" i="2" s="1"/>
  <c r="P502" i="2"/>
  <c r="Z502" i="2" s="1"/>
  <c r="P501" i="2"/>
  <c r="Z501" i="2" s="1"/>
  <c r="P500" i="2"/>
  <c r="R500" i="2" s="1"/>
  <c r="P499" i="2"/>
  <c r="Z499" i="2" s="1"/>
  <c r="P498" i="2"/>
  <c r="Z498" i="2" s="1"/>
  <c r="P497" i="2"/>
  <c r="Z497" i="2" s="1"/>
  <c r="P496" i="2"/>
  <c r="Z496" i="2" s="1"/>
  <c r="P495" i="2"/>
  <c r="X495" i="2" s="1"/>
  <c r="P494" i="2"/>
  <c r="Z494" i="2" s="1"/>
  <c r="P493" i="2"/>
  <c r="Z493" i="2" s="1"/>
  <c r="P492" i="2"/>
  <c r="R492" i="2" s="1"/>
  <c r="P491" i="2"/>
  <c r="Z491" i="2" s="1"/>
  <c r="P490" i="2"/>
  <c r="Z490" i="2" s="1"/>
  <c r="P489" i="2"/>
  <c r="X489" i="2" s="1"/>
  <c r="P488" i="2"/>
  <c r="Z488" i="2" s="1"/>
  <c r="P487" i="2"/>
  <c r="X487" i="2" s="1"/>
  <c r="P486" i="2"/>
  <c r="R486" i="2" s="1"/>
  <c r="P485" i="2"/>
  <c r="Z485" i="2" s="1"/>
  <c r="P484" i="2"/>
  <c r="R484" i="2" s="1"/>
  <c r="P483" i="2"/>
  <c r="Z483" i="2" s="1"/>
  <c r="P482" i="2"/>
  <c r="Z482" i="2" s="1"/>
  <c r="P481" i="2"/>
  <c r="Z481" i="2" s="1"/>
  <c r="P480" i="2"/>
  <c r="Z480" i="2" s="1"/>
  <c r="P479" i="2"/>
  <c r="X479" i="2" s="1"/>
  <c r="P478" i="2"/>
  <c r="Z478" i="2" s="1"/>
  <c r="P477" i="2"/>
  <c r="Z477" i="2" s="1"/>
  <c r="P476" i="2"/>
  <c r="R476" i="2" s="1"/>
  <c r="P475" i="2"/>
  <c r="Z475" i="2" s="1"/>
  <c r="AA651" i="2" l="1"/>
  <c r="AA623" i="2"/>
  <c r="AA646" i="2"/>
  <c r="AA668" i="2"/>
  <c r="AA632" i="2"/>
  <c r="AA636" i="2"/>
  <c r="AA619" i="2"/>
  <c r="AA644" i="2"/>
  <c r="AA641" i="2"/>
  <c r="AA660" i="2"/>
  <c r="AA657" i="2"/>
  <c r="AA663" i="2"/>
  <c r="AA658" i="2"/>
  <c r="AA675" i="2"/>
  <c r="AA647" i="2"/>
  <c r="AA629" i="2"/>
  <c r="AA617" i="2"/>
  <c r="AA637" i="2"/>
  <c r="AA655" i="2"/>
  <c r="Z567" i="2"/>
  <c r="AA652" i="2"/>
  <c r="AA627" i="2"/>
  <c r="AA615" i="2"/>
  <c r="Z489" i="2"/>
  <c r="AA626" i="2"/>
  <c r="AA625" i="2"/>
  <c r="Z580" i="2"/>
  <c r="Z607" i="2"/>
  <c r="AA618" i="2"/>
  <c r="AA621" i="2"/>
  <c r="X585" i="2"/>
  <c r="AA622" i="2"/>
  <c r="Z585" i="2"/>
  <c r="AA654" i="2"/>
  <c r="AA649" i="2"/>
  <c r="AA665" i="2"/>
  <c r="Z591" i="2"/>
  <c r="Z612" i="2"/>
  <c r="AA639" i="2"/>
  <c r="Z599" i="2"/>
  <c r="AA656" i="2"/>
  <c r="AA671" i="2"/>
  <c r="AA635" i="2"/>
  <c r="AA674" i="2"/>
  <c r="AA648" i="2"/>
  <c r="AA664" i="2"/>
  <c r="AA653" i="2"/>
  <c r="AA670" i="2"/>
  <c r="AA645" i="2"/>
  <c r="AA642" i="2"/>
  <c r="AA677" i="2"/>
  <c r="AA672" i="2"/>
  <c r="AA638" i="2"/>
  <c r="AA640" i="2"/>
  <c r="AA661" i="2"/>
  <c r="AA666" i="2"/>
  <c r="AA650" i="2"/>
  <c r="AA667" i="2"/>
  <c r="AA659" i="2"/>
  <c r="AA669" i="2"/>
  <c r="AA643" i="2"/>
  <c r="AA634" i="2"/>
  <c r="X572" i="2"/>
  <c r="R577" i="2"/>
  <c r="X604" i="2"/>
  <c r="R609" i="2"/>
  <c r="Z604" i="2"/>
  <c r="R569" i="2"/>
  <c r="Z577" i="2"/>
  <c r="X596" i="2"/>
  <c r="R601" i="2"/>
  <c r="Z609" i="2"/>
  <c r="X569" i="2"/>
  <c r="Z583" i="2"/>
  <c r="Z596" i="2"/>
  <c r="X601" i="2"/>
  <c r="AA614" i="2"/>
  <c r="Z557" i="2"/>
  <c r="X588" i="2"/>
  <c r="R593" i="2"/>
  <c r="AA631" i="2"/>
  <c r="Z572" i="2"/>
  <c r="Z575" i="2"/>
  <c r="Z588" i="2"/>
  <c r="X593" i="2"/>
  <c r="X580" i="2"/>
  <c r="X612" i="2"/>
  <c r="AA612" i="2" s="1"/>
  <c r="AA630" i="2"/>
  <c r="AA628" i="2"/>
  <c r="AA624" i="2"/>
  <c r="AA620" i="2"/>
  <c r="AA616" i="2"/>
  <c r="R566" i="2"/>
  <c r="R606" i="2"/>
  <c r="R579" i="2"/>
  <c r="R587" i="2"/>
  <c r="X590" i="2"/>
  <c r="R595" i="2"/>
  <c r="X598" i="2"/>
  <c r="Z566" i="2"/>
  <c r="R576" i="2"/>
  <c r="X579" i="2"/>
  <c r="Z582" i="2"/>
  <c r="R592" i="2"/>
  <c r="X595" i="2"/>
  <c r="Z598" i="2"/>
  <c r="Z606" i="2"/>
  <c r="R565" i="2"/>
  <c r="X568" i="2"/>
  <c r="Z571" i="2"/>
  <c r="X576" i="2"/>
  <c r="X584" i="2"/>
  <c r="Z587" i="2"/>
  <c r="X592" i="2"/>
  <c r="X600" i="2"/>
  <c r="Z603" i="2"/>
  <c r="R605" i="2"/>
  <c r="X608" i="2"/>
  <c r="R613" i="2"/>
  <c r="R578" i="2"/>
  <c r="R594" i="2"/>
  <c r="Z600" i="2"/>
  <c r="R602" i="2"/>
  <c r="X605" i="2"/>
  <c r="Z608" i="2"/>
  <c r="R610" i="2"/>
  <c r="X613" i="2"/>
  <c r="Z565" i="2"/>
  <c r="R567" i="2"/>
  <c r="X570" i="2"/>
  <c r="Z573" i="2"/>
  <c r="R575" i="2"/>
  <c r="X578" i="2"/>
  <c r="Z581" i="2"/>
  <c r="R583" i="2"/>
  <c r="X586" i="2"/>
  <c r="Z589" i="2"/>
  <c r="R591" i="2"/>
  <c r="X594" i="2"/>
  <c r="Z597" i="2"/>
  <c r="R599" i="2"/>
  <c r="X602" i="2"/>
  <c r="R607" i="2"/>
  <c r="X610" i="2"/>
  <c r="R574" i="2"/>
  <c r="R582" i="2"/>
  <c r="R590" i="2"/>
  <c r="R571" i="2"/>
  <c r="X574" i="2"/>
  <c r="R603" i="2"/>
  <c r="R611" i="2"/>
  <c r="R568" i="2"/>
  <c r="R584" i="2"/>
  <c r="X611" i="2"/>
  <c r="R573" i="2"/>
  <c r="AA573" i="2" s="1"/>
  <c r="R581" i="2"/>
  <c r="R589" i="2"/>
  <c r="R597" i="2"/>
  <c r="R570" i="2"/>
  <c r="R586" i="2"/>
  <c r="X512" i="2"/>
  <c r="X508" i="2"/>
  <c r="Z540" i="2"/>
  <c r="X530" i="2"/>
  <c r="Z530" i="2"/>
  <c r="Z508" i="2"/>
  <c r="R481" i="2"/>
  <c r="R496" i="2"/>
  <c r="X476" i="2"/>
  <c r="X527" i="2"/>
  <c r="X504" i="2"/>
  <c r="Z527" i="2"/>
  <c r="Z554" i="2"/>
  <c r="Z533" i="2"/>
  <c r="Z536" i="2"/>
  <c r="X481" i="2"/>
  <c r="Z521" i="2"/>
  <c r="X543" i="2"/>
  <c r="R489" i="2"/>
  <c r="Z500" i="2"/>
  <c r="R540" i="2"/>
  <c r="X554" i="2"/>
  <c r="AA554" i="2" s="1"/>
  <c r="X488" i="2"/>
  <c r="X492" i="2"/>
  <c r="Z549" i="2"/>
  <c r="Z511" i="2"/>
  <c r="Z543" i="2"/>
  <c r="X480" i="2"/>
  <c r="X484" i="2"/>
  <c r="R512" i="2"/>
  <c r="R525" i="2"/>
  <c r="X557" i="2"/>
  <c r="R548" i="2"/>
  <c r="X497" i="2"/>
  <c r="Z516" i="2"/>
  <c r="X541" i="2"/>
  <c r="X548" i="2"/>
  <c r="Z546" i="2"/>
  <c r="Z556" i="2"/>
  <c r="Z476" i="2"/>
  <c r="Z484" i="2"/>
  <c r="Z492" i="2"/>
  <c r="X496" i="2"/>
  <c r="X500" i="2"/>
  <c r="AA500" i="2" s="1"/>
  <c r="R504" i="2"/>
  <c r="Z519" i="2"/>
  <c r="X533" i="2"/>
  <c r="Z560" i="2"/>
  <c r="R497" i="2"/>
  <c r="R520" i="2"/>
  <c r="R538" i="2"/>
  <c r="Z544" i="2"/>
  <c r="X551" i="2"/>
  <c r="R501" i="2"/>
  <c r="X524" i="2"/>
  <c r="Z551" i="2"/>
  <c r="R562" i="2"/>
  <c r="Z479" i="2"/>
  <c r="X505" i="2"/>
  <c r="R509" i="2"/>
  <c r="Z528" i="2"/>
  <c r="R532" i="2"/>
  <c r="Z538" i="2"/>
  <c r="Z495" i="2"/>
  <c r="Z505" i="2"/>
  <c r="X513" i="2"/>
  <c r="R517" i="2"/>
  <c r="R521" i="2"/>
  <c r="X532" i="2"/>
  <c r="Z535" i="2"/>
  <c r="R546" i="2"/>
  <c r="Z552" i="2"/>
  <c r="R556" i="2"/>
  <c r="X559" i="2"/>
  <c r="R493" i="2"/>
  <c r="X516" i="2"/>
  <c r="X520" i="2"/>
  <c r="Z487" i="2"/>
  <c r="R513" i="2"/>
  <c r="Z524" i="2"/>
  <c r="X535" i="2"/>
  <c r="Z541" i="2"/>
  <c r="Z562" i="2"/>
  <c r="R480" i="2"/>
  <c r="R488" i="2"/>
  <c r="Z503" i="2"/>
  <c r="X549" i="2"/>
  <c r="Z559" i="2"/>
  <c r="R537" i="2"/>
  <c r="R561" i="2"/>
  <c r="Z526" i="2"/>
  <c r="R528" i="2"/>
  <c r="X531" i="2"/>
  <c r="Z534" i="2"/>
  <c r="R536" i="2"/>
  <c r="X539" i="2"/>
  <c r="Z542" i="2"/>
  <c r="R544" i="2"/>
  <c r="X547" i="2"/>
  <c r="Z550" i="2"/>
  <c r="R552" i="2"/>
  <c r="X555" i="2"/>
  <c r="Z558" i="2"/>
  <c r="R560" i="2"/>
  <c r="X563" i="2"/>
  <c r="R529" i="2"/>
  <c r="X529" i="2"/>
  <c r="R534" i="2"/>
  <c r="X537" i="2"/>
  <c r="R542" i="2"/>
  <c r="X553" i="2"/>
  <c r="R558" i="2"/>
  <c r="X561" i="2"/>
  <c r="X526" i="2"/>
  <c r="Z531" i="2"/>
  <c r="Z539" i="2"/>
  <c r="Z547" i="2"/>
  <c r="Z555" i="2"/>
  <c r="Z563" i="2"/>
  <c r="R553" i="2"/>
  <c r="R564" i="2"/>
  <c r="X564" i="2"/>
  <c r="R545" i="2"/>
  <c r="X545" i="2"/>
  <c r="R550" i="2"/>
  <c r="R478" i="2"/>
  <c r="R494" i="2"/>
  <c r="R502" i="2"/>
  <c r="R510" i="2"/>
  <c r="R518" i="2"/>
  <c r="R475" i="2"/>
  <c r="X478" i="2"/>
  <c r="R483" i="2"/>
  <c r="X486" i="2"/>
  <c r="R491" i="2"/>
  <c r="X494" i="2"/>
  <c r="R499" i="2"/>
  <c r="X502" i="2"/>
  <c r="R507" i="2"/>
  <c r="X510" i="2"/>
  <c r="R515" i="2"/>
  <c r="X518" i="2"/>
  <c r="R523" i="2"/>
  <c r="X475" i="2"/>
  <c r="X483" i="2"/>
  <c r="Z486" i="2"/>
  <c r="X491" i="2"/>
  <c r="X499" i="2"/>
  <c r="X507" i="2"/>
  <c r="X515" i="2"/>
  <c r="X523" i="2"/>
  <c r="R477" i="2"/>
  <c r="R485" i="2"/>
  <c r="X477" i="2"/>
  <c r="R482" i="2"/>
  <c r="X485" i="2"/>
  <c r="R490" i="2"/>
  <c r="X493" i="2"/>
  <c r="R498" i="2"/>
  <c r="X501" i="2"/>
  <c r="R506" i="2"/>
  <c r="X509" i="2"/>
  <c r="R514" i="2"/>
  <c r="X517" i="2"/>
  <c r="R522" i="2"/>
  <c r="X525" i="2"/>
  <c r="R479" i="2"/>
  <c r="X482" i="2"/>
  <c r="R487" i="2"/>
  <c r="X490" i="2"/>
  <c r="R495" i="2"/>
  <c r="X498" i="2"/>
  <c r="R503" i="2"/>
  <c r="X506" i="2"/>
  <c r="R511" i="2"/>
  <c r="X514" i="2"/>
  <c r="R519" i="2"/>
  <c r="X522" i="2"/>
  <c r="AA567" i="2" l="1"/>
  <c r="AA585" i="2"/>
  <c r="AA553" i="2"/>
  <c r="AA558" i="2"/>
  <c r="AA593" i="2"/>
  <c r="AA604" i="2"/>
  <c r="AA563" i="2"/>
  <c r="AA584" i="2"/>
  <c r="AA478" i="2"/>
  <c r="AA597" i="2"/>
  <c r="AA603" i="2"/>
  <c r="AA608" i="2"/>
  <c r="AA572" i="2"/>
  <c r="AA488" i="2"/>
  <c r="AA580" i="2"/>
  <c r="AA596" i="2"/>
  <c r="AA569" i="2"/>
  <c r="AA503" i="2"/>
  <c r="AA489" i="2"/>
  <c r="AA509" i="2"/>
  <c r="AA591" i="2"/>
  <c r="AA535" i="2"/>
  <c r="AA574" i="2"/>
  <c r="AA476" i="2"/>
  <c r="AA568" i="2"/>
  <c r="AA578" i="2"/>
  <c r="AA533" i="2"/>
  <c r="AA607" i="2"/>
  <c r="AA583" i="2"/>
  <c r="AA600" i="2"/>
  <c r="AA594" i="2"/>
  <c r="AA557" i="2"/>
  <c r="AA586" i="2"/>
  <c r="AA601" i="2"/>
  <c r="AA577" i="2"/>
  <c r="AA588" i="2"/>
  <c r="AA606" i="2"/>
  <c r="AA480" i="2"/>
  <c r="AA540" i="2"/>
  <c r="AA530" i="2"/>
  <c r="AA599" i="2"/>
  <c r="AA605" i="2"/>
  <c r="AA609" i="2"/>
  <c r="AA549" i="2"/>
  <c r="AA613" i="2"/>
  <c r="AA512" i="2"/>
  <c r="AA508" i="2"/>
  <c r="AA528" i="2"/>
  <c r="AA521" i="2"/>
  <c r="AA484" i="2"/>
  <c r="AA566" i="2"/>
  <c r="AA527" i="2"/>
  <c r="AA575" i="2"/>
  <c r="AA561" i="2"/>
  <c r="AA543" i="2"/>
  <c r="AA592" i="2"/>
  <c r="AA611" i="2"/>
  <c r="AA579" i="2"/>
  <c r="AA570" i="2"/>
  <c r="AA598" i="2"/>
  <c r="AA587" i="2"/>
  <c r="AA581" i="2"/>
  <c r="AA590" i="2"/>
  <c r="AA602" i="2"/>
  <c r="AA610" i="2"/>
  <c r="AA589" i="2"/>
  <c r="AA576" i="2"/>
  <c r="AA571" i="2"/>
  <c r="AA565" i="2"/>
  <c r="AA582" i="2"/>
  <c r="AA595" i="2"/>
  <c r="AA519" i="2"/>
  <c r="AA562" i="2"/>
  <c r="AA496" i="2"/>
  <c r="AA541" i="2"/>
  <c r="AA536" i="2"/>
  <c r="AA551" i="2"/>
  <c r="AA492" i="2"/>
  <c r="AA525" i="2"/>
  <c r="AA513" i="2"/>
  <c r="AA556" i="2"/>
  <c r="AA560" i="2"/>
  <c r="AA516" i="2"/>
  <c r="AA548" i="2"/>
  <c r="AA501" i="2"/>
  <c r="AA505" i="2"/>
  <c r="AA546" i="2"/>
  <c r="AA524" i="2"/>
  <c r="AA487" i="2"/>
  <c r="AA511" i="2"/>
  <c r="AA498" i="2"/>
  <c r="AA550" i="2"/>
  <c r="AA552" i="2"/>
  <c r="AA531" i="2"/>
  <c r="AA559" i="2"/>
  <c r="AA520" i="2"/>
  <c r="AA504" i="2"/>
  <c r="AA481" i="2"/>
  <c r="AA526" i="2"/>
  <c r="AA497" i="2"/>
  <c r="AA529" i="2"/>
  <c r="AA479" i="2"/>
  <c r="AA532" i="2"/>
  <c r="AA544" i="2"/>
  <c r="AA493" i="2"/>
  <c r="AA537" i="2"/>
  <c r="AA539" i="2"/>
  <c r="AA538" i="2"/>
  <c r="AA517" i="2"/>
  <c r="AA495" i="2"/>
  <c r="AA555" i="2"/>
  <c r="AA545" i="2"/>
  <c r="AA547" i="2"/>
  <c r="AA542" i="2"/>
  <c r="AA534" i="2"/>
  <c r="AA564" i="2"/>
  <c r="AA523" i="2"/>
  <c r="AA482" i="2"/>
  <c r="AA507" i="2"/>
  <c r="AA514" i="2"/>
  <c r="AA475" i="2"/>
  <c r="AA486" i="2"/>
  <c r="AA518" i="2"/>
  <c r="AA506" i="2"/>
  <c r="AA485" i="2"/>
  <c r="AA499" i="2"/>
  <c r="AA510" i="2"/>
  <c r="AA477" i="2"/>
  <c r="AA502" i="2"/>
  <c r="AA491" i="2"/>
  <c r="AA494" i="2"/>
  <c r="AA490" i="2"/>
  <c r="AA515" i="2"/>
  <c r="AA483" i="2"/>
  <c r="AA522" i="2"/>
  <c r="P474" i="2" l="1"/>
  <c r="Z474" i="2" s="1"/>
  <c r="P473" i="2"/>
  <c r="R473" i="2" s="1"/>
  <c r="P472" i="2"/>
  <c r="X472" i="2" s="1"/>
  <c r="P471" i="2"/>
  <c r="Z471" i="2" s="1"/>
  <c r="P470" i="2"/>
  <c r="Z470" i="2" s="1"/>
  <c r="P469" i="2"/>
  <c r="R469" i="2" s="1"/>
  <c r="P468" i="2"/>
  <c r="X468" i="2" s="1"/>
  <c r="P467" i="2"/>
  <c r="Z467" i="2" s="1"/>
  <c r="P466" i="2"/>
  <c r="Z466" i="2" s="1"/>
  <c r="P465" i="2"/>
  <c r="R465" i="2" s="1"/>
  <c r="P464" i="2"/>
  <c r="X464" i="2" s="1"/>
  <c r="P463" i="2"/>
  <c r="Z463" i="2" s="1"/>
  <c r="P462" i="2"/>
  <c r="R462" i="2" s="1"/>
  <c r="P461" i="2"/>
  <c r="R461" i="2" s="1"/>
  <c r="P460" i="2"/>
  <c r="X460" i="2" s="1"/>
  <c r="P459" i="2"/>
  <c r="Z459" i="2" s="1"/>
  <c r="P458" i="2"/>
  <c r="R458" i="2" s="1"/>
  <c r="P457" i="2"/>
  <c r="R457" i="2" s="1"/>
  <c r="P456" i="2"/>
  <c r="X456" i="2" s="1"/>
  <c r="P455" i="2"/>
  <c r="Z455" i="2" s="1"/>
  <c r="P454" i="2"/>
  <c r="Z454" i="2" s="1"/>
  <c r="P453" i="2"/>
  <c r="R453" i="2" s="1"/>
  <c r="P452" i="2"/>
  <c r="X452" i="2" s="1"/>
  <c r="P451" i="2"/>
  <c r="Z451" i="2" s="1"/>
  <c r="P450" i="2"/>
  <c r="Z450" i="2" s="1"/>
  <c r="P449" i="2"/>
  <c r="R449" i="2" s="1"/>
  <c r="P448" i="2"/>
  <c r="X448" i="2" s="1"/>
  <c r="P447" i="2"/>
  <c r="Z447" i="2" s="1"/>
  <c r="P446" i="2"/>
  <c r="Z446" i="2" s="1"/>
  <c r="P445" i="2"/>
  <c r="R445" i="2" s="1"/>
  <c r="P444" i="2"/>
  <c r="X444" i="2" s="1"/>
  <c r="P443" i="2"/>
  <c r="Z443" i="2" s="1"/>
  <c r="P442" i="2"/>
  <c r="R442" i="2" s="1"/>
  <c r="P441" i="2"/>
  <c r="R441" i="2" s="1"/>
  <c r="P440" i="2"/>
  <c r="X440" i="2" s="1"/>
  <c r="P439" i="2"/>
  <c r="Z439" i="2" s="1"/>
  <c r="P438" i="2"/>
  <c r="R438" i="2" s="1"/>
  <c r="P437" i="2"/>
  <c r="R437" i="2" s="1"/>
  <c r="P436" i="2"/>
  <c r="X436" i="2" s="1"/>
  <c r="P435" i="2"/>
  <c r="Z435" i="2" s="1"/>
  <c r="P434" i="2"/>
  <c r="X434" i="2" s="1"/>
  <c r="P433" i="2"/>
  <c r="R433" i="2" s="1"/>
  <c r="P432" i="2"/>
  <c r="X432" i="2" s="1"/>
  <c r="P431" i="2"/>
  <c r="Z431" i="2" s="1"/>
  <c r="P430" i="2"/>
  <c r="Z430" i="2" s="1"/>
  <c r="P429" i="2"/>
  <c r="R429" i="2" s="1"/>
  <c r="P428" i="2"/>
  <c r="X428" i="2" s="1"/>
  <c r="P427" i="2"/>
  <c r="Z427" i="2" s="1"/>
  <c r="P426" i="2"/>
  <c r="Z426" i="2" s="1"/>
  <c r="P425" i="2"/>
  <c r="R425" i="2" s="1"/>
  <c r="P424" i="2"/>
  <c r="X424" i="2" s="1"/>
  <c r="P423" i="2"/>
  <c r="Z423" i="2" s="1"/>
  <c r="P422" i="2"/>
  <c r="R422" i="2" s="1"/>
  <c r="P421" i="2"/>
  <c r="R421" i="2" s="1"/>
  <c r="P420" i="2"/>
  <c r="Z420" i="2" s="1"/>
  <c r="P419" i="2"/>
  <c r="R419" i="2" s="1"/>
  <c r="P418" i="2"/>
  <c r="Z418" i="2" s="1"/>
  <c r="P417" i="2"/>
  <c r="Z417" i="2" s="1"/>
  <c r="P416" i="2"/>
  <c r="X416" i="2" s="1"/>
  <c r="P415" i="2"/>
  <c r="X415" i="2" s="1"/>
  <c r="P414" i="2"/>
  <c r="X414" i="2" s="1"/>
  <c r="P413" i="2"/>
  <c r="R413" i="2" s="1"/>
  <c r="P412" i="2"/>
  <c r="Z412" i="2" s="1"/>
  <c r="P411" i="2"/>
  <c r="R411" i="2" s="1"/>
  <c r="P410" i="2"/>
  <c r="Z410" i="2" s="1"/>
  <c r="P409" i="2"/>
  <c r="Z409" i="2" s="1"/>
  <c r="P408" i="2"/>
  <c r="X408" i="2" s="1"/>
  <c r="P407" i="2"/>
  <c r="X407" i="2" s="1"/>
  <c r="P406" i="2"/>
  <c r="X406" i="2" s="1"/>
  <c r="P405" i="2"/>
  <c r="R405" i="2" s="1"/>
  <c r="P404" i="2"/>
  <c r="X404" i="2" s="1"/>
  <c r="P403" i="2"/>
  <c r="R403" i="2" s="1"/>
  <c r="P402" i="2"/>
  <c r="R402" i="2" s="1"/>
  <c r="P401" i="2"/>
  <c r="Z401" i="2" s="1"/>
  <c r="P400" i="2"/>
  <c r="X400" i="2" s="1"/>
  <c r="P399" i="2"/>
  <c r="X399" i="2" s="1"/>
  <c r="P398" i="2"/>
  <c r="X398" i="2" s="1"/>
  <c r="P397" i="2"/>
  <c r="R397" i="2" s="1"/>
  <c r="P396" i="2"/>
  <c r="Z396" i="2" s="1"/>
  <c r="P395" i="2"/>
  <c r="R395" i="2" s="1"/>
  <c r="P394" i="2"/>
  <c r="Z394" i="2" s="1"/>
  <c r="P393" i="2"/>
  <c r="Z393" i="2" s="1"/>
  <c r="P392" i="2"/>
  <c r="X392" i="2" s="1"/>
  <c r="P391" i="2"/>
  <c r="X391" i="2" s="1"/>
  <c r="P390" i="2"/>
  <c r="X390" i="2" s="1"/>
  <c r="P389" i="2"/>
  <c r="R389" i="2" s="1"/>
  <c r="P388" i="2"/>
  <c r="Z388" i="2" s="1"/>
  <c r="P387" i="2"/>
  <c r="R387" i="2" s="1"/>
  <c r="P386" i="2"/>
  <c r="R386" i="2" s="1"/>
  <c r="P385" i="2"/>
  <c r="Z385" i="2" s="1"/>
  <c r="P384" i="2"/>
  <c r="X384" i="2" s="1"/>
  <c r="P383" i="2"/>
  <c r="X383" i="2" s="1"/>
  <c r="P382" i="2"/>
  <c r="X382" i="2" s="1"/>
  <c r="P381" i="2"/>
  <c r="R381" i="2" s="1"/>
  <c r="P380" i="2"/>
  <c r="X380" i="2" s="1"/>
  <c r="P379" i="2"/>
  <c r="R379" i="2" s="1"/>
  <c r="P378" i="2"/>
  <c r="X378" i="2" s="1"/>
  <c r="P377" i="2"/>
  <c r="Z377" i="2" s="1"/>
  <c r="P376" i="2"/>
  <c r="X376" i="2" s="1"/>
  <c r="P375" i="2"/>
  <c r="X375" i="2" s="1"/>
  <c r="P374" i="2"/>
  <c r="X374" i="2" s="1"/>
  <c r="P373" i="2"/>
  <c r="X373" i="2" s="1"/>
  <c r="P372" i="2"/>
  <c r="R372" i="2" s="1"/>
  <c r="P371" i="2"/>
  <c r="Z371" i="2" s="1"/>
  <c r="P370" i="2"/>
  <c r="Z370" i="2" s="1"/>
  <c r="P369" i="2"/>
  <c r="X369" i="2" s="1"/>
  <c r="P368" i="2"/>
  <c r="Z368" i="2" s="1"/>
  <c r="P367" i="2"/>
  <c r="Z367" i="2" s="1"/>
  <c r="P366" i="2"/>
  <c r="Z366" i="2" s="1"/>
  <c r="P365" i="2"/>
  <c r="X365" i="2" s="1"/>
  <c r="P364" i="2"/>
  <c r="R364" i="2" s="1"/>
  <c r="P363" i="2"/>
  <c r="Z363" i="2" s="1"/>
  <c r="P362" i="2"/>
  <c r="R362" i="2" s="1"/>
  <c r="P361" i="2"/>
  <c r="X361" i="2" s="1"/>
  <c r="P360" i="2"/>
  <c r="Z360" i="2" s="1"/>
  <c r="P359" i="2"/>
  <c r="Z359" i="2" s="1"/>
  <c r="P358" i="2"/>
  <c r="Z358" i="2" s="1"/>
  <c r="P357" i="2"/>
  <c r="Z357" i="2" s="1"/>
  <c r="P356" i="2"/>
  <c r="R356" i="2" s="1"/>
  <c r="P355" i="2"/>
  <c r="Z355" i="2" s="1"/>
  <c r="P354" i="2"/>
  <c r="R354" i="2" s="1"/>
  <c r="P353" i="2"/>
  <c r="X353" i="2" s="1"/>
  <c r="P352" i="2"/>
  <c r="Z352" i="2" s="1"/>
  <c r="P351" i="2"/>
  <c r="R351" i="2" s="1"/>
  <c r="P350" i="2"/>
  <c r="Z350" i="2" s="1"/>
  <c r="P349" i="2"/>
  <c r="R349" i="2" s="1"/>
  <c r="P348" i="2"/>
  <c r="R348" i="2" s="1"/>
  <c r="P347" i="2"/>
  <c r="Z347" i="2" s="1"/>
  <c r="P346" i="2"/>
  <c r="Z346" i="2" s="1"/>
  <c r="P345" i="2"/>
  <c r="X345" i="2" s="1"/>
  <c r="P344" i="2"/>
  <c r="Z344" i="2" s="1"/>
  <c r="P343" i="2"/>
  <c r="Z343" i="2" s="1"/>
  <c r="P342" i="2"/>
  <c r="Z342" i="2" s="1"/>
  <c r="P341" i="2"/>
  <c r="X341" i="2" s="1"/>
  <c r="P340" i="2"/>
  <c r="R340" i="2" s="1"/>
  <c r="P339" i="2"/>
  <c r="Z339" i="2" s="1"/>
  <c r="P338" i="2"/>
  <c r="R338" i="2" s="1"/>
  <c r="P337" i="2"/>
  <c r="X337" i="2" s="1"/>
  <c r="P336" i="2"/>
  <c r="Z336" i="2" s="1"/>
  <c r="P335" i="2"/>
  <c r="Z335" i="2" s="1"/>
  <c r="P334" i="2"/>
  <c r="Z334" i="2" s="1"/>
  <c r="P333" i="2"/>
  <c r="Z333" i="2" s="1"/>
  <c r="P332" i="2"/>
  <c r="R332" i="2" s="1"/>
  <c r="P331" i="2"/>
  <c r="Z331" i="2" s="1"/>
  <c r="P330" i="2"/>
  <c r="Z330" i="2" s="1"/>
  <c r="P329" i="2"/>
  <c r="X329" i="2" s="1"/>
  <c r="P328" i="2"/>
  <c r="Z328" i="2" s="1"/>
  <c r="P327" i="2"/>
  <c r="X327" i="2" s="1"/>
  <c r="P326" i="2"/>
  <c r="Z326" i="2" s="1"/>
  <c r="P325" i="2"/>
  <c r="R325" i="2" s="1"/>
  <c r="P324" i="2"/>
  <c r="R324" i="2" s="1"/>
  <c r="P323" i="2"/>
  <c r="Z323" i="2" s="1"/>
  <c r="P322" i="2"/>
  <c r="R322" i="2" s="1"/>
  <c r="P321" i="2"/>
  <c r="X321" i="2" s="1"/>
  <c r="P320" i="2"/>
  <c r="Z320" i="2" s="1"/>
  <c r="P319" i="2"/>
  <c r="Z319" i="2" s="1"/>
  <c r="P318" i="2"/>
  <c r="R318" i="2" s="1"/>
  <c r="P317" i="2"/>
  <c r="Z317" i="2" s="1"/>
  <c r="P316" i="2"/>
  <c r="Z316" i="2" s="1"/>
  <c r="P315" i="2"/>
  <c r="Z315" i="2" s="1"/>
  <c r="P314" i="2"/>
  <c r="R314" i="2" s="1"/>
  <c r="P313" i="2"/>
  <c r="X313" i="2" s="1"/>
  <c r="P312" i="2"/>
  <c r="R312" i="2" s="1"/>
  <c r="P311" i="2"/>
  <c r="Z311" i="2" s="1"/>
  <c r="P310" i="2"/>
  <c r="R310" i="2" s="1"/>
  <c r="P309" i="2"/>
  <c r="X309" i="2" s="1"/>
  <c r="P308" i="2"/>
  <c r="Z308" i="2" s="1"/>
  <c r="P307" i="2"/>
  <c r="X307" i="2" s="1"/>
  <c r="P306" i="2"/>
  <c r="R306" i="2" s="1"/>
  <c r="P305" i="2"/>
  <c r="X305" i="2" s="1"/>
  <c r="P304" i="2"/>
  <c r="X304" i="2" s="1"/>
  <c r="P303" i="2"/>
  <c r="R303" i="2" s="1"/>
  <c r="P302" i="2"/>
  <c r="R302" i="2" s="1"/>
  <c r="P301" i="2"/>
  <c r="Z301" i="2" s="1"/>
  <c r="P300" i="2"/>
  <c r="Z300" i="2" s="1"/>
  <c r="P299" i="2"/>
  <c r="Z299" i="2" s="1"/>
  <c r="P298" i="2"/>
  <c r="X298" i="2" s="1"/>
  <c r="P297" i="2"/>
  <c r="R297" i="2" s="1"/>
  <c r="P296" i="2"/>
  <c r="Z296" i="2" s="1"/>
  <c r="P295" i="2"/>
  <c r="R295" i="2" s="1"/>
  <c r="P294" i="2"/>
  <c r="Z294" i="2" s="1"/>
  <c r="P293" i="2"/>
  <c r="X293" i="2" s="1"/>
  <c r="P292" i="2"/>
  <c r="Z292" i="2" s="1"/>
  <c r="P291" i="2"/>
  <c r="X291" i="2" s="1"/>
  <c r="P290" i="2"/>
  <c r="X290" i="2" s="1"/>
  <c r="P289" i="2"/>
  <c r="R289" i="2" s="1"/>
  <c r="P288" i="2"/>
  <c r="X288" i="2" s="1"/>
  <c r="P287" i="2"/>
  <c r="Z287" i="2" s="1"/>
  <c r="P286" i="2"/>
  <c r="R286" i="2" s="1"/>
  <c r="P285" i="2"/>
  <c r="Z285" i="2" s="1"/>
  <c r="P284" i="2"/>
  <c r="Z284" i="2" s="1"/>
  <c r="P283" i="2"/>
  <c r="X283" i="2" s="1"/>
  <c r="P282" i="2"/>
  <c r="X282" i="2" s="1"/>
  <c r="P281" i="2"/>
  <c r="X281" i="2" s="1"/>
  <c r="P280" i="2"/>
  <c r="Z280" i="2" s="1"/>
  <c r="P279" i="2"/>
  <c r="Z279" i="2" s="1"/>
  <c r="P278" i="2"/>
  <c r="R278" i="2" s="1"/>
  <c r="P277" i="2"/>
  <c r="R277" i="2" s="1"/>
  <c r="P276" i="2"/>
  <c r="Z276" i="2" s="1"/>
  <c r="P275" i="2"/>
  <c r="R275" i="2" s="1"/>
  <c r="P274" i="2"/>
  <c r="R274" i="2" s="1"/>
  <c r="P273" i="2"/>
  <c r="Z273" i="2" s="1"/>
  <c r="P272" i="2"/>
  <c r="X272" i="2" s="1"/>
  <c r="P271" i="2"/>
  <c r="Z271" i="2" s="1"/>
  <c r="P270" i="2"/>
  <c r="Z270" i="2" s="1"/>
  <c r="P269" i="2"/>
  <c r="R269" i="2" s="1"/>
  <c r="P268" i="2"/>
  <c r="Z268" i="2" s="1"/>
  <c r="P267" i="2"/>
  <c r="Z267" i="2" s="1"/>
  <c r="P266" i="2"/>
  <c r="Z266" i="2" s="1"/>
  <c r="P265" i="2"/>
  <c r="Z265" i="2" s="1"/>
  <c r="P264" i="2"/>
  <c r="X264" i="2" s="1"/>
  <c r="P263" i="2"/>
  <c r="Z263" i="2" s="1"/>
  <c r="P262" i="2"/>
  <c r="Z262" i="2" s="1"/>
  <c r="P261" i="2"/>
  <c r="R261" i="2" s="1"/>
  <c r="P260" i="2"/>
  <c r="Z260" i="2" s="1"/>
  <c r="P259" i="2"/>
  <c r="Z259" i="2" s="1"/>
  <c r="P258" i="2"/>
  <c r="Z258" i="2" s="1"/>
  <c r="P257" i="2"/>
  <c r="Z257" i="2" s="1"/>
  <c r="P256" i="2"/>
  <c r="R256" i="2" s="1"/>
  <c r="P255" i="2"/>
  <c r="Z255" i="2" s="1"/>
  <c r="P254" i="2"/>
  <c r="Z254" i="2" s="1"/>
  <c r="P253" i="2"/>
  <c r="R253" i="2" s="1"/>
  <c r="P252" i="2"/>
  <c r="Z252" i="2" s="1"/>
  <c r="P251" i="2"/>
  <c r="Z251" i="2" s="1"/>
  <c r="P250" i="2"/>
  <c r="Z250" i="2" s="1"/>
  <c r="P249" i="2"/>
  <c r="Z249" i="2" s="1"/>
  <c r="P248" i="2"/>
  <c r="X248" i="2" s="1"/>
  <c r="P247" i="2"/>
  <c r="Z247" i="2" s="1"/>
  <c r="P246" i="2"/>
  <c r="R246" i="2" s="1"/>
  <c r="P245" i="2"/>
  <c r="R245" i="2" s="1"/>
  <c r="P244" i="2"/>
  <c r="Z244" i="2" s="1"/>
  <c r="P243" i="2"/>
  <c r="Z243" i="2" s="1"/>
  <c r="P242" i="2"/>
  <c r="Z242" i="2" s="1"/>
  <c r="P241" i="2"/>
  <c r="Z241" i="2" s="1"/>
  <c r="P240" i="2"/>
  <c r="Z240" i="2" s="1"/>
  <c r="P239" i="2"/>
  <c r="Z239" i="2" s="1"/>
  <c r="P238" i="2"/>
  <c r="Z238" i="2" s="1"/>
  <c r="P237" i="2"/>
  <c r="Z237" i="2" s="1"/>
  <c r="P236" i="2"/>
  <c r="X236" i="2" s="1"/>
  <c r="P235" i="2"/>
  <c r="X235" i="2" s="1"/>
  <c r="P234" i="2"/>
  <c r="Z234" i="2" s="1"/>
  <c r="P233" i="2"/>
  <c r="Z233" i="2" s="1"/>
  <c r="P232" i="2"/>
  <c r="X232" i="2" s="1"/>
  <c r="P231" i="2"/>
  <c r="Z231" i="2" s="1"/>
  <c r="P230" i="2"/>
  <c r="X230" i="2" s="1"/>
  <c r="P229" i="2"/>
  <c r="Z229" i="2" s="1"/>
  <c r="P228" i="2"/>
  <c r="Z228" i="2" s="1"/>
  <c r="P227" i="2"/>
  <c r="Z227" i="2" s="1"/>
  <c r="P226" i="2"/>
  <c r="R226" i="2" s="1"/>
  <c r="P225" i="2"/>
  <c r="X225" i="2" s="1"/>
  <c r="P224" i="2"/>
  <c r="Z224" i="2" s="1"/>
  <c r="P223" i="2"/>
  <c r="X223" i="2" s="1"/>
  <c r="P222" i="2"/>
  <c r="X222" i="2" s="1"/>
  <c r="P221" i="2"/>
  <c r="X221" i="2" s="1"/>
  <c r="P220" i="2"/>
  <c r="R220" i="2" s="1"/>
  <c r="P219" i="2"/>
  <c r="Z219" i="2" s="1"/>
  <c r="P218" i="2"/>
  <c r="R218" i="2" s="1"/>
  <c r="P217" i="2"/>
  <c r="X217" i="2" s="1"/>
  <c r="P216" i="2"/>
  <c r="Z216" i="2" s="1"/>
  <c r="P215" i="2"/>
  <c r="X215" i="2" s="1"/>
  <c r="P214" i="2"/>
  <c r="X214" i="2" s="1"/>
  <c r="P213" i="2"/>
  <c r="X213" i="2" s="1"/>
  <c r="P212" i="2"/>
  <c r="R212" i="2" s="1"/>
  <c r="P211" i="2"/>
  <c r="Z211" i="2" s="1"/>
  <c r="P210" i="2"/>
  <c r="R210" i="2" s="1"/>
  <c r="P209" i="2"/>
  <c r="Z209" i="2" s="1"/>
  <c r="P208" i="2"/>
  <c r="Z208" i="2" s="1"/>
  <c r="P207" i="2"/>
  <c r="X207" i="2" s="1"/>
  <c r="P206" i="2"/>
  <c r="R206" i="2" s="1"/>
  <c r="P205" i="2"/>
  <c r="X205" i="2" s="1"/>
  <c r="P204" i="2"/>
  <c r="R204" i="2" s="1"/>
  <c r="P203" i="2"/>
  <c r="Z203" i="2" s="1"/>
  <c r="P202" i="2"/>
  <c r="R202" i="2" s="1"/>
  <c r="P201" i="2"/>
  <c r="R201" i="2" s="1"/>
  <c r="P200" i="2"/>
  <c r="Z200" i="2" s="1"/>
  <c r="P199" i="2"/>
  <c r="X199" i="2" s="1"/>
  <c r="P198" i="2"/>
  <c r="X198" i="2" s="1"/>
  <c r="P197" i="2"/>
  <c r="X197" i="2" s="1"/>
  <c r="P196" i="2"/>
  <c r="R196" i="2" s="1"/>
  <c r="P195" i="2"/>
  <c r="Z195" i="2" s="1"/>
  <c r="P194" i="2"/>
  <c r="R194" i="2" s="1"/>
  <c r="P193" i="2"/>
  <c r="Z193" i="2" s="1"/>
  <c r="P192" i="2"/>
  <c r="Z192" i="2" s="1"/>
  <c r="P191" i="2"/>
  <c r="X191" i="2" s="1"/>
  <c r="P190" i="2"/>
  <c r="Z190" i="2" s="1"/>
  <c r="P189" i="2"/>
  <c r="X189" i="2" s="1"/>
  <c r="P188" i="2"/>
  <c r="R188" i="2" s="1"/>
  <c r="P187" i="2"/>
  <c r="X187" i="2" s="1"/>
  <c r="P186" i="2"/>
  <c r="R186" i="2" s="1"/>
  <c r="P185" i="2"/>
  <c r="Z185" i="2" s="1"/>
  <c r="P184" i="2"/>
  <c r="Z184" i="2" s="1"/>
  <c r="P183" i="2"/>
  <c r="Z183" i="2" s="1"/>
  <c r="P182" i="2"/>
  <c r="X182" i="2" s="1"/>
  <c r="P181" i="2"/>
  <c r="R181" i="2" s="1"/>
  <c r="P180" i="2"/>
  <c r="X180" i="2" s="1"/>
  <c r="P179" i="2"/>
  <c r="R179" i="2" s="1"/>
  <c r="P178" i="2"/>
  <c r="Z178" i="2" s="1"/>
  <c r="P177" i="2"/>
  <c r="Z177" i="2" s="1"/>
  <c r="P176" i="2"/>
  <c r="R176" i="2" s="1"/>
  <c r="P175" i="2"/>
  <c r="Z175" i="2" s="1"/>
  <c r="P174" i="2"/>
  <c r="X174" i="2" s="1"/>
  <c r="P173" i="2"/>
  <c r="X173" i="2" s="1"/>
  <c r="P172" i="2"/>
  <c r="X172" i="2" s="1"/>
  <c r="P171" i="2"/>
  <c r="R171" i="2" s="1"/>
  <c r="P170" i="2"/>
  <c r="Z170" i="2" s="1"/>
  <c r="P169" i="2"/>
  <c r="Z169" i="2" s="1"/>
  <c r="P168" i="2"/>
  <c r="Z168" i="2" s="1"/>
  <c r="P167" i="2"/>
  <c r="R167" i="2" s="1"/>
  <c r="P166" i="2"/>
  <c r="X166" i="2" s="1"/>
  <c r="P165" i="2"/>
  <c r="X165" i="2" s="1"/>
  <c r="P164" i="2"/>
  <c r="R164" i="2" s="1"/>
  <c r="P163" i="2"/>
  <c r="R163" i="2" s="1"/>
  <c r="P162" i="2"/>
  <c r="R162" i="2" s="1"/>
  <c r="P161" i="2"/>
  <c r="Z161" i="2" s="1"/>
  <c r="P160" i="2"/>
  <c r="Z160" i="2" s="1"/>
  <c r="P159" i="2"/>
  <c r="R159" i="2" s="1"/>
  <c r="P158" i="2"/>
  <c r="X158" i="2" s="1"/>
  <c r="P157" i="2"/>
  <c r="R157" i="2" s="1"/>
  <c r="P156" i="2"/>
  <c r="X156" i="2" s="1"/>
  <c r="P155" i="2"/>
  <c r="R155" i="2" s="1"/>
  <c r="P154" i="2"/>
  <c r="Z154" i="2" s="1"/>
  <c r="P153" i="2"/>
  <c r="Z153" i="2" s="1"/>
  <c r="P152" i="2"/>
  <c r="Z152" i="2" s="1"/>
  <c r="P151" i="2"/>
  <c r="Z151" i="2" s="1"/>
  <c r="P150" i="2"/>
  <c r="X150" i="2" s="1"/>
  <c r="P149" i="2"/>
  <c r="X149" i="2" s="1"/>
  <c r="P148" i="2"/>
  <c r="X148" i="2" s="1"/>
  <c r="P147" i="2"/>
  <c r="R147" i="2" s="1"/>
  <c r="P146" i="2"/>
  <c r="R146" i="2" s="1"/>
  <c r="P145" i="2"/>
  <c r="Z145" i="2" s="1"/>
  <c r="P144" i="2"/>
  <c r="R144" i="2" s="1"/>
  <c r="P143" i="2"/>
  <c r="Z143" i="2" s="1"/>
  <c r="P142" i="2"/>
  <c r="R142" i="2" s="1"/>
  <c r="P141" i="2"/>
  <c r="Z141" i="2" s="1"/>
  <c r="P140" i="2"/>
  <c r="Z140" i="2" s="1"/>
  <c r="P139" i="2"/>
  <c r="R139" i="2" s="1"/>
  <c r="P138" i="2"/>
  <c r="R138" i="2" s="1"/>
  <c r="P137" i="2"/>
  <c r="X137" i="2" s="1"/>
  <c r="P136" i="2"/>
  <c r="Z136" i="2" s="1"/>
  <c r="P135" i="2"/>
  <c r="Z135" i="2" s="1"/>
  <c r="P134" i="2"/>
  <c r="R134" i="2" s="1"/>
  <c r="P133" i="2"/>
  <c r="Z133" i="2" s="1"/>
  <c r="P132" i="2"/>
  <c r="Z132" i="2" s="1"/>
  <c r="P131" i="2"/>
  <c r="R131" i="2" s="1"/>
  <c r="P130" i="2"/>
  <c r="R130" i="2" s="1"/>
  <c r="P129" i="2"/>
  <c r="X129" i="2" s="1"/>
  <c r="P128" i="2"/>
  <c r="Z128" i="2" s="1"/>
  <c r="P127" i="2"/>
  <c r="X127" i="2" s="1"/>
  <c r="P126" i="2"/>
  <c r="R126" i="2" s="1"/>
  <c r="P125" i="2"/>
  <c r="Z125" i="2" s="1"/>
  <c r="P124" i="2"/>
  <c r="Z124" i="2" s="1"/>
  <c r="P123" i="2"/>
  <c r="Z123" i="2" s="1"/>
  <c r="P122" i="2"/>
  <c r="R122" i="2" s="1"/>
  <c r="P121" i="2"/>
  <c r="X121" i="2" s="1"/>
  <c r="P120" i="2"/>
  <c r="Z120" i="2" s="1"/>
  <c r="P119" i="2"/>
  <c r="R119" i="2" s="1"/>
  <c r="P118" i="2"/>
  <c r="R118" i="2" s="1"/>
  <c r="P117" i="2"/>
  <c r="Z117" i="2" s="1"/>
  <c r="P116" i="2"/>
  <c r="Z116" i="2" s="1"/>
  <c r="P115" i="2"/>
  <c r="R115" i="2" s="1"/>
  <c r="P114" i="2"/>
  <c r="R114" i="2" s="1"/>
  <c r="P113" i="2"/>
  <c r="X113" i="2" s="1"/>
  <c r="P112" i="2"/>
  <c r="Z112" i="2" s="1"/>
  <c r="P111" i="2"/>
  <c r="X111" i="2" s="1"/>
  <c r="P110" i="2"/>
  <c r="R110" i="2" s="1"/>
  <c r="P109" i="2"/>
  <c r="Z109" i="2" s="1"/>
  <c r="P108" i="2"/>
  <c r="Z108" i="2" s="1"/>
  <c r="P107" i="2"/>
  <c r="Z107" i="2" s="1"/>
  <c r="P106" i="2"/>
  <c r="R106" i="2" s="1"/>
  <c r="P105" i="2"/>
  <c r="X105" i="2" s="1"/>
  <c r="P104" i="2"/>
  <c r="Z104" i="2" s="1"/>
  <c r="P103" i="2"/>
  <c r="X103" i="2" s="1"/>
  <c r="P102" i="2"/>
  <c r="R102" i="2" s="1"/>
  <c r="P101" i="2"/>
  <c r="Z101" i="2" s="1"/>
  <c r="P100" i="2"/>
  <c r="Z100" i="2" s="1"/>
  <c r="P99" i="2"/>
  <c r="R99" i="2" s="1"/>
  <c r="P98" i="2"/>
  <c r="X98" i="2" s="1"/>
  <c r="P97" i="2"/>
  <c r="Z97" i="2" s="1"/>
  <c r="P96" i="2"/>
  <c r="R96" i="2" s="1"/>
  <c r="P95" i="2"/>
  <c r="R95" i="2" s="1"/>
  <c r="P94" i="2"/>
  <c r="X94" i="2" s="1"/>
  <c r="P93" i="2"/>
  <c r="Z93" i="2" s="1"/>
  <c r="P92" i="2"/>
  <c r="Z92" i="2" s="1"/>
  <c r="P91" i="2"/>
  <c r="R91" i="2" s="1"/>
  <c r="P90" i="2"/>
  <c r="X90" i="2" s="1"/>
  <c r="P89" i="2"/>
  <c r="Z89" i="2" s="1"/>
  <c r="P88" i="2"/>
  <c r="R88" i="2" s="1"/>
  <c r="P87" i="2"/>
  <c r="R87" i="2" s="1"/>
  <c r="P86" i="2"/>
  <c r="X86" i="2" s="1"/>
  <c r="P85" i="2"/>
  <c r="Z85" i="2" s="1"/>
  <c r="P84" i="2"/>
  <c r="R84" i="2" s="1"/>
  <c r="P83" i="2"/>
  <c r="R83" i="2" s="1"/>
  <c r="P82" i="2"/>
  <c r="X82" i="2" s="1"/>
  <c r="P81" i="2"/>
  <c r="Z81" i="2" s="1"/>
  <c r="P80" i="2"/>
  <c r="R80" i="2" s="1"/>
  <c r="P79" i="2"/>
  <c r="R79" i="2" s="1"/>
  <c r="P78" i="2"/>
  <c r="X78" i="2" s="1"/>
  <c r="P77" i="2"/>
  <c r="Z77" i="2" s="1"/>
  <c r="P76" i="2"/>
  <c r="Z76" i="2" s="1"/>
  <c r="P75" i="2"/>
  <c r="R75" i="2" s="1"/>
  <c r="P74" i="2"/>
  <c r="X74" i="2" s="1"/>
  <c r="P73" i="2"/>
  <c r="Z73" i="2" s="1"/>
  <c r="P72" i="2"/>
  <c r="R72" i="2" s="1"/>
  <c r="P71" i="2"/>
  <c r="R71" i="2" s="1"/>
  <c r="P70" i="2"/>
  <c r="X70" i="2" s="1"/>
  <c r="P69" i="2"/>
  <c r="Z69" i="2" s="1"/>
  <c r="P68" i="2"/>
  <c r="Z68" i="2" s="1"/>
  <c r="P67" i="2"/>
  <c r="R67" i="2" s="1"/>
  <c r="P66" i="2"/>
  <c r="X66" i="2" s="1"/>
  <c r="P65" i="2"/>
  <c r="Z65" i="2" s="1"/>
  <c r="P64" i="2"/>
  <c r="R64" i="2" s="1"/>
  <c r="P63" i="2"/>
  <c r="R63" i="2" s="1"/>
  <c r="P62" i="2"/>
  <c r="X62" i="2" s="1"/>
  <c r="P61" i="2"/>
  <c r="Z61" i="2" s="1"/>
  <c r="P60" i="2"/>
  <c r="Z60" i="2" s="1"/>
  <c r="P59" i="2"/>
  <c r="R59" i="2" s="1"/>
  <c r="P58" i="2"/>
  <c r="X58" i="2" s="1"/>
  <c r="P57" i="2"/>
  <c r="Z57" i="2" s="1"/>
  <c r="P56" i="2"/>
  <c r="R56" i="2" s="1"/>
  <c r="P55" i="2"/>
  <c r="R55" i="2" s="1"/>
  <c r="P54" i="2"/>
  <c r="X54" i="2" s="1"/>
  <c r="P53" i="2"/>
  <c r="Z53" i="2" s="1"/>
  <c r="P52" i="2"/>
  <c r="R52" i="2" s="1"/>
  <c r="P51" i="2"/>
  <c r="R51" i="2" s="1"/>
  <c r="P50" i="2"/>
  <c r="X50" i="2" s="1"/>
  <c r="P49" i="2"/>
  <c r="Z49" i="2" s="1"/>
  <c r="P48" i="2"/>
  <c r="R48" i="2" s="1"/>
  <c r="P47" i="2"/>
  <c r="R47" i="2" s="1"/>
  <c r="P46" i="2"/>
  <c r="Z46" i="2" s="1"/>
  <c r="P45" i="2"/>
  <c r="R45" i="2" s="1"/>
  <c r="P44" i="2"/>
  <c r="Z44" i="2" s="1"/>
  <c r="P43" i="2"/>
  <c r="Z43" i="2" s="1"/>
  <c r="P42" i="2"/>
  <c r="R42" i="2" s="1"/>
  <c r="P41" i="2"/>
  <c r="X41" i="2" s="1"/>
  <c r="P40" i="2"/>
  <c r="X40" i="2" s="1"/>
  <c r="P39" i="2"/>
  <c r="Z39" i="2" s="1"/>
  <c r="P38" i="2"/>
  <c r="R38" i="2" s="1"/>
  <c r="P37" i="2"/>
  <c r="R37" i="2" s="1"/>
  <c r="P36" i="2"/>
  <c r="Z36" i="2" s="1"/>
  <c r="P35" i="2"/>
  <c r="Z35" i="2" s="1"/>
  <c r="P34" i="2"/>
  <c r="Z34" i="2" s="1"/>
  <c r="P33" i="2"/>
  <c r="R33" i="2" s="1"/>
  <c r="P32" i="2"/>
  <c r="X32" i="2" s="1"/>
  <c r="P31" i="2"/>
  <c r="X31" i="2" s="1"/>
  <c r="P30" i="2"/>
  <c r="R30" i="2" s="1"/>
  <c r="P29" i="2"/>
  <c r="R29" i="2" s="1"/>
  <c r="P28" i="2"/>
  <c r="X28" i="2" s="1"/>
  <c r="P27" i="2"/>
  <c r="Z27" i="2" s="1"/>
  <c r="P26" i="2"/>
  <c r="X26" i="2" s="1"/>
  <c r="P25" i="2"/>
  <c r="R25" i="2" s="1"/>
  <c r="P24" i="2"/>
  <c r="X24" i="2" s="1"/>
  <c r="P23" i="2"/>
  <c r="X23" i="2" s="1"/>
  <c r="P22" i="2"/>
  <c r="Z22" i="2" s="1"/>
  <c r="P21" i="2"/>
  <c r="R21" i="2" s="1"/>
  <c r="P20" i="2"/>
  <c r="Z20" i="2" s="1"/>
  <c r="P19" i="2"/>
  <c r="Z19" i="2" s="1"/>
  <c r="P18" i="2"/>
  <c r="X18" i="2" s="1"/>
  <c r="P17" i="2"/>
  <c r="Z17" i="2" s="1"/>
  <c r="P16" i="2"/>
  <c r="X16" i="2" s="1"/>
  <c r="P15" i="2"/>
  <c r="R15" i="2" s="1"/>
  <c r="P14" i="2"/>
  <c r="X14" i="2" s="1"/>
  <c r="P13" i="2"/>
  <c r="Z13" i="2" s="1"/>
  <c r="P12" i="2"/>
  <c r="X12" i="2" s="1"/>
  <c r="P11" i="2"/>
  <c r="Z11" i="2" s="1"/>
  <c r="P10" i="2"/>
  <c r="R10" i="2" s="1"/>
  <c r="P9" i="2"/>
  <c r="Z9" i="2" s="1"/>
  <c r="P8" i="2"/>
  <c r="X8" i="2" s="1"/>
  <c r="P7" i="2"/>
  <c r="X7" i="2" s="1"/>
  <c r="P6" i="2"/>
  <c r="X6" i="2" s="1"/>
  <c r="P5" i="2"/>
  <c r="X5" i="2" s="1"/>
  <c r="P4" i="2"/>
  <c r="X4" i="2" l="1"/>
  <c r="P2" i="2"/>
  <c r="Z404" i="2"/>
  <c r="Z464" i="2"/>
  <c r="Z383" i="2"/>
  <c r="R446" i="2"/>
  <c r="X469" i="2"/>
  <c r="R380" i="2"/>
  <c r="Z217" i="2"/>
  <c r="X454" i="2"/>
  <c r="R385" i="2"/>
  <c r="R394" i="2"/>
  <c r="Z434" i="2"/>
  <c r="R377" i="2"/>
  <c r="X389" i="2"/>
  <c r="Z408" i="2"/>
  <c r="X462" i="2"/>
  <c r="R467" i="2"/>
  <c r="AA467" i="2" s="1"/>
  <c r="Z433" i="2"/>
  <c r="R454" i="2"/>
  <c r="Z400" i="2"/>
  <c r="R466" i="2"/>
  <c r="Z380" i="2"/>
  <c r="X377" i="2"/>
  <c r="X381" i="2"/>
  <c r="X386" i="2"/>
  <c r="Z389" i="2"/>
  <c r="Z416" i="2"/>
  <c r="X467" i="2"/>
  <c r="Z473" i="2"/>
  <c r="Z425" i="2"/>
  <c r="Z375" i="2"/>
  <c r="R388" i="2"/>
  <c r="R420" i="2"/>
  <c r="Z386" i="2"/>
  <c r="Z307" i="2"/>
  <c r="Z111" i="2"/>
  <c r="X338" i="2"/>
  <c r="Z351" i="2"/>
  <c r="Z384" i="2"/>
  <c r="X393" i="2"/>
  <c r="R396" i="2"/>
  <c r="Z399" i="2"/>
  <c r="X402" i="2"/>
  <c r="X405" i="2"/>
  <c r="R409" i="2"/>
  <c r="R412" i="2"/>
  <c r="Z415" i="2"/>
  <c r="X422" i="2"/>
  <c r="R426" i="2"/>
  <c r="X429" i="2"/>
  <c r="Z432" i="2"/>
  <c r="R435" i="2"/>
  <c r="Z438" i="2"/>
  <c r="X442" i="2"/>
  <c r="Z445" i="2"/>
  <c r="X451" i="2"/>
  <c r="X458" i="2"/>
  <c r="Z461" i="2"/>
  <c r="Z465" i="2"/>
  <c r="Z472" i="2"/>
  <c r="X302" i="2"/>
  <c r="Z338" i="2"/>
  <c r="R378" i="2"/>
  <c r="X396" i="2"/>
  <c r="Z402" i="2"/>
  <c r="Z405" i="2"/>
  <c r="X409" i="2"/>
  <c r="X412" i="2"/>
  <c r="Z422" i="2"/>
  <c r="X426" i="2"/>
  <c r="Z429" i="2"/>
  <c r="X435" i="2"/>
  <c r="Z442" i="2"/>
  <c r="Z449" i="2"/>
  <c r="Z458" i="2"/>
  <c r="X201" i="2"/>
  <c r="X275" i="2"/>
  <c r="X334" i="2"/>
  <c r="Z378" i="2"/>
  <c r="Z381" i="2"/>
  <c r="X385" i="2"/>
  <c r="X388" i="2"/>
  <c r="Z391" i="2"/>
  <c r="X394" i="2"/>
  <c r="R410" i="2"/>
  <c r="R430" i="2"/>
  <c r="Z440" i="2"/>
  <c r="R443" i="2"/>
  <c r="X446" i="2"/>
  <c r="R450" i="2"/>
  <c r="X453" i="2"/>
  <c r="Z456" i="2"/>
  <c r="R459" i="2"/>
  <c r="Z462" i="2"/>
  <c r="X466" i="2"/>
  <c r="Z469" i="2"/>
  <c r="R418" i="2"/>
  <c r="X438" i="2"/>
  <c r="X445" i="2"/>
  <c r="Z448" i="2"/>
  <c r="R451" i="2"/>
  <c r="X461" i="2"/>
  <c r="Z80" i="2"/>
  <c r="Z201" i="2"/>
  <c r="Z275" i="2"/>
  <c r="X362" i="2"/>
  <c r="Z376" i="2"/>
  <c r="X397" i="2"/>
  <c r="R401" i="2"/>
  <c r="R404" i="2"/>
  <c r="Z407" i="2"/>
  <c r="X410" i="2"/>
  <c r="X413" i="2"/>
  <c r="R417" i="2"/>
  <c r="X421" i="2"/>
  <c r="Z424" i="2"/>
  <c r="R427" i="2"/>
  <c r="X430" i="2"/>
  <c r="R434" i="2"/>
  <c r="AA434" i="2" s="1"/>
  <c r="X437" i="2"/>
  <c r="X443" i="2"/>
  <c r="X450" i="2"/>
  <c r="Z453" i="2"/>
  <c r="X459" i="2"/>
  <c r="R474" i="2"/>
  <c r="X351" i="2"/>
  <c r="R393" i="2"/>
  <c r="X249" i="2"/>
  <c r="R217" i="2"/>
  <c r="AA217" i="2" s="1"/>
  <c r="Z223" i="2"/>
  <c r="Z291" i="2"/>
  <c r="Z392" i="2"/>
  <c r="Z397" i="2"/>
  <c r="X401" i="2"/>
  <c r="AA401" i="2" s="1"/>
  <c r="Z413" i="2"/>
  <c r="X417" i="2"/>
  <c r="Z421" i="2"/>
  <c r="X427" i="2"/>
  <c r="Z437" i="2"/>
  <c r="Z441" i="2"/>
  <c r="Z457" i="2"/>
  <c r="X470" i="2"/>
  <c r="X474" i="2"/>
  <c r="R423" i="2"/>
  <c r="R439" i="2"/>
  <c r="X425" i="2"/>
  <c r="Z428" i="2"/>
  <c r="X433" i="2"/>
  <c r="Z436" i="2"/>
  <c r="X441" i="2"/>
  <c r="Z444" i="2"/>
  <c r="X449" i="2"/>
  <c r="Z452" i="2"/>
  <c r="X457" i="2"/>
  <c r="Z460" i="2"/>
  <c r="X465" i="2"/>
  <c r="Z468" i="2"/>
  <c r="R470" i="2"/>
  <c r="X473" i="2"/>
  <c r="R424" i="2"/>
  <c r="R432" i="2"/>
  <c r="R440" i="2"/>
  <c r="R448" i="2"/>
  <c r="R456" i="2"/>
  <c r="R464" i="2"/>
  <c r="R472" i="2"/>
  <c r="AA472" i="2" s="1"/>
  <c r="R463" i="2"/>
  <c r="R471" i="2"/>
  <c r="X423" i="2"/>
  <c r="R428" i="2"/>
  <c r="X431" i="2"/>
  <c r="R436" i="2"/>
  <c r="X439" i="2"/>
  <c r="R444" i="2"/>
  <c r="X447" i="2"/>
  <c r="R452" i="2"/>
  <c r="X455" i="2"/>
  <c r="R460" i="2"/>
  <c r="X463" i="2"/>
  <c r="R468" i="2"/>
  <c r="X471" i="2"/>
  <c r="R431" i="2"/>
  <c r="R447" i="2"/>
  <c r="R455" i="2"/>
  <c r="R398" i="2"/>
  <c r="R406" i="2"/>
  <c r="R414" i="2"/>
  <c r="Z374" i="2"/>
  <c r="R376" i="2"/>
  <c r="X379" i="2"/>
  <c r="Z382" i="2"/>
  <c r="R384" i="2"/>
  <c r="X387" i="2"/>
  <c r="Z390" i="2"/>
  <c r="R392" i="2"/>
  <c r="X395" i="2"/>
  <c r="Z398" i="2"/>
  <c r="R400" i="2"/>
  <c r="AA400" i="2" s="1"/>
  <c r="X403" i="2"/>
  <c r="Z406" i="2"/>
  <c r="R408" i="2"/>
  <c r="X411" i="2"/>
  <c r="Z414" i="2"/>
  <c r="R416" i="2"/>
  <c r="X419" i="2"/>
  <c r="R390" i="2"/>
  <c r="Z379" i="2"/>
  <c r="Z387" i="2"/>
  <c r="Z395" i="2"/>
  <c r="Z403" i="2"/>
  <c r="Z411" i="2"/>
  <c r="Z419" i="2"/>
  <c r="R375" i="2"/>
  <c r="R383" i="2"/>
  <c r="AA383" i="2" s="1"/>
  <c r="R391" i="2"/>
  <c r="R399" i="2"/>
  <c r="R407" i="2"/>
  <c r="R415" i="2"/>
  <c r="X418" i="2"/>
  <c r="X420" i="2"/>
  <c r="R374" i="2"/>
  <c r="R382" i="2"/>
  <c r="Z235" i="2"/>
  <c r="X325" i="2"/>
  <c r="Z369" i="2"/>
  <c r="Z196" i="2"/>
  <c r="X265" i="2"/>
  <c r="R231" i="2"/>
  <c r="R299" i="2"/>
  <c r="Z325" i="2"/>
  <c r="X335" i="2"/>
  <c r="Z345" i="2"/>
  <c r="X349" i="2"/>
  <c r="X299" i="2"/>
  <c r="Z349" i="2"/>
  <c r="R359" i="2"/>
  <c r="R262" i="2"/>
  <c r="R294" i="2"/>
  <c r="R305" i="2"/>
  <c r="X322" i="2"/>
  <c r="X359" i="2"/>
  <c r="Z71" i="2"/>
  <c r="X115" i="2"/>
  <c r="X204" i="2"/>
  <c r="Z215" i="2"/>
  <c r="X227" i="2"/>
  <c r="Z232" i="2"/>
  <c r="R242" i="2"/>
  <c r="Z253" i="2"/>
  <c r="X262" i="2"/>
  <c r="X266" i="2"/>
  <c r="X278" i="2"/>
  <c r="Z283" i="2"/>
  <c r="Z305" i="2"/>
  <c r="Z322" i="2"/>
  <c r="Z337" i="2"/>
  <c r="X346" i="2"/>
  <c r="X350" i="2"/>
  <c r="X366" i="2"/>
  <c r="X212" i="2"/>
  <c r="Z230" i="2"/>
  <c r="X256" i="2"/>
  <c r="Z329" i="2"/>
  <c r="Z256" i="2"/>
  <c r="R315" i="2"/>
  <c r="X241" i="2"/>
  <c r="Z191" i="2"/>
  <c r="R209" i="2"/>
  <c r="X257" i="2"/>
  <c r="R266" i="2"/>
  <c r="X326" i="2"/>
  <c r="R346" i="2"/>
  <c r="X209" i="2"/>
  <c r="Z115" i="2"/>
  <c r="Z204" i="2"/>
  <c r="R238" i="2"/>
  <c r="Z248" i="2"/>
  <c r="R258" i="2"/>
  <c r="Z278" i="2"/>
  <c r="R291" i="2"/>
  <c r="R327" i="2"/>
  <c r="X342" i="2"/>
  <c r="Z321" i="2"/>
  <c r="X358" i="2"/>
  <c r="X246" i="2"/>
  <c r="X119" i="2"/>
  <c r="Z236" i="2"/>
  <c r="Z246" i="2"/>
  <c r="X370" i="2"/>
  <c r="R232" i="2"/>
  <c r="R283" i="2"/>
  <c r="R331" i="2"/>
  <c r="X85" i="2"/>
  <c r="Z58" i="2"/>
  <c r="X238" i="2"/>
  <c r="X258" i="2"/>
  <c r="Z313" i="2"/>
  <c r="Z373" i="2"/>
  <c r="Z341" i="2"/>
  <c r="Z365" i="2"/>
  <c r="Z26" i="2"/>
  <c r="Z119" i="2"/>
  <c r="R140" i="2"/>
  <c r="X196" i="2"/>
  <c r="X228" i="2"/>
  <c r="X253" i="2"/>
  <c r="R313" i="2"/>
  <c r="R335" i="2"/>
  <c r="R355" i="2"/>
  <c r="Z362" i="2"/>
  <c r="R128" i="2"/>
  <c r="R193" i="2"/>
  <c r="R225" i="2"/>
  <c r="X289" i="2"/>
  <c r="X297" i="2"/>
  <c r="X318" i="2"/>
  <c r="R333" i="2"/>
  <c r="R339" i="2"/>
  <c r="R363" i="2"/>
  <c r="X128" i="2"/>
  <c r="Z166" i="2"/>
  <c r="Z188" i="2"/>
  <c r="X193" i="2"/>
  <c r="Z207" i="2"/>
  <c r="Z220" i="2"/>
  <c r="Z225" i="2"/>
  <c r="X233" i="2"/>
  <c r="R237" i="2"/>
  <c r="R240" i="2"/>
  <c r="R250" i="2"/>
  <c r="R254" i="2"/>
  <c r="X261" i="2"/>
  <c r="R264" i="2"/>
  <c r="R273" i="2"/>
  <c r="R281" i="2"/>
  <c r="Z289" i="2"/>
  <c r="Z297" i="2"/>
  <c r="X310" i="2"/>
  <c r="Z318" i="2"/>
  <c r="R330" i="2"/>
  <c r="X333" i="2"/>
  <c r="R343" i="2"/>
  <c r="Z353" i="2"/>
  <c r="R357" i="2"/>
  <c r="R367" i="2"/>
  <c r="R371" i="2"/>
  <c r="X220" i="2"/>
  <c r="R229" i="2"/>
  <c r="X237" i="2"/>
  <c r="X240" i="2"/>
  <c r="X254" i="2"/>
  <c r="Z261" i="2"/>
  <c r="X273" i="2"/>
  <c r="Z281" i="2"/>
  <c r="Z310" i="2"/>
  <c r="X330" i="2"/>
  <c r="X343" i="2"/>
  <c r="X357" i="2"/>
  <c r="X106" i="2"/>
  <c r="Z199" i="2"/>
  <c r="Z212" i="2"/>
  <c r="R234" i="2"/>
  <c r="X245" i="2"/>
  <c r="R248" i="2"/>
  <c r="Z264" i="2"/>
  <c r="AA264" i="2" s="1"/>
  <c r="X286" i="2"/>
  <c r="X294" i="2"/>
  <c r="Z302" i="2"/>
  <c r="R307" i="2"/>
  <c r="X315" i="2"/>
  <c r="R323" i="2"/>
  <c r="R341" i="2"/>
  <c r="R347" i="2"/>
  <c r="X354" i="2"/>
  <c r="Z361" i="2"/>
  <c r="R365" i="2"/>
  <c r="X188" i="2"/>
  <c r="X250" i="2"/>
  <c r="X367" i="2"/>
  <c r="Z106" i="2"/>
  <c r="Z245" i="2"/>
  <c r="Z286" i="2"/>
  <c r="Z354" i="2"/>
  <c r="R321" i="2"/>
  <c r="X324" i="2"/>
  <c r="Z327" i="2"/>
  <c r="R329" i="2"/>
  <c r="X332" i="2"/>
  <c r="R337" i="2"/>
  <c r="X340" i="2"/>
  <c r="R345" i="2"/>
  <c r="X348" i="2"/>
  <c r="R353" i="2"/>
  <c r="X356" i="2"/>
  <c r="R361" i="2"/>
  <c r="X364" i="2"/>
  <c r="R369" i="2"/>
  <c r="X372" i="2"/>
  <c r="Z324" i="2"/>
  <c r="R326" i="2"/>
  <c r="Z332" i="2"/>
  <c r="R334" i="2"/>
  <c r="Z340" i="2"/>
  <c r="R342" i="2"/>
  <c r="Z348" i="2"/>
  <c r="R350" i="2"/>
  <c r="Z356" i="2"/>
  <c r="R358" i="2"/>
  <c r="Z364" i="2"/>
  <c r="R366" i="2"/>
  <c r="Z372" i="2"/>
  <c r="R320" i="2"/>
  <c r="X323" i="2"/>
  <c r="R328" i="2"/>
  <c r="X331" i="2"/>
  <c r="R336" i="2"/>
  <c r="X339" i="2"/>
  <c r="R344" i="2"/>
  <c r="X347" i="2"/>
  <c r="R352" i="2"/>
  <c r="X355" i="2"/>
  <c r="R360" i="2"/>
  <c r="X363" i="2"/>
  <c r="R368" i="2"/>
  <c r="X371" i="2"/>
  <c r="X320" i="2"/>
  <c r="X328" i="2"/>
  <c r="X336" i="2"/>
  <c r="X344" i="2"/>
  <c r="X352" i="2"/>
  <c r="X360" i="2"/>
  <c r="X368" i="2"/>
  <c r="R373" i="2"/>
  <c r="R370" i="2"/>
  <c r="R296" i="2"/>
  <c r="R285" i="2"/>
  <c r="R293" i="2"/>
  <c r="X312" i="2"/>
  <c r="Z272" i="2"/>
  <c r="Z288" i="2"/>
  <c r="Z304" i="2"/>
  <c r="Z312" i="2"/>
  <c r="R271" i="2"/>
  <c r="X274" i="2"/>
  <c r="R279" i="2"/>
  <c r="Z293" i="2"/>
  <c r="X306" i="2"/>
  <c r="R311" i="2"/>
  <c r="X314" i="2"/>
  <c r="R319" i="2"/>
  <c r="X271" i="2"/>
  <c r="Z274" i="2"/>
  <c r="R276" i="2"/>
  <c r="X279" i="2"/>
  <c r="Z282" i="2"/>
  <c r="R284" i="2"/>
  <c r="X287" i="2"/>
  <c r="Z290" i="2"/>
  <c r="R292" i="2"/>
  <c r="X295" i="2"/>
  <c r="Z298" i="2"/>
  <c r="R300" i="2"/>
  <c r="X303" i="2"/>
  <c r="Z306" i="2"/>
  <c r="R308" i="2"/>
  <c r="X311" i="2"/>
  <c r="Z314" i="2"/>
  <c r="R316" i="2"/>
  <c r="X319" i="2"/>
  <c r="R280" i="2"/>
  <c r="X296" i="2"/>
  <c r="R301" i="2"/>
  <c r="X277" i="2"/>
  <c r="R282" i="2"/>
  <c r="X301" i="2"/>
  <c r="Z277" i="2"/>
  <c r="R287" i="2"/>
  <c r="Z309" i="2"/>
  <c r="X276" i="2"/>
  <c r="X284" i="2"/>
  <c r="X292" i="2"/>
  <c r="Z295" i="2"/>
  <c r="X300" i="2"/>
  <c r="Z303" i="2"/>
  <c r="X308" i="2"/>
  <c r="X316" i="2"/>
  <c r="R272" i="2"/>
  <c r="R288" i="2"/>
  <c r="R304" i="2"/>
  <c r="AA304" i="2" s="1"/>
  <c r="X280" i="2"/>
  <c r="R309" i="2"/>
  <c r="R317" i="2"/>
  <c r="X285" i="2"/>
  <c r="R290" i="2"/>
  <c r="R298" i="2"/>
  <c r="X317" i="2"/>
  <c r="X269" i="2"/>
  <c r="Z269" i="2"/>
  <c r="X229" i="2"/>
  <c r="X234" i="2"/>
  <c r="R239" i="2"/>
  <c r="X242" i="2"/>
  <c r="R255" i="2"/>
  <c r="R263" i="2"/>
  <c r="X231" i="2"/>
  <c r="R236" i="2"/>
  <c r="X239" i="2"/>
  <c r="R244" i="2"/>
  <c r="X247" i="2"/>
  <c r="R252" i="2"/>
  <c r="X255" i="2"/>
  <c r="R260" i="2"/>
  <c r="X263" i="2"/>
  <c r="R268" i="2"/>
  <c r="R247" i="2"/>
  <c r="R228" i="2"/>
  <c r="R233" i="2"/>
  <c r="R241" i="2"/>
  <c r="X244" i="2"/>
  <c r="R249" i="2"/>
  <c r="X252" i="2"/>
  <c r="R257" i="2"/>
  <c r="X260" i="2"/>
  <c r="R265" i="2"/>
  <c r="X268" i="2"/>
  <c r="R270" i="2"/>
  <c r="AA270" i="2" s="1"/>
  <c r="R230" i="2"/>
  <c r="R235" i="2"/>
  <c r="R243" i="2"/>
  <c r="R251" i="2"/>
  <c r="R259" i="2"/>
  <c r="R267" i="2"/>
  <c r="X270" i="2"/>
  <c r="X243" i="2"/>
  <c r="X251" i="2"/>
  <c r="X259" i="2"/>
  <c r="X267" i="2"/>
  <c r="X190" i="2"/>
  <c r="X195" i="2"/>
  <c r="Z198" i="2"/>
  <c r="Z206" i="2"/>
  <c r="Z214" i="2"/>
  <c r="Z222" i="2"/>
  <c r="R189" i="2"/>
  <c r="X192" i="2"/>
  <c r="R197" i="2"/>
  <c r="R221" i="2"/>
  <c r="X224" i="2"/>
  <c r="X186" i="2"/>
  <c r="Z189" i="2"/>
  <c r="R191" i="2"/>
  <c r="X194" i="2"/>
  <c r="Z197" i="2"/>
  <c r="R199" i="2"/>
  <c r="X202" i="2"/>
  <c r="Z205" i="2"/>
  <c r="R207" i="2"/>
  <c r="X210" i="2"/>
  <c r="Z213" i="2"/>
  <c r="R215" i="2"/>
  <c r="X218" i="2"/>
  <c r="Z221" i="2"/>
  <c r="R223" i="2"/>
  <c r="AA223" i="2" s="1"/>
  <c r="X226" i="2"/>
  <c r="R190" i="2"/>
  <c r="R198" i="2"/>
  <c r="R214" i="2"/>
  <c r="R222" i="2"/>
  <c r="R187" i="2"/>
  <c r="R203" i="2"/>
  <c r="X206" i="2"/>
  <c r="R211" i="2"/>
  <c r="R219" i="2"/>
  <c r="R200" i="2"/>
  <c r="R208" i="2"/>
  <c r="X211" i="2"/>
  <c r="R216" i="2"/>
  <c r="X219" i="2"/>
  <c r="R224" i="2"/>
  <c r="Z187" i="2"/>
  <c r="X200" i="2"/>
  <c r="R205" i="2"/>
  <c r="X208" i="2"/>
  <c r="R213" i="2"/>
  <c r="X216" i="2"/>
  <c r="Z186" i="2"/>
  <c r="Z194" i="2"/>
  <c r="Z202" i="2"/>
  <c r="Z210" i="2"/>
  <c r="Z218" i="2"/>
  <c r="Z226" i="2"/>
  <c r="R227" i="2"/>
  <c r="R195" i="2"/>
  <c r="R192" i="2"/>
  <c r="X203" i="2"/>
  <c r="X53" i="2"/>
  <c r="R77" i="2"/>
  <c r="R136" i="2"/>
  <c r="X160" i="2"/>
  <c r="X77" i="2"/>
  <c r="Z174" i="2"/>
  <c r="Z87" i="2"/>
  <c r="Z103" i="2"/>
  <c r="X112" i="2"/>
  <c r="R120" i="2"/>
  <c r="X37" i="2"/>
  <c r="Z74" i="2"/>
  <c r="X130" i="2"/>
  <c r="X138" i="2"/>
  <c r="Z10" i="2"/>
  <c r="R61" i="2"/>
  <c r="R104" i="2"/>
  <c r="Z138" i="2"/>
  <c r="X176" i="2"/>
  <c r="Z5" i="2"/>
  <c r="R26" i="2"/>
  <c r="X52" i="2"/>
  <c r="Z75" i="2"/>
  <c r="X79" i="2"/>
  <c r="Z84" i="2"/>
  <c r="X114" i="2"/>
  <c r="X122" i="2"/>
  <c r="Z127" i="2"/>
  <c r="X131" i="2"/>
  <c r="X135" i="2"/>
  <c r="Z144" i="2"/>
  <c r="Z158" i="2"/>
  <c r="Z171" i="2"/>
  <c r="Z176" i="2"/>
  <c r="Z48" i="2"/>
  <c r="Z91" i="2"/>
  <c r="R103" i="2"/>
  <c r="Z8" i="2"/>
  <c r="Z59" i="2"/>
  <c r="R112" i="2"/>
  <c r="Z155" i="2"/>
  <c r="Z134" i="2"/>
  <c r="Z55" i="2"/>
  <c r="R93" i="2"/>
  <c r="X84" i="2"/>
  <c r="X93" i="2"/>
  <c r="Z118" i="2"/>
  <c r="R127" i="2"/>
  <c r="R135" i="2"/>
  <c r="X144" i="2"/>
  <c r="X47" i="2"/>
  <c r="Z52" i="2"/>
  <c r="Z90" i="2"/>
  <c r="Z102" i="2"/>
  <c r="R111" i="2"/>
  <c r="AA111" i="2" s="1"/>
  <c r="Z122" i="2"/>
  <c r="Z131" i="2"/>
  <c r="Z66" i="2"/>
  <c r="R69" i="2"/>
  <c r="Z98" i="2"/>
  <c r="Z142" i="2"/>
  <c r="X163" i="2"/>
  <c r="R168" i="2"/>
  <c r="Z21" i="2"/>
  <c r="X56" i="2"/>
  <c r="R60" i="2"/>
  <c r="X63" i="2"/>
  <c r="X69" i="2"/>
  <c r="X72" i="2"/>
  <c r="R76" i="2"/>
  <c r="X88" i="2"/>
  <c r="R92" i="2"/>
  <c r="X95" i="2"/>
  <c r="Z110" i="2"/>
  <c r="Z126" i="2"/>
  <c r="Z150" i="2"/>
  <c r="Z163" i="2"/>
  <c r="X168" i="2"/>
  <c r="Z182" i="2"/>
  <c r="X10" i="2"/>
  <c r="Z40" i="2"/>
  <c r="Z50" i="2"/>
  <c r="R53" i="2"/>
  <c r="Z56" i="2"/>
  <c r="X60" i="2"/>
  <c r="Z63" i="2"/>
  <c r="Z67" i="2"/>
  <c r="Z72" i="2"/>
  <c r="X76" i="2"/>
  <c r="Z82" i="2"/>
  <c r="R85" i="2"/>
  <c r="Z88" i="2"/>
  <c r="X92" i="2"/>
  <c r="Z95" i="2"/>
  <c r="R107" i="2"/>
  <c r="R116" i="2"/>
  <c r="R123" i="2"/>
  <c r="R132" i="2"/>
  <c r="X139" i="2"/>
  <c r="R143" i="2"/>
  <c r="X155" i="2"/>
  <c r="R160" i="2"/>
  <c r="X21" i="2"/>
  <c r="Z45" i="2"/>
  <c r="X107" i="2"/>
  <c r="X123" i="2"/>
  <c r="Z139" i="2"/>
  <c r="X143" i="2"/>
  <c r="Z18" i="2"/>
  <c r="Z47" i="2"/>
  <c r="Z51" i="2"/>
  <c r="X64" i="2"/>
  <c r="R68" i="2"/>
  <c r="Z79" i="2"/>
  <c r="Z83" i="2"/>
  <c r="X96" i="2"/>
  <c r="X104" i="2"/>
  <c r="Z114" i="2"/>
  <c r="X120" i="2"/>
  <c r="Z130" i="2"/>
  <c r="X136" i="2"/>
  <c r="X147" i="2"/>
  <c r="R152" i="2"/>
  <c r="X179" i="2"/>
  <c r="R184" i="2"/>
  <c r="Z64" i="2"/>
  <c r="X68" i="2"/>
  <c r="Z96" i="2"/>
  <c r="Z147" i="2"/>
  <c r="X152" i="2"/>
  <c r="Z179" i="2"/>
  <c r="X184" i="2"/>
  <c r="Z37" i="2"/>
  <c r="X48" i="2"/>
  <c r="X55" i="2"/>
  <c r="X61" i="2"/>
  <c r="X71" i="2"/>
  <c r="X80" i="2"/>
  <c r="X87" i="2"/>
  <c r="R108" i="2"/>
  <c r="R124" i="2"/>
  <c r="X171" i="2"/>
  <c r="R149" i="2"/>
  <c r="R165" i="2"/>
  <c r="X157" i="2"/>
  <c r="R170" i="2"/>
  <c r="R178" i="2"/>
  <c r="X181" i="2"/>
  <c r="X146" i="2"/>
  <c r="Z149" i="2"/>
  <c r="X154" i="2"/>
  <c r="Z157" i="2"/>
  <c r="X162" i="2"/>
  <c r="Z165" i="2"/>
  <c r="X170" i="2"/>
  <c r="Z173" i="2"/>
  <c r="Z181" i="2"/>
  <c r="Z146" i="2"/>
  <c r="R156" i="2"/>
  <c r="X159" i="2"/>
  <c r="Z162" i="2"/>
  <c r="X167" i="2"/>
  <c r="R180" i="2"/>
  <c r="R145" i="2"/>
  <c r="R153" i="2"/>
  <c r="Z159" i="2"/>
  <c r="X164" i="2"/>
  <c r="Z167" i="2"/>
  <c r="R177" i="2"/>
  <c r="R185" i="2"/>
  <c r="X145" i="2"/>
  <c r="Z148" i="2"/>
  <c r="R150" i="2"/>
  <c r="X153" i="2"/>
  <c r="Z156" i="2"/>
  <c r="R158" i="2"/>
  <c r="X161" i="2"/>
  <c r="Z164" i="2"/>
  <c r="R166" i="2"/>
  <c r="X169" i="2"/>
  <c r="Z172" i="2"/>
  <c r="R174" i="2"/>
  <c r="X177" i="2"/>
  <c r="Z180" i="2"/>
  <c r="R182" i="2"/>
  <c r="X185" i="2"/>
  <c r="R173" i="2"/>
  <c r="R154" i="2"/>
  <c r="R151" i="2"/>
  <c r="R175" i="2"/>
  <c r="X178" i="2"/>
  <c r="R183" i="2"/>
  <c r="R148" i="2"/>
  <c r="X151" i="2"/>
  <c r="R172" i="2"/>
  <c r="X175" i="2"/>
  <c r="X183" i="2"/>
  <c r="R161" i="2"/>
  <c r="R169" i="2"/>
  <c r="R121" i="2"/>
  <c r="X124" i="2"/>
  <c r="X132" i="2"/>
  <c r="R137" i="2"/>
  <c r="X140" i="2"/>
  <c r="X102" i="2"/>
  <c r="Z105" i="2"/>
  <c r="X110" i="2"/>
  <c r="Z113" i="2"/>
  <c r="X118" i="2"/>
  <c r="Z121" i="2"/>
  <c r="X126" i="2"/>
  <c r="Z129" i="2"/>
  <c r="X134" i="2"/>
  <c r="Z137" i="2"/>
  <c r="X142" i="2"/>
  <c r="R101" i="2"/>
  <c r="R109" i="2"/>
  <c r="R117" i="2"/>
  <c r="R125" i="2"/>
  <c r="R133" i="2"/>
  <c r="R141" i="2"/>
  <c r="X101" i="2"/>
  <c r="X109" i="2"/>
  <c r="X117" i="2"/>
  <c r="X125" i="2"/>
  <c r="X133" i="2"/>
  <c r="X141" i="2"/>
  <c r="R105" i="2"/>
  <c r="X108" i="2"/>
  <c r="R113" i="2"/>
  <c r="X116" i="2"/>
  <c r="R129" i="2"/>
  <c r="R49" i="2"/>
  <c r="R65" i="2"/>
  <c r="R81" i="2"/>
  <c r="X49" i="2"/>
  <c r="R54" i="2"/>
  <c r="X57" i="2"/>
  <c r="R70" i="2"/>
  <c r="X73" i="2"/>
  <c r="R86" i="2"/>
  <c r="X89" i="2"/>
  <c r="X97" i="2"/>
  <c r="X51" i="2"/>
  <c r="Z54" i="2"/>
  <c r="X59" i="2"/>
  <c r="Z62" i="2"/>
  <c r="X67" i="2"/>
  <c r="Z70" i="2"/>
  <c r="X75" i="2"/>
  <c r="Z78" i="2"/>
  <c r="X83" i="2"/>
  <c r="Z86" i="2"/>
  <c r="X91" i="2"/>
  <c r="Z94" i="2"/>
  <c r="X99" i="2"/>
  <c r="Z99" i="2"/>
  <c r="R50" i="2"/>
  <c r="R58" i="2"/>
  <c r="R66" i="2"/>
  <c r="R74" i="2"/>
  <c r="R82" i="2"/>
  <c r="R90" i="2"/>
  <c r="R98" i="2"/>
  <c r="R100" i="2"/>
  <c r="X100" i="2"/>
  <c r="R57" i="2"/>
  <c r="R73" i="2"/>
  <c r="R89" i="2"/>
  <c r="R97" i="2"/>
  <c r="R62" i="2"/>
  <c r="AA62" i="2" s="1"/>
  <c r="X65" i="2"/>
  <c r="R78" i="2"/>
  <c r="X81" i="2"/>
  <c r="R94" i="2"/>
  <c r="X42" i="2"/>
  <c r="Z42" i="2"/>
  <c r="Z24" i="2"/>
  <c r="X29" i="2"/>
  <c r="R34" i="2"/>
  <c r="Z16" i="2"/>
  <c r="Z29" i="2"/>
  <c r="X34" i="2"/>
  <c r="R5" i="2"/>
  <c r="AA5" i="2" s="1"/>
  <c r="X13" i="2"/>
  <c r="R18" i="2"/>
  <c r="X45" i="2"/>
  <c r="R13" i="2"/>
  <c r="Z32" i="2"/>
  <c r="R7" i="2"/>
  <c r="R23" i="2"/>
  <c r="R31" i="2"/>
  <c r="R39" i="2"/>
  <c r="Z7" i="2"/>
  <c r="X36" i="2"/>
  <c r="R12" i="2"/>
  <c r="X15" i="2"/>
  <c r="R20" i="2"/>
  <c r="R36" i="2"/>
  <c r="X39" i="2"/>
  <c r="Z15" i="2"/>
  <c r="X20" i="2"/>
  <c r="Z23" i="2"/>
  <c r="Z31" i="2"/>
  <c r="X44" i="2"/>
  <c r="Z4" i="2"/>
  <c r="R6" i="2"/>
  <c r="X9" i="2"/>
  <c r="Z12" i="2"/>
  <c r="R22" i="2"/>
  <c r="X25" i="2"/>
  <c r="Z28" i="2"/>
  <c r="X33" i="2"/>
  <c r="R46" i="2"/>
  <c r="R11" i="2"/>
  <c r="R19" i="2"/>
  <c r="X22" i="2"/>
  <c r="Z25" i="2"/>
  <c r="X30" i="2"/>
  <c r="Z33" i="2"/>
  <c r="R35" i="2"/>
  <c r="X38" i="2"/>
  <c r="Z41" i="2"/>
  <c r="R43" i="2"/>
  <c r="X46" i="2"/>
  <c r="Z6" i="2"/>
  <c r="R8" i="2"/>
  <c r="X11" i="2"/>
  <c r="Z14" i="2"/>
  <c r="R16" i="2"/>
  <c r="X19" i="2"/>
  <c r="R24" i="2"/>
  <c r="X27" i="2"/>
  <c r="Z30" i="2"/>
  <c r="R32" i="2"/>
  <c r="X35" i="2"/>
  <c r="Z38" i="2"/>
  <c r="R40" i="2"/>
  <c r="X43" i="2"/>
  <c r="R4" i="2"/>
  <c r="R2" i="2" s="1"/>
  <c r="R28" i="2"/>
  <c r="R44" i="2"/>
  <c r="R9" i="2"/>
  <c r="R17" i="2"/>
  <c r="R41" i="2"/>
  <c r="R14" i="2"/>
  <c r="X17" i="2"/>
  <c r="R27" i="2"/>
  <c r="AA362" i="2" l="1"/>
  <c r="AA404" i="2"/>
  <c r="AA461" i="2"/>
  <c r="AA245" i="2"/>
  <c r="AA464" i="2"/>
  <c r="AA409" i="2"/>
  <c r="AA433" i="2"/>
  <c r="AA421" i="2"/>
  <c r="AA386" i="2"/>
  <c r="AA119" i="2"/>
  <c r="AA291" i="2"/>
  <c r="AA399" i="2"/>
  <c r="AA80" i="2"/>
  <c r="AA448" i="2"/>
  <c r="Z2" i="2"/>
  <c r="AA446" i="2"/>
  <c r="AA442" i="2"/>
  <c r="AA426" i="2"/>
  <c r="X2" i="2"/>
  <c r="AA322" i="2"/>
  <c r="AA410" i="2"/>
  <c r="AA298" i="2"/>
  <c r="AA473" i="2"/>
  <c r="AA474" i="2"/>
  <c r="AA466" i="2"/>
  <c r="AA380" i="2"/>
  <c r="AA171" i="2"/>
  <c r="AA349" i="2"/>
  <c r="AA253" i="2"/>
  <c r="AA413" i="2"/>
  <c r="AA329" i="2"/>
  <c r="AA323" i="2"/>
  <c r="AA335" i="2"/>
  <c r="AA377" i="2"/>
  <c r="AA236" i="2"/>
  <c r="AA218" i="2"/>
  <c r="AA425" i="2"/>
  <c r="AA91" i="2"/>
  <c r="AA37" i="2"/>
  <c r="AA60" i="2"/>
  <c r="AA189" i="2"/>
  <c r="AA93" i="2"/>
  <c r="AA52" i="2"/>
  <c r="AA115" i="2"/>
  <c r="AA249" i="2"/>
  <c r="AA451" i="2"/>
  <c r="AA459" i="2"/>
  <c r="AA303" i="2"/>
  <c r="AA381" i="2"/>
  <c r="AA258" i="2"/>
  <c r="AA256" i="2"/>
  <c r="AA325" i="2"/>
  <c r="AA384" i="2"/>
  <c r="AA40" i="2"/>
  <c r="AA109" i="2"/>
  <c r="AA379" i="2"/>
  <c r="AA438" i="2"/>
  <c r="AA145" i="2"/>
  <c r="AA184" i="2"/>
  <c r="AA392" i="2"/>
  <c r="AA396" i="2"/>
  <c r="AA385" i="2"/>
  <c r="AA288" i="2"/>
  <c r="AA430" i="2"/>
  <c r="AA462" i="2"/>
  <c r="AA241" i="2"/>
  <c r="AA71" i="2"/>
  <c r="AA354" i="2"/>
  <c r="AA281" i="2"/>
  <c r="AA232" i="2"/>
  <c r="AA305" i="2"/>
  <c r="AA389" i="2"/>
  <c r="AA417" i="2"/>
  <c r="AA445" i="2"/>
  <c r="AA405" i="2"/>
  <c r="AA79" i="2"/>
  <c r="AA103" i="2"/>
  <c r="AA194" i="2"/>
  <c r="AA221" i="2"/>
  <c r="AA262" i="2"/>
  <c r="AA299" i="2"/>
  <c r="AA48" i="2"/>
  <c r="AA47" i="2"/>
  <c r="AA160" i="2"/>
  <c r="AA63" i="2"/>
  <c r="AA163" i="2"/>
  <c r="AA310" i="2"/>
  <c r="AA209" i="2"/>
  <c r="AA212" i="2"/>
  <c r="AA204" i="2"/>
  <c r="AA359" i="2"/>
  <c r="AA420" i="2"/>
  <c r="AA395" i="2"/>
  <c r="AA441" i="2"/>
  <c r="AA429" i="2"/>
  <c r="AA454" i="2"/>
  <c r="AA269" i="2"/>
  <c r="AA339" i="2"/>
  <c r="AA440" i="2"/>
  <c r="AA422" i="2"/>
  <c r="AA58" i="2"/>
  <c r="AA227" i="2"/>
  <c r="AA235" i="2"/>
  <c r="AA326" i="2"/>
  <c r="AA229" i="2"/>
  <c r="AA318" i="2"/>
  <c r="AA246" i="2"/>
  <c r="AA375" i="2"/>
  <c r="AA419" i="2"/>
  <c r="AA376" i="2"/>
  <c r="AA275" i="2"/>
  <c r="AA378" i="2"/>
  <c r="AA286" i="2"/>
  <c r="AA347" i="2"/>
  <c r="AA363" i="2"/>
  <c r="AA416" i="2"/>
  <c r="AA393" i="2"/>
  <c r="AA201" i="2"/>
  <c r="AA242" i="2"/>
  <c r="AA266" i="2"/>
  <c r="AA351" i="2"/>
  <c r="AA450" i="2"/>
  <c r="AA412" i="2"/>
  <c r="AA338" i="2"/>
  <c r="AA140" i="2"/>
  <c r="AA278" i="2"/>
  <c r="AA437" i="2"/>
  <c r="AA453" i="2"/>
  <c r="AA367" i="2"/>
  <c r="AA240" i="2"/>
  <c r="AA225" i="2"/>
  <c r="AA415" i="2"/>
  <c r="AA406" i="2"/>
  <c r="AA431" i="2"/>
  <c r="AA470" i="2"/>
  <c r="AA457" i="2"/>
  <c r="AA397" i="2"/>
  <c r="AA388" i="2"/>
  <c r="AA458" i="2"/>
  <c r="AA435" i="2"/>
  <c r="AA272" i="2"/>
  <c r="AA345" i="2"/>
  <c r="AA238" i="2"/>
  <c r="AA394" i="2"/>
  <c r="AA30" i="2"/>
  <c r="AA25" i="2"/>
  <c r="AA274" i="2"/>
  <c r="AA294" i="2"/>
  <c r="AA106" i="2"/>
  <c r="AA237" i="2"/>
  <c r="AA315" i="2"/>
  <c r="AA408" i="2"/>
  <c r="AA387" i="2"/>
  <c r="AA427" i="2"/>
  <c r="AA469" i="2"/>
  <c r="AA443" i="2"/>
  <c r="AA402" i="2"/>
  <c r="AA418" i="2"/>
  <c r="AA456" i="2"/>
  <c r="AA465" i="2"/>
  <c r="AA14" i="2"/>
  <c r="AA38" i="2"/>
  <c r="AA166" i="2"/>
  <c r="AA179" i="2"/>
  <c r="AA213" i="2"/>
  <c r="AA222" i="2"/>
  <c r="AA248" i="2"/>
  <c r="AA343" i="2"/>
  <c r="AA357" i="2"/>
  <c r="AA283" i="2"/>
  <c r="AA432" i="2"/>
  <c r="AA42" i="2"/>
  <c r="AA230" i="2"/>
  <c r="AA8" i="2"/>
  <c r="AA68" i="2"/>
  <c r="AA233" i="2"/>
  <c r="AA239" i="2"/>
  <c r="AA307" i="2"/>
  <c r="AA254" i="2"/>
  <c r="AA297" i="2"/>
  <c r="AA313" i="2"/>
  <c r="AA391" i="2"/>
  <c r="AA424" i="2"/>
  <c r="AA449" i="2"/>
  <c r="AA407" i="2"/>
  <c r="AA86" i="2"/>
  <c r="AA110" i="2"/>
  <c r="AA122" i="2"/>
  <c r="AA135" i="2"/>
  <c r="AA228" i="2"/>
  <c r="AA370" i="2"/>
  <c r="AA366" i="2"/>
  <c r="AA334" i="2"/>
  <c r="AA327" i="2"/>
  <c r="AA302" i="2"/>
  <c r="AA250" i="2"/>
  <c r="AA289" i="2"/>
  <c r="AA341" i="2"/>
  <c r="AA463" i="2"/>
  <c r="AA452" i="2"/>
  <c r="AA468" i="2"/>
  <c r="AA436" i="2"/>
  <c r="AA444" i="2"/>
  <c r="AA460" i="2"/>
  <c r="AA428" i="2"/>
  <c r="AA447" i="2"/>
  <c r="AA439" i="2"/>
  <c r="AA455" i="2"/>
  <c r="AA471" i="2"/>
  <c r="AA423" i="2"/>
  <c r="AA411" i="2"/>
  <c r="AA403" i="2"/>
  <c r="AA398" i="2"/>
  <c r="AA414" i="2"/>
  <c r="AA382" i="2"/>
  <c r="AA390" i="2"/>
  <c r="AA374" i="2"/>
  <c r="AA206" i="2"/>
  <c r="AA95" i="2"/>
  <c r="AA10" i="2"/>
  <c r="AA155" i="2"/>
  <c r="AA138" i="2"/>
  <c r="AA331" i="2"/>
  <c r="AA116" i="2"/>
  <c r="AA84" i="2"/>
  <c r="AA131" i="2"/>
  <c r="AA26" i="2"/>
  <c r="AA215" i="2"/>
  <c r="AA350" i="2"/>
  <c r="AA340" i="2"/>
  <c r="AA273" i="2"/>
  <c r="AA128" i="2"/>
  <c r="AA346" i="2"/>
  <c r="AA112" i="2"/>
  <c r="AA144" i="2"/>
  <c r="AA199" i="2"/>
  <c r="AA265" i="2"/>
  <c r="AA45" i="2"/>
  <c r="AA56" i="2"/>
  <c r="AA85" i="2"/>
  <c r="AA53" i="2"/>
  <c r="AA191" i="2"/>
  <c r="AA257" i="2"/>
  <c r="AA355" i="2"/>
  <c r="AA369" i="2"/>
  <c r="AA337" i="2"/>
  <c r="AA196" i="2"/>
  <c r="AA373" i="2"/>
  <c r="AA49" i="2"/>
  <c r="AA76" i="2"/>
  <c r="AA358" i="2"/>
  <c r="AA321" i="2"/>
  <c r="AA32" i="2"/>
  <c r="AA104" i="2"/>
  <c r="AA72" i="2"/>
  <c r="AA96" i="2"/>
  <c r="AA149" i="2"/>
  <c r="AA123" i="2"/>
  <c r="AA176" i="2"/>
  <c r="AA200" i="2"/>
  <c r="AA210" i="2"/>
  <c r="AA231" i="2"/>
  <c r="AA320" i="2"/>
  <c r="AA342" i="2"/>
  <c r="AA364" i="2"/>
  <c r="AA332" i="2"/>
  <c r="AA188" i="2"/>
  <c r="AA220" i="2"/>
  <c r="AA330" i="2"/>
  <c r="AA261" i="2"/>
  <c r="AA333" i="2"/>
  <c r="AA67" i="2"/>
  <c r="AA234" i="2"/>
  <c r="AA118" i="2"/>
  <c r="AA152" i="2"/>
  <c r="AA127" i="2"/>
  <c r="AA214" i="2"/>
  <c r="AA361" i="2"/>
  <c r="AA182" i="2"/>
  <c r="AA143" i="2"/>
  <c r="AA11" i="2"/>
  <c r="AA136" i="2"/>
  <c r="AA61" i="2"/>
  <c r="AA77" i="2"/>
  <c r="AA207" i="2"/>
  <c r="AA371" i="2"/>
  <c r="AA353" i="2"/>
  <c r="AA158" i="2"/>
  <c r="AA88" i="2"/>
  <c r="AA108" i="2"/>
  <c r="AA141" i="2"/>
  <c r="AA134" i="2"/>
  <c r="AA55" i="2"/>
  <c r="AA120" i="2"/>
  <c r="AA226" i="2"/>
  <c r="AA277" i="2"/>
  <c r="AA193" i="2"/>
  <c r="AA365" i="2"/>
  <c r="AA360" i="2"/>
  <c r="AA352" i="2"/>
  <c r="AA344" i="2"/>
  <c r="AA356" i="2"/>
  <c r="AA372" i="2"/>
  <c r="AA308" i="2"/>
  <c r="AA314" i="2"/>
  <c r="AA324" i="2"/>
  <c r="AA306" i="2"/>
  <c r="AA348" i="2"/>
  <c r="AA368" i="2"/>
  <c r="AA336" i="2"/>
  <c r="AA328" i="2"/>
  <c r="AA295" i="2"/>
  <c r="AA309" i="2"/>
  <c r="AA292" i="2"/>
  <c r="AA296" i="2"/>
  <c r="AA282" i="2"/>
  <c r="AA319" i="2"/>
  <c r="AA312" i="2"/>
  <c r="AA284" i="2"/>
  <c r="AA271" i="2"/>
  <c r="AA311" i="2"/>
  <c r="AA290" i="2"/>
  <c r="AA280" i="2"/>
  <c r="AA300" i="2"/>
  <c r="AA287" i="2"/>
  <c r="AA276" i="2"/>
  <c r="AA279" i="2"/>
  <c r="AA293" i="2"/>
  <c r="AA301" i="2"/>
  <c r="AA317" i="2"/>
  <c r="AA316" i="2"/>
  <c r="AA285" i="2"/>
  <c r="AA243" i="2"/>
  <c r="AA260" i="2"/>
  <c r="AA263" i="2"/>
  <c r="AA255" i="2"/>
  <c r="AA259" i="2"/>
  <c r="AA247" i="2"/>
  <c r="AA252" i="2"/>
  <c r="AA267" i="2"/>
  <c r="AA244" i="2"/>
  <c r="AA251" i="2"/>
  <c r="AA268" i="2"/>
  <c r="AA202" i="2"/>
  <c r="AA187" i="2"/>
  <c r="AA195" i="2"/>
  <c r="AA205" i="2"/>
  <c r="AA198" i="2"/>
  <c r="AA219" i="2"/>
  <c r="AA190" i="2"/>
  <c r="AA186" i="2"/>
  <c r="AA224" i="2"/>
  <c r="AA216" i="2"/>
  <c r="AA208" i="2"/>
  <c r="AA211" i="2"/>
  <c r="AA192" i="2"/>
  <c r="AA203" i="2"/>
  <c r="AA197" i="2"/>
  <c r="AA147" i="2"/>
  <c r="AA34" i="2"/>
  <c r="AA98" i="2"/>
  <c r="AA162" i="2"/>
  <c r="AA157" i="2"/>
  <c r="AA139" i="2"/>
  <c r="AA36" i="2"/>
  <c r="AA90" i="2"/>
  <c r="AA102" i="2"/>
  <c r="AA167" i="2"/>
  <c r="AA7" i="2"/>
  <c r="AA82" i="2"/>
  <c r="AA64" i="2"/>
  <c r="AA78" i="2"/>
  <c r="AA23" i="2"/>
  <c r="AA16" i="2"/>
  <c r="AA20" i="2"/>
  <c r="AA18" i="2"/>
  <c r="AA97" i="2"/>
  <c r="AA59" i="2"/>
  <c r="AA35" i="2"/>
  <c r="AA33" i="2"/>
  <c r="AA74" i="2"/>
  <c r="AA126" i="2"/>
  <c r="AA174" i="2"/>
  <c r="AA114" i="2"/>
  <c r="AA92" i="2"/>
  <c r="AA21" i="2"/>
  <c r="AA75" i="2"/>
  <c r="AA6" i="2"/>
  <c r="AA29" i="2"/>
  <c r="AA130" i="2"/>
  <c r="AA66" i="2"/>
  <c r="AA83" i="2"/>
  <c r="AA132" i="2"/>
  <c r="AA87" i="2"/>
  <c r="AA181" i="2"/>
  <c r="AA168" i="2"/>
  <c r="AA150" i="2"/>
  <c r="AA129" i="2"/>
  <c r="AA101" i="2"/>
  <c r="AA180" i="2"/>
  <c r="AA69" i="2"/>
  <c r="AA51" i="2"/>
  <c r="AA124" i="2"/>
  <c r="AA4" i="2"/>
  <c r="AA24" i="2"/>
  <c r="AA43" i="2"/>
  <c r="AA31" i="2"/>
  <c r="AA50" i="2"/>
  <c r="AA142" i="2"/>
  <c r="AA107" i="2"/>
  <c r="AA169" i="2"/>
  <c r="AA164" i="2"/>
  <c r="AA161" i="2"/>
  <c r="AA175" i="2"/>
  <c r="AA159" i="2"/>
  <c r="AA151" i="2"/>
  <c r="AA146" i="2"/>
  <c r="AA153" i="2"/>
  <c r="AA173" i="2"/>
  <c r="AA156" i="2"/>
  <c r="AA154" i="2"/>
  <c r="AA172" i="2"/>
  <c r="AA178" i="2"/>
  <c r="AA185" i="2"/>
  <c r="AA170" i="2"/>
  <c r="AA148" i="2"/>
  <c r="AA177" i="2"/>
  <c r="AA183" i="2"/>
  <c r="AA165" i="2"/>
  <c r="AA121" i="2"/>
  <c r="AA133" i="2"/>
  <c r="AA113" i="2"/>
  <c r="AA105" i="2"/>
  <c r="AA125" i="2"/>
  <c r="AA137" i="2"/>
  <c r="AA117" i="2"/>
  <c r="AA100" i="2"/>
  <c r="AA99" i="2"/>
  <c r="AA89" i="2"/>
  <c r="AA81" i="2"/>
  <c r="AA70" i="2"/>
  <c r="AA94" i="2"/>
  <c r="AA54" i="2"/>
  <c r="AA73" i="2"/>
  <c r="AA57" i="2"/>
  <c r="AA65" i="2"/>
  <c r="AA13" i="2"/>
  <c r="AA27" i="2"/>
  <c r="AA46" i="2"/>
  <c r="AA15" i="2"/>
  <c r="AA12" i="2"/>
  <c r="AA19" i="2"/>
  <c r="AA22" i="2"/>
  <c r="AA41" i="2"/>
  <c r="AA17" i="2"/>
  <c r="AA9" i="2"/>
  <c r="AA44" i="2"/>
  <c r="AA28" i="2"/>
  <c r="AA39" i="2"/>
  <c r="AA2" i="2" l="1"/>
</calcChain>
</file>

<file path=xl/sharedStrings.xml><?xml version="1.0" encoding="utf-8"?>
<sst xmlns="http://schemas.openxmlformats.org/spreadsheetml/2006/main" count="8187" uniqueCount="2033">
  <si>
    <t>S.NO</t>
  </si>
  <si>
    <t>Accounting Date</t>
  </si>
  <si>
    <t>DATE</t>
  </si>
  <si>
    <t>Weighment Slip No</t>
  </si>
  <si>
    <t>Delivery  Challan No</t>
  </si>
  <si>
    <t>Royalty Permit No</t>
  </si>
  <si>
    <t>Permit Quantity(CM)</t>
  </si>
  <si>
    <t>CUSTOMER Sr.No.</t>
  </si>
  <si>
    <t>CLINTE DETAILS</t>
  </si>
  <si>
    <t xml:space="preserve">VEHICLE NO </t>
  </si>
  <si>
    <t>GROSS WT</t>
  </si>
  <si>
    <t>NET WT</t>
  </si>
  <si>
    <t>RATE PER TONE</t>
  </si>
  <si>
    <t>AMOUNT</t>
  </si>
  <si>
    <t>CASH RECEIVED</t>
  </si>
  <si>
    <t>CUSTOMER BALANCE AMOUNT(RS)</t>
  </si>
  <si>
    <t>REMARKS</t>
  </si>
  <si>
    <t>Royalty Rate</t>
  </si>
  <si>
    <t>Royalty Amouunt</t>
  </si>
  <si>
    <t>Transport Rate</t>
  </si>
  <si>
    <t>Transport Amount</t>
  </si>
  <si>
    <t>Total Amount</t>
  </si>
  <si>
    <t>TRANSPORTER NAME</t>
  </si>
  <si>
    <t>Others</t>
  </si>
  <si>
    <t>OFFICE</t>
  </si>
  <si>
    <t>NAME OF THE CUSTOMER</t>
  </si>
  <si>
    <t>PAYMENT TERMS</t>
  </si>
  <si>
    <t>Material</t>
  </si>
  <si>
    <t>dff</t>
  </si>
  <si>
    <t>ADVANCE RECEIVED</t>
  </si>
  <si>
    <t>CASH</t>
  </si>
  <si>
    <t>CREDIT</t>
  </si>
  <si>
    <t>10MM</t>
  </si>
  <si>
    <t>JS MINING &amp;CONSTRUCTIONS</t>
  </si>
  <si>
    <t>20MM</t>
  </si>
  <si>
    <t>RIVO SAND</t>
  </si>
  <si>
    <t>AP39UJ2669</t>
  </si>
  <si>
    <t>AP39UZ3335</t>
  </si>
  <si>
    <t>AP39UW2589</t>
  </si>
  <si>
    <t>AP39WC2389</t>
  </si>
  <si>
    <t>AP39UJ2489</t>
  </si>
  <si>
    <t>AP39WC7449</t>
  </si>
  <si>
    <t>AP39UZ2489</t>
  </si>
  <si>
    <t>AP39W3579</t>
  </si>
  <si>
    <t>KEC INTERNATIONAL</t>
  </si>
  <si>
    <t>SANJAY SINGH</t>
  </si>
  <si>
    <t>AP39VC5289</t>
  </si>
  <si>
    <t>AFCONS INFRASTRUCTURE LTD</t>
  </si>
  <si>
    <t>AP39VF2339</t>
  </si>
  <si>
    <t>VSI SAND</t>
  </si>
  <si>
    <t>AP39UZ2369</t>
  </si>
  <si>
    <t>AP39UQ2489</t>
  </si>
  <si>
    <t>AP39WD1166</t>
  </si>
  <si>
    <t>AP39VD5226</t>
  </si>
  <si>
    <t>AP39VC1688</t>
  </si>
  <si>
    <t>AP39WD2536</t>
  </si>
  <si>
    <t>AP39WH3659</t>
  </si>
  <si>
    <t>BHARAT VARMA(AIRPORT)</t>
  </si>
  <si>
    <t>AP39WD5679</t>
  </si>
  <si>
    <t>AP39TV2536</t>
  </si>
  <si>
    <t>AP39VC5999</t>
  </si>
  <si>
    <t>AP39WD5999</t>
  </si>
  <si>
    <t>AP39UF3245</t>
  </si>
  <si>
    <t>40MM</t>
  </si>
  <si>
    <t>LAXMI ENTERPRISES</t>
  </si>
  <si>
    <t>AP39WC9639</t>
  </si>
  <si>
    <t>AP39UJ1166</t>
  </si>
  <si>
    <t>AP31TN3659</t>
  </si>
  <si>
    <t>AP39WE9299</t>
  </si>
  <si>
    <t>AP39UJ5678</t>
  </si>
  <si>
    <t>Shiva transport makavaram-AP39UQ2489</t>
  </si>
  <si>
    <t>N260101003</t>
  </si>
  <si>
    <t>VENKATA RAO-2489</t>
  </si>
  <si>
    <t>N260101004</t>
  </si>
  <si>
    <t>SAKPDC005978/25-26</t>
  </si>
  <si>
    <t>SAKPDC005984/25-26</t>
  </si>
  <si>
    <t>SAKPDC005981/25-26</t>
  </si>
  <si>
    <t>SAKPDC005983/25-26</t>
  </si>
  <si>
    <t>SAKPDC005985/25-26</t>
  </si>
  <si>
    <t>SAKPDC005987/25-26</t>
  </si>
  <si>
    <t>SAKPDC005979/25-26</t>
  </si>
  <si>
    <t>SAKPDC005982/25-26</t>
  </si>
  <si>
    <t>SAKPDC005986/25-26</t>
  </si>
  <si>
    <t>SAKPDC005988/25-26</t>
  </si>
  <si>
    <t>SAKPDC005989/25-26</t>
  </si>
  <si>
    <t>SAKPDC005991/25-26</t>
  </si>
  <si>
    <t>SAKPDC005992/25-26</t>
  </si>
  <si>
    <t>SAKPDC005994/25-26</t>
  </si>
  <si>
    <t>SAKPDC005995/25-26</t>
  </si>
  <si>
    <t>SAKPDC005996/25-26</t>
  </si>
  <si>
    <t>SAKPDC005997/25-26</t>
  </si>
  <si>
    <t>SAKPDC006006/25-26</t>
  </si>
  <si>
    <t>SAKPDC005998/25-26</t>
  </si>
  <si>
    <t>SAKPDC006000/25-26</t>
  </si>
  <si>
    <t>SAKPDC006003/25-26</t>
  </si>
  <si>
    <t>SAKPDC005999/25-26</t>
  </si>
  <si>
    <t>SAKPDC006001/25-26</t>
  </si>
  <si>
    <t>SAKPDC006002/25-26</t>
  </si>
  <si>
    <t>SAKPDC006004/25-26</t>
  </si>
  <si>
    <t>SAKPDC006007/25-26</t>
  </si>
  <si>
    <t>SAKPDC006005/25-26</t>
  </si>
  <si>
    <t>SAKPDC006008/25-26</t>
  </si>
  <si>
    <t>SAKPDC006009/25-26</t>
  </si>
  <si>
    <t>SAKPDC006010/25-26</t>
  </si>
  <si>
    <t>SAKPDC006011/25-26</t>
  </si>
  <si>
    <t>SAKPDC006012/25-26</t>
  </si>
  <si>
    <t>SAKPDC006013/25-26</t>
  </si>
  <si>
    <t>SAKPDC006014/25-26</t>
  </si>
  <si>
    <t>SAKPDC006015/25-26</t>
  </si>
  <si>
    <t>SAKPDC006016/25-26</t>
  </si>
  <si>
    <t>SAKPDC006018/25-26</t>
  </si>
  <si>
    <t>SAKPDC006019/25-26</t>
  </si>
  <si>
    <t>SAKPDC006017/25-26</t>
  </si>
  <si>
    <t>SAKPDC006020/25-26</t>
  </si>
  <si>
    <t>SAKPDC006021/25-26</t>
  </si>
  <si>
    <t>AP39WH1869</t>
  </si>
  <si>
    <t>SAKPDC006022/25-26</t>
  </si>
  <si>
    <t>AP39WH2769</t>
  </si>
  <si>
    <t>SAKPDC006023/25-26</t>
  </si>
  <si>
    <t>SAKPDC006024/25-26</t>
  </si>
  <si>
    <t>AP39UZ0959</t>
  </si>
  <si>
    <t>SAKPDC006025/25-26</t>
  </si>
  <si>
    <t>AP39UZ0156</t>
  </si>
  <si>
    <t>SAKPDC006026/25-26</t>
  </si>
  <si>
    <t>AP39W1139</t>
  </si>
  <si>
    <t>SAKPDC006027/25-26</t>
  </si>
  <si>
    <t>SAKPDC006030/25-26</t>
  </si>
  <si>
    <t>SAKPDC006031/25-26</t>
  </si>
  <si>
    <t>SAKPDC006028/25-26</t>
  </si>
  <si>
    <t>SAKPDC006029/25-26</t>
  </si>
  <si>
    <t>SAKPDC006032/25-26</t>
  </si>
  <si>
    <t>SAKPDC006033/25-26</t>
  </si>
  <si>
    <t>SAKPDC006034/25-26</t>
  </si>
  <si>
    <t>SAKPDC006035/25-26</t>
  </si>
  <si>
    <t>SAKPDC006037/25-26</t>
  </si>
  <si>
    <t>SAKPDC006038/25-26</t>
  </si>
  <si>
    <t>SAKPDC006036/25-26</t>
  </si>
  <si>
    <t>SAKPDC006039/25-26</t>
  </si>
  <si>
    <t>SAKPDC006040/25-26</t>
  </si>
  <si>
    <t>SAKPDC006041/25-26</t>
  </si>
  <si>
    <t>AP39UU0509</t>
  </si>
  <si>
    <t>SAKPDC006042/25-26</t>
  </si>
  <si>
    <t>SAKPDC006043/25-26</t>
  </si>
  <si>
    <t>SAKPDC006045/25-26</t>
  </si>
  <si>
    <t>AP39UM4767</t>
  </si>
  <si>
    <t>SAKPDC006044/25-26</t>
  </si>
  <si>
    <t>AP39UY3435</t>
  </si>
  <si>
    <t>SAKPDC006047/25-26</t>
  </si>
  <si>
    <t>AP39WD3257</t>
  </si>
  <si>
    <t>SAKPDC006046/25-26</t>
  </si>
  <si>
    <t>AP39WB1629</t>
  </si>
  <si>
    <t>SAKPDC006049/25-26</t>
  </si>
  <si>
    <t>SAKPDC006048/25-26</t>
  </si>
  <si>
    <t>AP31TN2579</t>
  </si>
  <si>
    <t>SAKPDC006050/25-26</t>
  </si>
  <si>
    <t>SAKPDC006051/25-26</t>
  </si>
  <si>
    <t>SAKPDC006055/25-26</t>
  </si>
  <si>
    <t>SAKPDC006054/25-26</t>
  </si>
  <si>
    <t>SAKPDC006052/25-26</t>
  </si>
  <si>
    <t>SAKPDC006053/25-26</t>
  </si>
  <si>
    <t>SAKPDC006056/25-26</t>
  </si>
  <si>
    <t>SAKPDC006058/25-26</t>
  </si>
  <si>
    <t>SAKPDC006057/25-26</t>
  </si>
  <si>
    <t>SAKPDC006059/25-26</t>
  </si>
  <si>
    <t>SAKPDC006060/25-26</t>
  </si>
  <si>
    <t>AP39UE5162</t>
  </si>
  <si>
    <t>SAKPDC006061/25-26</t>
  </si>
  <si>
    <t>SAKPDC006062/25-26</t>
  </si>
  <si>
    <t>SAKPDC006063/25-26</t>
  </si>
  <si>
    <t>SAKPDC006065/25-26</t>
  </si>
  <si>
    <t>SAKPDC006066/25-26</t>
  </si>
  <si>
    <t>SAKPDC006064/25-26</t>
  </si>
  <si>
    <t>SAKPDC006067/25-26</t>
  </si>
  <si>
    <t>AP31TN4302</t>
  </si>
  <si>
    <t>SAKPDC006069/25-26</t>
  </si>
  <si>
    <t>SAKPDC006070/25-26</t>
  </si>
  <si>
    <t>SAKPDC006068/25-26</t>
  </si>
  <si>
    <t>SAKPDC006071/25-26</t>
  </si>
  <si>
    <t>SAKPDC006072/25-26</t>
  </si>
  <si>
    <t>SAKPDC006074/25-26</t>
  </si>
  <si>
    <t>SAKPDC006073/25-26</t>
  </si>
  <si>
    <t>SAKPDC006075/25-26</t>
  </si>
  <si>
    <t>SAKPDC006076/25-26</t>
  </si>
  <si>
    <t>MDLA9552134</t>
  </si>
  <si>
    <t>SAKPDC006077/25-26</t>
  </si>
  <si>
    <t>MDLA9552135</t>
  </si>
  <si>
    <t>SAKPDC006078/25-26</t>
  </si>
  <si>
    <t>MDLA9552136</t>
  </si>
  <si>
    <t>N260103001</t>
  </si>
  <si>
    <t>Agraharam village sarpanch</t>
  </si>
  <si>
    <t>AP35W1116</t>
  </si>
  <si>
    <t>SAKPDC006085/25-26</t>
  </si>
  <si>
    <t>MDLA9552143</t>
  </si>
  <si>
    <t>SAKPDC006079/25-26</t>
  </si>
  <si>
    <t>MDLA9552137</t>
  </si>
  <si>
    <t>MK BUILDERS &amp; DEVELOPERS</t>
  </si>
  <si>
    <t>AP39UJ5067</t>
  </si>
  <si>
    <t>SAKPDC006080/25-26</t>
  </si>
  <si>
    <t>MDLA9552138</t>
  </si>
  <si>
    <t>AP39UJ5068</t>
  </si>
  <si>
    <t>N260103002</t>
  </si>
  <si>
    <t>QUARRY ROAD WORK PURPOSE</t>
  </si>
  <si>
    <t>AP39WC0927</t>
  </si>
  <si>
    <t>WASTE DUST</t>
  </si>
  <si>
    <t>SAKPDC006081/25-26</t>
  </si>
  <si>
    <t>MDLA9552139</t>
  </si>
  <si>
    <t>AP39UP9239</t>
  </si>
  <si>
    <t>SAKPDC006082/25-26</t>
  </si>
  <si>
    <t>MDLA9552140</t>
  </si>
  <si>
    <t>SAKPDC006083/25-26</t>
  </si>
  <si>
    <t>MDLA9552141</t>
  </si>
  <si>
    <t>N260103003</t>
  </si>
  <si>
    <t>AP39WF2057</t>
  </si>
  <si>
    <t>SAKPDC006084/25-26</t>
  </si>
  <si>
    <t>MDLA9552142</t>
  </si>
  <si>
    <t>SAKPDC006086/25-26</t>
  </si>
  <si>
    <t>MDLA9552144</t>
  </si>
  <si>
    <t>N260103004</t>
  </si>
  <si>
    <t>GOPI-5005</t>
  </si>
  <si>
    <t>AP39WJ5869</t>
  </si>
  <si>
    <t>SAKPDC006087/25-26</t>
  </si>
  <si>
    <t>MDLA9552145</t>
  </si>
  <si>
    <t>SAKPDC006092/25-26</t>
  </si>
  <si>
    <t>MDLA9552149</t>
  </si>
  <si>
    <t>MDLA9552146</t>
  </si>
  <si>
    <t>SAKPDC006091/25-26</t>
  </si>
  <si>
    <t>MDLA9552151</t>
  </si>
  <si>
    <t>SAKPDC006098/25-26</t>
  </si>
  <si>
    <t>MDLA9552160</t>
  </si>
  <si>
    <t>SAKPDC0060889/25-26</t>
  </si>
  <si>
    <t>MDLA9552147</t>
  </si>
  <si>
    <t>SAKPDC006090/25-26</t>
  </si>
  <si>
    <t>MDLA9552148</t>
  </si>
  <si>
    <t>SAKPDC006093/25-26</t>
  </si>
  <si>
    <t>MDLA9552150</t>
  </si>
  <si>
    <t>SAKPDC006094/25-26</t>
  </si>
  <si>
    <t>MDLA9552152</t>
  </si>
  <si>
    <t>COASTAL CONCRETE</t>
  </si>
  <si>
    <t>SAKPDC006096/25-26</t>
  </si>
  <si>
    <t>MDLA9552158</t>
  </si>
  <si>
    <t>SAKPDC006095/25-26</t>
  </si>
  <si>
    <t>MDLA9552153</t>
  </si>
  <si>
    <t>SAKPDC006097/25-26</t>
  </si>
  <si>
    <t>MDLA9552159</t>
  </si>
  <si>
    <t>AP39UG0559</t>
  </si>
  <si>
    <t>SAKPDC006099/25-26</t>
  </si>
  <si>
    <t>MDLA9552161</t>
  </si>
  <si>
    <t>N260104001</t>
  </si>
  <si>
    <t>MADHAV REDDY</t>
  </si>
  <si>
    <t>AP31TT0396</t>
  </si>
  <si>
    <t>N260104002</t>
  </si>
  <si>
    <t>NTR</t>
  </si>
  <si>
    <t>AP39TK8524</t>
  </si>
  <si>
    <t>SATYANARAYANA</t>
  </si>
  <si>
    <t>SAKPDC006100/25-26</t>
  </si>
  <si>
    <t>MDLA9552162</t>
  </si>
  <si>
    <t>URBON CONS LLP</t>
  </si>
  <si>
    <t>SAKPDC006101/25-26</t>
  </si>
  <si>
    <t>MDLA9552163</t>
  </si>
  <si>
    <t>SAKPDC006102/25-26</t>
  </si>
  <si>
    <t>MDLA9552164</t>
  </si>
  <si>
    <t>SAKPDC006103/25-26</t>
  </si>
  <si>
    <t>MDLA9552165</t>
  </si>
  <si>
    <t>SAKPDC006104/25-26</t>
  </si>
  <si>
    <t>MDLA9552166</t>
  </si>
  <si>
    <t>SAKPDC006105/25-26</t>
  </si>
  <si>
    <t>MDLA9552167</t>
  </si>
  <si>
    <t>SAKPDC006106/25-26</t>
  </si>
  <si>
    <t>MDLA9552168</t>
  </si>
  <si>
    <t>SAKPDC006107/25-26</t>
  </si>
  <si>
    <t>MDLA9552169</t>
  </si>
  <si>
    <t>N260104003</t>
  </si>
  <si>
    <t>AP39UQ0097</t>
  </si>
  <si>
    <t>SAKPDC006108/25-26</t>
  </si>
  <si>
    <t>MDLA9552170</t>
  </si>
  <si>
    <t>SAKPDC006109/25-26</t>
  </si>
  <si>
    <t>MDLA9552171</t>
  </si>
  <si>
    <t>SAKPDC006110/25-26</t>
  </si>
  <si>
    <t>MDLA9552172</t>
  </si>
  <si>
    <t>SAKPDC006111/25-26</t>
  </si>
  <si>
    <t>MDLA9552173</t>
  </si>
  <si>
    <t>SAKPDC006112/25-26</t>
  </si>
  <si>
    <t>MDLA9552174</t>
  </si>
  <si>
    <t>SAKPDC006113/25-26</t>
  </si>
  <si>
    <t>MDLA9552175</t>
  </si>
  <si>
    <t>AP39WD3389</t>
  </si>
  <si>
    <t>N260104004</t>
  </si>
  <si>
    <t>SRINIVASA RAO</t>
  </si>
  <si>
    <t>AP39SN5614</t>
  </si>
  <si>
    <t>SCOLPIN</t>
  </si>
  <si>
    <t>SAKPDC006114/25-26</t>
  </si>
  <si>
    <t>MDLA9552176</t>
  </si>
  <si>
    <t>SAKPDC006115/25-26</t>
  </si>
  <si>
    <t>MDLA9552177</t>
  </si>
  <si>
    <t>BURUGUPALLI INFRASTRUCTURES</t>
  </si>
  <si>
    <t>SAKPDC006116/25-26</t>
  </si>
  <si>
    <t>MDLA9552178</t>
  </si>
  <si>
    <t>SAKPDC006117/25-26</t>
  </si>
  <si>
    <t>MDLA9552179</t>
  </si>
  <si>
    <t>N260104005</t>
  </si>
  <si>
    <t>SRI RAM DORA</t>
  </si>
  <si>
    <t>AP31TN3906</t>
  </si>
  <si>
    <t>N260104006</t>
  </si>
  <si>
    <t>APPA RAO</t>
  </si>
  <si>
    <t>AP31Y8201</t>
  </si>
  <si>
    <t>N260104007</t>
  </si>
  <si>
    <t>N260104008</t>
  </si>
  <si>
    <t>N260104009</t>
  </si>
  <si>
    <t>AP39UW9880</t>
  </si>
  <si>
    <t>N260104010</t>
  </si>
  <si>
    <t>SAKPDC006120/25-26</t>
  </si>
  <si>
    <t>MDLA9552183</t>
  </si>
  <si>
    <t>SAKPDC006119/25-26</t>
  </si>
  <si>
    <t>MDLA9552180</t>
  </si>
  <si>
    <t>SAKPDC006121/25-26</t>
  </si>
  <si>
    <t>MDLA9552181</t>
  </si>
  <si>
    <t>SAKPDC006122/25-26</t>
  </si>
  <si>
    <t>MDLA9552184</t>
  </si>
  <si>
    <t>SAKPDC006123/25-26</t>
  </si>
  <si>
    <t>MDLA9552185</t>
  </si>
  <si>
    <t>SAKPDC006125/25-26</t>
  </si>
  <si>
    <t>MDLA9552187</t>
  </si>
  <si>
    <t>SAKPDC006126/25-26</t>
  </si>
  <si>
    <t>MDLA9552188</t>
  </si>
  <si>
    <t>SAKPDC006128/25-26</t>
  </si>
  <si>
    <t>MDLA9552190</t>
  </si>
  <si>
    <t>SAKPDC006127/25-26</t>
  </si>
  <si>
    <t>MDLA9552189</t>
  </si>
  <si>
    <t>SAKPDC006129/25-26</t>
  </si>
  <si>
    <t>MDLA9552191</t>
  </si>
  <si>
    <t>SAKPDC006124/25-26</t>
  </si>
  <si>
    <t>MDLA9552186</t>
  </si>
  <si>
    <t>N260105001</t>
  </si>
  <si>
    <t>N260105002</t>
  </si>
  <si>
    <t>N260105003</t>
  </si>
  <si>
    <t>AP39UY4652</t>
  </si>
  <si>
    <t>N260105004</t>
  </si>
  <si>
    <t>AP39WF2058</t>
  </si>
  <si>
    <t>SAKPDC006131/25-26</t>
  </si>
  <si>
    <t>MDLA9552193</t>
  </si>
  <si>
    <t>SAKPDC006130/25-26</t>
  </si>
  <si>
    <t>MDLA9552192</t>
  </si>
  <si>
    <t>SIRICON INDUSTRIAL MANAGEMENT SERVICE PVT LTD</t>
  </si>
  <si>
    <t>50MM</t>
  </si>
  <si>
    <t>SAKPDC006133/25-26</t>
  </si>
  <si>
    <t>MDLA9552195</t>
  </si>
  <si>
    <t>SAKPDC006132/25-26</t>
  </si>
  <si>
    <t>MDLA9552194</t>
  </si>
  <si>
    <t>AP39UF1266</t>
  </si>
  <si>
    <t>SAKPDC006134/25-26</t>
  </si>
  <si>
    <t>MDLA9552196</t>
  </si>
  <si>
    <t>SAKPDC006135/25-26</t>
  </si>
  <si>
    <t>MDLA9552197</t>
  </si>
  <si>
    <t>SAKPDC006136/25-26</t>
  </si>
  <si>
    <t>MDLA9552198</t>
  </si>
  <si>
    <t>SAKPDC006137/25-26</t>
  </si>
  <si>
    <t>MDLA9552199</t>
  </si>
  <si>
    <t>SAKPDC006138/25-26</t>
  </si>
  <si>
    <t>MDLA9552200</t>
  </si>
  <si>
    <t>SAKPDC006139/25-26</t>
  </si>
  <si>
    <t>MDLA9552201</t>
  </si>
  <si>
    <t>SAKPDC006140/25-26</t>
  </si>
  <si>
    <t>MDLA9552202</t>
  </si>
  <si>
    <t>SAKPDC006141/25-26</t>
  </si>
  <si>
    <t>MDLA9552203</t>
  </si>
  <si>
    <t>SAKPDC006142/25-26</t>
  </si>
  <si>
    <t>MDLA9552204</t>
  </si>
  <si>
    <t>SAKPDC006143/25-26</t>
  </si>
  <si>
    <t>MDLA9552205</t>
  </si>
  <si>
    <t>SAKPDC006145/25-26</t>
  </si>
  <si>
    <t>MDLA9552207</t>
  </si>
  <si>
    <t>SAKPDC006146/25-26</t>
  </si>
  <si>
    <t>MDLA9552208</t>
  </si>
  <si>
    <t>AP39ED5679</t>
  </si>
  <si>
    <t>SAKPDC006144/25-26</t>
  </si>
  <si>
    <t>MDLA9552206</t>
  </si>
  <si>
    <t>N260105005</t>
  </si>
  <si>
    <t>MADHU-3335</t>
  </si>
  <si>
    <t>SAKPDC006147/25-26</t>
  </si>
  <si>
    <t>MDLA9552209</t>
  </si>
  <si>
    <t>SAKPDC006148/25-26</t>
  </si>
  <si>
    <t>MDLA9552210</t>
  </si>
  <si>
    <t>SAKPDC006149/25-26</t>
  </si>
  <si>
    <t>MDLA9552211</t>
  </si>
  <si>
    <t>SAKPDC006150/25-26</t>
  </si>
  <si>
    <t>MDLA9552212</t>
  </si>
  <si>
    <t>SAKPDC006151/25-26</t>
  </si>
  <si>
    <t>MDLA9552213</t>
  </si>
  <si>
    <t>SAKPDC006152/25-26</t>
  </si>
  <si>
    <t>MDLA9552214</t>
  </si>
  <si>
    <t>N260105006</t>
  </si>
  <si>
    <t>THUMMAPALA ROAD PURPOSE</t>
  </si>
  <si>
    <t>GSB WET/MIX</t>
  </si>
  <si>
    <t>N260105007</t>
  </si>
  <si>
    <t>RAJU</t>
  </si>
  <si>
    <t>AP07TD7558</t>
  </si>
  <si>
    <t>SCALPIN</t>
  </si>
  <si>
    <t>SAKPDC006153/25-26</t>
  </si>
  <si>
    <t>MDLA9552215</t>
  </si>
  <si>
    <t>SAKPDC006156/25-26</t>
  </si>
  <si>
    <t>MDLA9552218</t>
  </si>
  <si>
    <t>AP39WG1368</t>
  </si>
  <si>
    <t>SAKPDC006155/25-26</t>
  </si>
  <si>
    <t>MDLA9552217</t>
  </si>
  <si>
    <t>SAKPDC006154/25-26</t>
  </si>
  <si>
    <t>MDLA9552216</t>
  </si>
  <si>
    <t>SAKPDC006157/25-26</t>
  </si>
  <si>
    <t>MDLA9552219</t>
  </si>
  <si>
    <t>N260105008</t>
  </si>
  <si>
    <t>AP39UY4651</t>
  </si>
  <si>
    <t>N260105009</t>
  </si>
  <si>
    <t>SAKPDC006158/25-26</t>
  </si>
  <si>
    <t>MDLA9552220</t>
  </si>
  <si>
    <t>N260105010</t>
  </si>
  <si>
    <t>AP39UW9881</t>
  </si>
  <si>
    <t>SAKPDC006159/25-26</t>
  </si>
  <si>
    <t>MDLA9552221</t>
  </si>
  <si>
    <t>N260106001</t>
  </si>
  <si>
    <t>N260106002</t>
  </si>
  <si>
    <t>B GOVINDA</t>
  </si>
  <si>
    <t>AP39TT7189</t>
  </si>
  <si>
    <t>SAKPDC006160/25-26</t>
  </si>
  <si>
    <t>MDLA9552222</t>
  </si>
  <si>
    <t>SAKPDC006161/25-26</t>
  </si>
  <si>
    <t>MDLA9552223</t>
  </si>
  <si>
    <t>SAKPDC006166/25-26</t>
  </si>
  <si>
    <t>MDLA9552228</t>
  </si>
  <si>
    <t>SAKPDC006162/25-26</t>
  </si>
  <si>
    <t>MDLA9552224</t>
  </si>
  <si>
    <t>AP39WD2589</t>
  </si>
  <si>
    <t>SAKPDC006164/25-26</t>
  </si>
  <si>
    <t>MDLA9552226</t>
  </si>
  <si>
    <t>SAKPDC006167/25-26</t>
  </si>
  <si>
    <t>MDLA9552229</t>
  </si>
  <si>
    <t>SAKPDC006163/25-26</t>
  </si>
  <si>
    <t>MDLA9552225</t>
  </si>
  <si>
    <t>SAKPDC006168/25-26</t>
  </si>
  <si>
    <t>MDLA9552230</t>
  </si>
  <si>
    <t>SAKPDC006170/25-26</t>
  </si>
  <si>
    <t>MDLA9552232</t>
  </si>
  <si>
    <t>SAKPDC006165/25-26</t>
  </si>
  <si>
    <t>MDLA9552227</t>
  </si>
  <si>
    <t>SAKPDC006169/25-26</t>
  </si>
  <si>
    <t>MDLA9552231</t>
  </si>
  <si>
    <t>SAKPDC006171/25-26</t>
  </si>
  <si>
    <t>MDLA9552233</t>
  </si>
  <si>
    <t>SAKPDC006173/25-26</t>
  </si>
  <si>
    <t>MDLA9552235</t>
  </si>
  <si>
    <t>SAKPDC006172/25-26</t>
  </si>
  <si>
    <t>MDLA9552234</t>
  </si>
  <si>
    <t>SAKPDC006174/25-26</t>
  </si>
  <si>
    <t>MDLA9552236</t>
  </si>
  <si>
    <t>SAKPDC006176/25-26</t>
  </si>
  <si>
    <t>MDLA9552238</t>
  </si>
  <si>
    <t>SAKPDC006175/25-26</t>
  </si>
  <si>
    <t>MDLA9552237</t>
  </si>
  <si>
    <t>SAKPDC006177/25-26</t>
  </si>
  <si>
    <t>MDLA9552239</t>
  </si>
  <si>
    <t>SRI PYDIMAMABA ENTERPISES</t>
  </si>
  <si>
    <t>AP39UZ2345</t>
  </si>
  <si>
    <t>SAKPDC006178/25-26</t>
  </si>
  <si>
    <t>MDLA9552240</t>
  </si>
  <si>
    <t>AP39UV5589</t>
  </si>
  <si>
    <t>SAKPDC006179/25-26</t>
  </si>
  <si>
    <t>MDLA9552241</t>
  </si>
  <si>
    <t>SAKPDC006180/25-26</t>
  </si>
  <si>
    <t>MDLA9552242</t>
  </si>
  <si>
    <t>SAKPDC006181/25-26</t>
  </si>
  <si>
    <t>MDLA9552243</t>
  </si>
  <si>
    <t>SAKPDC006182/25-26</t>
  </si>
  <si>
    <t>MDLA9552244</t>
  </si>
  <si>
    <t>SAKPDC006183/25-26</t>
  </si>
  <si>
    <t>MDLA9552245</t>
  </si>
  <si>
    <t>SAKPDC006184/25-26</t>
  </si>
  <si>
    <t>MDLA9552246</t>
  </si>
  <si>
    <t>SAKPDC006185/25-26</t>
  </si>
  <si>
    <t>MDLA9552247</t>
  </si>
  <si>
    <t>N260106003</t>
  </si>
  <si>
    <t>SAKPDC006186/25-26</t>
  </si>
  <si>
    <t>MDLA9552248</t>
  </si>
  <si>
    <t>SAKPDC006187/25-26</t>
  </si>
  <si>
    <t>MDLA9552249</t>
  </si>
  <si>
    <t>N260106004</t>
  </si>
  <si>
    <t>SAKPDC006188/25-26</t>
  </si>
  <si>
    <t>MDLA9552250</t>
  </si>
  <si>
    <t>SAKPDC006189/25-26</t>
  </si>
  <si>
    <t>MDLA9552251</t>
  </si>
  <si>
    <t>SAKPDC006190/25-26</t>
  </si>
  <si>
    <t>MDLA9552252</t>
  </si>
  <si>
    <t>SAKPDC006191/25-26</t>
  </si>
  <si>
    <t>MDLA9552253</t>
  </si>
  <si>
    <t>SAKPDC006192/25-26</t>
  </si>
  <si>
    <t>MDLA9552254</t>
  </si>
  <si>
    <t>SAKPDC006193/25-26</t>
  </si>
  <si>
    <t>MDLA9552255</t>
  </si>
  <si>
    <t>SAKPDC006194/25-26</t>
  </si>
  <si>
    <t>MDLA9552256</t>
  </si>
  <si>
    <t>SAKPDC006195/25-26</t>
  </si>
  <si>
    <t>MDLA9552257</t>
  </si>
  <si>
    <t>SAKPDC006196/25-26</t>
  </si>
  <si>
    <t>MDLA9552258</t>
  </si>
  <si>
    <t>SAKPDC006198/25-26</t>
  </si>
  <si>
    <t>MDLA9552260</t>
  </si>
  <si>
    <t>SAKPDC006203/25-26</t>
  </si>
  <si>
    <t>MDLA9552265</t>
  </si>
  <si>
    <t>SAKPDC006200/25-26</t>
  </si>
  <si>
    <t>MDLA9552262</t>
  </si>
  <si>
    <t>AP39IUW2589</t>
  </si>
  <si>
    <t>SAKPDC006197/25-26</t>
  </si>
  <si>
    <t>MDLA9552259</t>
  </si>
  <si>
    <t>SAKPDC006201/25-26</t>
  </si>
  <si>
    <t>MDLA9552263</t>
  </si>
  <si>
    <t>SAKPDC006199/25-26</t>
  </si>
  <si>
    <t>MDLA9552261</t>
  </si>
  <si>
    <t>SAKPDC006202/25-26</t>
  </si>
  <si>
    <t>MDLA9552264</t>
  </si>
  <si>
    <t>SAKPDC006204/25-26</t>
  </si>
  <si>
    <t>MDLA9552266</t>
  </si>
  <si>
    <t>SAKPDC006205/25-26</t>
  </si>
  <si>
    <t>MDLA9552267</t>
  </si>
  <si>
    <t>SAKPDC006206/25-26</t>
  </si>
  <si>
    <t>MDLA9552268</t>
  </si>
  <si>
    <t>SAKPDC006207/25-26</t>
  </si>
  <si>
    <t>MDLA9552269</t>
  </si>
  <si>
    <t>SAKPDC006210/25-26</t>
  </si>
  <si>
    <t>MDLA9552272</t>
  </si>
  <si>
    <t>SAKPDC006209/25-26</t>
  </si>
  <si>
    <t>MDLA9552271</t>
  </si>
  <si>
    <t>SAKPDC006213/25-26</t>
  </si>
  <si>
    <t>MDLA9552275</t>
  </si>
  <si>
    <t>SAKPDC006215/25-26</t>
  </si>
  <si>
    <t>MDLA9552277</t>
  </si>
  <si>
    <t>SAKPDC006211/25-26</t>
  </si>
  <si>
    <t>MDLA9552273</t>
  </si>
  <si>
    <t>AP39WD3488</t>
  </si>
  <si>
    <t>SAKPDC006208/25-26</t>
  </si>
  <si>
    <t>MDLA9552270</t>
  </si>
  <si>
    <t>SAKPDC006212/25-26</t>
  </si>
  <si>
    <t>MDLA9552274</t>
  </si>
  <si>
    <t>SAKPDC006214/25-26</t>
  </si>
  <si>
    <t>MDLA9552276</t>
  </si>
  <si>
    <t>N260107001</t>
  </si>
  <si>
    <t>N260107002</t>
  </si>
  <si>
    <t>SAKPDC006216/25-26</t>
  </si>
  <si>
    <t>MDLA9552278</t>
  </si>
  <si>
    <t>SAKPDC006217/25-26</t>
  </si>
  <si>
    <t>MDLA9552279</t>
  </si>
  <si>
    <t>AP31TM1949</t>
  </si>
  <si>
    <t>SAKPDC006218/25-26</t>
  </si>
  <si>
    <t>MDLA9552280</t>
  </si>
  <si>
    <t>SAKPDC006219/25-26</t>
  </si>
  <si>
    <t>MDLA9552281</t>
  </si>
  <si>
    <t>SAKPDC006220/25-26</t>
  </si>
  <si>
    <t>MDLA9552282</t>
  </si>
  <si>
    <t>AP35V1566</t>
  </si>
  <si>
    <t>N260107005</t>
  </si>
  <si>
    <t>NEW OFFICE PURPOSE</t>
  </si>
  <si>
    <t>AP39NR1723</t>
  </si>
  <si>
    <t>N260107007</t>
  </si>
  <si>
    <t>QUARRY ROAD PURPOSE</t>
  </si>
  <si>
    <t>N260107006</t>
  </si>
  <si>
    <t>AP39WF2052</t>
  </si>
  <si>
    <t>N260107003</t>
  </si>
  <si>
    <t>AP31TN2489</t>
  </si>
  <si>
    <t>SAKPDC006221/25-26</t>
  </si>
  <si>
    <t>MDLA9552283</t>
  </si>
  <si>
    <t>SAKPDC006222/25-26</t>
  </si>
  <si>
    <t>MDLA9552284</t>
  </si>
  <si>
    <t>SAKPDC006223/25-26</t>
  </si>
  <si>
    <t>MDLA9552285</t>
  </si>
  <si>
    <t>SAKPDC006224/25-26</t>
  </si>
  <si>
    <t>MDLA9552286</t>
  </si>
  <si>
    <t>SAKPDC006226/25-26</t>
  </si>
  <si>
    <t>MDLA9552287</t>
  </si>
  <si>
    <t>SAKPDC006227/25-26</t>
  </si>
  <si>
    <t>MDLA9552288</t>
  </si>
  <si>
    <t>N260107004</t>
  </si>
  <si>
    <t>SAKPDC006228/25-26</t>
  </si>
  <si>
    <t>MDLA9552289</t>
  </si>
  <si>
    <t>SAKPDC006229/25-26</t>
  </si>
  <si>
    <t>MDLA9552290</t>
  </si>
  <si>
    <t>SAKPDC006230/25-26</t>
  </si>
  <si>
    <t>MDLA9552291</t>
  </si>
  <si>
    <t>N260107009</t>
  </si>
  <si>
    <t>AP39UE9367</t>
  </si>
  <si>
    <t>N260107010</t>
  </si>
  <si>
    <t>N260107011</t>
  </si>
  <si>
    <t>N260107012</t>
  </si>
  <si>
    <t>N260107013</t>
  </si>
  <si>
    <t>Datta</t>
  </si>
  <si>
    <t>SAKPDC006232/25-26</t>
  </si>
  <si>
    <t>MDLA9552293</t>
  </si>
  <si>
    <t>SRI VENKATADURGA LORRY SERVICE</t>
  </si>
  <si>
    <t>AP39VF1386</t>
  </si>
  <si>
    <t>SAKPDC006233/25-26</t>
  </si>
  <si>
    <t>MDLA9552294</t>
  </si>
  <si>
    <t>AP39WC5148</t>
  </si>
  <si>
    <t>SAKPDC006231/25-26</t>
  </si>
  <si>
    <t>MDLA9552292</t>
  </si>
  <si>
    <t>SAKPDC006235/25-26</t>
  </si>
  <si>
    <t>MDLA9552296</t>
  </si>
  <si>
    <t>SAKPDC006236/25-26</t>
  </si>
  <si>
    <t>MDLA9552297</t>
  </si>
  <si>
    <t>SAKPDC006234/25-26</t>
  </si>
  <si>
    <t>MDLA9552295</t>
  </si>
  <si>
    <t>SAKPDC006240/25-26</t>
  </si>
  <si>
    <t>MDLA9552301</t>
  </si>
  <si>
    <t>SAKPDC006237/25-26</t>
  </si>
  <si>
    <t>MDLA9552298</t>
  </si>
  <si>
    <t>SAKPDC006238/25-26</t>
  </si>
  <si>
    <t>MDLA9552299</t>
  </si>
  <si>
    <t>SAKPDC006239/25-26</t>
  </si>
  <si>
    <t>MDLA9552300</t>
  </si>
  <si>
    <t>SAKPDC006241/25-26</t>
  </si>
  <si>
    <t>MDLA9552302</t>
  </si>
  <si>
    <t>N260108001</t>
  </si>
  <si>
    <t>AP39TT8689</t>
  </si>
  <si>
    <t>SAKPDC006242/25-26</t>
  </si>
  <si>
    <t>MDLA9552303</t>
  </si>
  <si>
    <t>SAKPDC006246/25-26</t>
  </si>
  <si>
    <t>MDLA9552307</t>
  </si>
  <si>
    <t>SAKPDC006243/25-26</t>
  </si>
  <si>
    <t>MDLA9552304</t>
  </si>
  <si>
    <t>SAKPDC006244/25-26</t>
  </si>
  <si>
    <t>MDLA9552305</t>
  </si>
  <si>
    <t>SAKPDC006245/25-26</t>
  </si>
  <si>
    <t>MDLA9552306</t>
  </si>
  <si>
    <t>SAKPDC006248/25-26</t>
  </si>
  <si>
    <t>MDLA9552309</t>
  </si>
  <si>
    <t>SAKPDC006249/25-26</t>
  </si>
  <si>
    <t>MDLA9552310</t>
  </si>
  <si>
    <t>SAKPDC006247/25-26</t>
  </si>
  <si>
    <t>MDLA9552308</t>
  </si>
  <si>
    <t>SAKPDC006250/25-26</t>
  </si>
  <si>
    <t>MDLA9552311</t>
  </si>
  <si>
    <t>SAKPDC006251/25-26</t>
  </si>
  <si>
    <t>MDLA9552312</t>
  </si>
  <si>
    <t>N260108002</t>
  </si>
  <si>
    <t>N260108003</t>
  </si>
  <si>
    <t>AP39FA8644</t>
  </si>
  <si>
    <t>N260108004</t>
  </si>
  <si>
    <t>K BALAJEE</t>
  </si>
  <si>
    <t>AP05EQ1733</t>
  </si>
  <si>
    <t>SAKPDC006252/25-26</t>
  </si>
  <si>
    <t>MDLA9552313</t>
  </si>
  <si>
    <t>N260108007</t>
  </si>
  <si>
    <t>N260108008</t>
  </si>
  <si>
    <t>SAKPDC006253/25-26</t>
  </si>
  <si>
    <t>MDLA9552317</t>
  </si>
  <si>
    <t>AP39UN7749</t>
  </si>
  <si>
    <t>SAKPDC006254/25-26</t>
  </si>
  <si>
    <t>MDLA9552318</t>
  </si>
  <si>
    <t>SAKPDC006255/25-26</t>
  </si>
  <si>
    <t>MDLA9552319</t>
  </si>
  <si>
    <t>SAKPDC006256/25-26</t>
  </si>
  <si>
    <t>MDLA9552320</t>
  </si>
  <si>
    <t>N260108005</t>
  </si>
  <si>
    <t>OFFICE WORK PURPOSE</t>
  </si>
  <si>
    <t>N260108006</t>
  </si>
  <si>
    <t>MDLA9552316</t>
  </si>
  <si>
    <t>AP39UA9689</t>
  </si>
  <si>
    <t>MDLA9552315</t>
  </si>
  <si>
    <t>AP39UN3335</t>
  </si>
  <si>
    <t>MDLA9552314</t>
  </si>
  <si>
    <t>AP39UV2345</t>
  </si>
  <si>
    <t>SAKPDC006257/25-26</t>
  </si>
  <si>
    <t>MDLA9552331</t>
  </si>
  <si>
    <t>N260108009</t>
  </si>
  <si>
    <t>N260108010</t>
  </si>
  <si>
    <t>N260108011</t>
  </si>
  <si>
    <t>N260108012</t>
  </si>
  <si>
    <t>SAKPDC006258/25-26</t>
  </si>
  <si>
    <t>MDLA9552332</t>
  </si>
  <si>
    <t>SAKPDC006259/25-26</t>
  </si>
  <si>
    <t>MDLA9552333</t>
  </si>
  <si>
    <t>SAKPDC006261/25-26</t>
  </si>
  <si>
    <t>MDLA9552334</t>
  </si>
  <si>
    <t>SAKPDC006262/25-26</t>
  </si>
  <si>
    <t>MDLA9552335</t>
  </si>
  <si>
    <t>SAKPDC006263/25-26</t>
  </si>
  <si>
    <t>MDLA955336</t>
  </si>
  <si>
    <t>SAKPDC006264/25-26</t>
  </si>
  <si>
    <t>MDLA9552337</t>
  </si>
  <si>
    <t>SAKPDC006265/25-26</t>
  </si>
  <si>
    <t>MDLA9552338</t>
  </si>
  <si>
    <t>SAKPDC006266/25-26</t>
  </si>
  <si>
    <t>MDLA9552339</t>
  </si>
  <si>
    <t>SAKPDC006267/25-26</t>
  </si>
  <si>
    <t>MDLA9552340</t>
  </si>
  <si>
    <t>N260108013</t>
  </si>
  <si>
    <t>N260108014</t>
  </si>
  <si>
    <t>SAKPDC006268/25-26</t>
  </si>
  <si>
    <t>MDLA9552341</t>
  </si>
  <si>
    <t>N260108015</t>
  </si>
  <si>
    <t>SANTOSH</t>
  </si>
  <si>
    <t>AP31CR3126</t>
  </si>
  <si>
    <t>SAKPDC006270/25-26</t>
  </si>
  <si>
    <t>MDLA9552343</t>
  </si>
  <si>
    <t>SAKPDC006269/25-26</t>
  </si>
  <si>
    <t>MDLA9552342</t>
  </si>
  <si>
    <t>SAKPDC006271/25-26</t>
  </si>
  <si>
    <t>MDLA9552344</t>
  </si>
  <si>
    <t>MDLA9552345</t>
  </si>
  <si>
    <t>KUMAR</t>
  </si>
  <si>
    <t>AP39WE2345</t>
  </si>
  <si>
    <t>SAKPDC006274/25-26</t>
  </si>
  <si>
    <t>MDLA9552347</t>
  </si>
  <si>
    <t>SAKPDC006273/25-26</t>
  </si>
  <si>
    <t>MDLA9552346</t>
  </si>
  <si>
    <t>SAKPDC006276/25-26</t>
  </si>
  <si>
    <t>MDLA9552349</t>
  </si>
  <si>
    <t>AP39WD8259</t>
  </si>
  <si>
    <t>GSB</t>
  </si>
  <si>
    <t>SAKPDC006275/25-26</t>
  </si>
  <si>
    <t>MDLA9552348</t>
  </si>
  <si>
    <t>SAKPDC006277/25-26</t>
  </si>
  <si>
    <t>MDLA9552350</t>
  </si>
  <si>
    <t>SAKPDC006278/25-26</t>
  </si>
  <si>
    <t>MDLA9552351</t>
  </si>
  <si>
    <t>AP39WB1179</t>
  </si>
  <si>
    <t>SAKPDC006279/25-26</t>
  </si>
  <si>
    <t>MDLA9552352</t>
  </si>
  <si>
    <t>SAKPDC006280/25-26</t>
  </si>
  <si>
    <t>MDLA9552353</t>
  </si>
  <si>
    <t>SAKPDC006281/25-26</t>
  </si>
  <si>
    <t>MDLA9552354</t>
  </si>
  <si>
    <t>N260109001</t>
  </si>
  <si>
    <t>SATTIBABU GLPT</t>
  </si>
  <si>
    <t>AP21TB5459</t>
  </si>
  <si>
    <t>SAKPDC006282/25-26</t>
  </si>
  <si>
    <t>MDLA9552355</t>
  </si>
  <si>
    <t>SAKPDC006283/25-26</t>
  </si>
  <si>
    <t>MDLA9552356</t>
  </si>
  <si>
    <t>SAKPDC006284/25-26</t>
  </si>
  <si>
    <t>MDLA9552357</t>
  </si>
  <si>
    <t>SAKPDC006285/25-26</t>
  </si>
  <si>
    <t>MDLA9552358</t>
  </si>
  <si>
    <t>SAKPDC006286/25-26</t>
  </si>
  <si>
    <t>MDLA9552359</t>
  </si>
  <si>
    <t>SAKPDC006287/25-26</t>
  </si>
  <si>
    <t>MDLA9552360</t>
  </si>
  <si>
    <t>AP39WD2268</t>
  </si>
  <si>
    <t>SAKPDC006288/25-26</t>
  </si>
  <si>
    <t>MDLA9552361</t>
  </si>
  <si>
    <t>N260109002</t>
  </si>
  <si>
    <t>ATHLEE VARDHAN-1589</t>
  </si>
  <si>
    <t>AP39UD1589</t>
  </si>
  <si>
    <t>N260109003</t>
  </si>
  <si>
    <t>N260109004</t>
  </si>
  <si>
    <t>N260109005</t>
  </si>
  <si>
    <t>N260109006</t>
  </si>
  <si>
    <t>N260109007</t>
  </si>
  <si>
    <t>N260109008</t>
  </si>
  <si>
    <t>N260109009</t>
  </si>
  <si>
    <t>N260109010</t>
  </si>
  <si>
    <t>N260109011</t>
  </si>
  <si>
    <t>GOVIND(MAKAVARAM)</t>
  </si>
  <si>
    <t>N260109012</t>
  </si>
  <si>
    <t>N260109013</t>
  </si>
  <si>
    <t>JAGDISH(BRICK)</t>
  </si>
  <si>
    <t>AP39VD4822</t>
  </si>
  <si>
    <t>N260109014</t>
  </si>
  <si>
    <t>N260109015</t>
  </si>
  <si>
    <t>SAKPDC006291/25-26</t>
  </si>
  <si>
    <t>MDLA9552364</t>
  </si>
  <si>
    <t>SAKPDC006289/25-26</t>
  </si>
  <si>
    <t>MDLA9552362</t>
  </si>
  <si>
    <t>GSB(WET MIX)</t>
  </si>
  <si>
    <t>SAKPDC006290/25-26</t>
  </si>
  <si>
    <t>MDLA9552363</t>
  </si>
  <si>
    <t>SAKPDC006292/25-26</t>
  </si>
  <si>
    <t>MDLA9552365</t>
  </si>
  <si>
    <t>AP39UD2345</t>
  </si>
  <si>
    <t>N260109016</t>
  </si>
  <si>
    <t>N260109017</t>
  </si>
  <si>
    <t>AP31BL2436</t>
  </si>
  <si>
    <t>SAKPDC006293/25-26</t>
  </si>
  <si>
    <t>MDLA9552366</t>
  </si>
  <si>
    <t>N260109018</t>
  </si>
  <si>
    <t>N260109019</t>
  </si>
  <si>
    <t>SAKPDC006294/25-26</t>
  </si>
  <si>
    <t>MDLA9552367</t>
  </si>
  <si>
    <t>SAKPDC006295/25-26</t>
  </si>
  <si>
    <t>MDLA9552368</t>
  </si>
  <si>
    <t>SAKPDC006297/25-26</t>
  </si>
  <si>
    <t>MDLA9552370</t>
  </si>
  <si>
    <t>SAKPDC006296/25-26</t>
  </si>
  <si>
    <t>MDLA9552369</t>
  </si>
  <si>
    <t>SAKPDC006298/25-26</t>
  </si>
  <si>
    <t>MDLA9552371</t>
  </si>
  <si>
    <t>SAKPDC006299/25-26</t>
  </si>
  <si>
    <t>MDLA9552372</t>
  </si>
  <si>
    <t>SAKPDC006301/25-26</t>
  </si>
  <si>
    <t>MDLA9552374</t>
  </si>
  <si>
    <t>SAKPDC006302/25-26</t>
  </si>
  <si>
    <t>MDLA9552375</t>
  </si>
  <si>
    <t>N260109020</t>
  </si>
  <si>
    <t>SAKPDC006300/25-26</t>
  </si>
  <si>
    <t>MDLA9552373</t>
  </si>
  <si>
    <t>N260109021</t>
  </si>
  <si>
    <t>SAKPDC006303/25-26</t>
  </si>
  <si>
    <t>SAKPDC006304/25-26</t>
  </si>
  <si>
    <t>SAKPDC006305/25-26</t>
  </si>
  <si>
    <t>SAKPDC006306/25-26</t>
  </si>
  <si>
    <t>N260110001</t>
  </si>
  <si>
    <t>CHILUKU NAIDU</t>
  </si>
  <si>
    <t>AP39WB8856</t>
  </si>
  <si>
    <t>ADVANCE</t>
  </si>
  <si>
    <t>N260110002</t>
  </si>
  <si>
    <t>AP31TM1386</t>
  </si>
  <si>
    <t>N260110003</t>
  </si>
  <si>
    <t>AP39WA3456</t>
  </si>
  <si>
    <t>N260110004</t>
  </si>
  <si>
    <t>AP31TM1476</t>
  </si>
  <si>
    <t>SAKPDC006307/25-26</t>
  </si>
  <si>
    <t>SAKPDC006308/25-26</t>
  </si>
  <si>
    <t>SAKPDC006309/25-26</t>
  </si>
  <si>
    <t>SAKPDC006311/25-26</t>
  </si>
  <si>
    <t>SAKPDC006310/25-26</t>
  </si>
  <si>
    <t>N260110005</t>
  </si>
  <si>
    <t>N260110006</t>
  </si>
  <si>
    <t>N260110007</t>
  </si>
  <si>
    <t>AP39UV9367</t>
  </si>
  <si>
    <t>N260110008</t>
  </si>
  <si>
    <t>N260110009</t>
  </si>
  <si>
    <t>NAIDU</t>
  </si>
  <si>
    <t>AP31DM6550</t>
  </si>
  <si>
    <t>N260110010</t>
  </si>
  <si>
    <t>N260110011</t>
  </si>
  <si>
    <t>N260110012</t>
  </si>
  <si>
    <t>N260110013</t>
  </si>
  <si>
    <t>N260110014</t>
  </si>
  <si>
    <t>MURALI</t>
  </si>
  <si>
    <t>AP39WC1056</t>
  </si>
  <si>
    <t>N260110015</t>
  </si>
  <si>
    <t>AP39UM9119</t>
  </si>
  <si>
    <t>SAKPDC006315/25-26</t>
  </si>
  <si>
    <t>MDLA9552388</t>
  </si>
  <si>
    <t>SAKPDC006312/25-26</t>
  </si>
  <si>
    <t>MDLA9552385</t>
  </si>
  <si>
    <t>SAKPDC006313/25-26</t>
  </si>
  <si>
    <t>MDLA9552386</t>
  </si>
  <si>
    <t>SAKPDC006314/25-26</t>
  </si>
  <si>
    <t>MDLA9552387</t>
  </si>
  <si>
    <t>SAKPDC006316/25-26</t>
  </si>
  <si>
    <t>MDLA9552389</t>
  </si>
  <si>
    <t>N260110016</t>
  </si>
  <si>
    <t>N260110017</t>
  </si>
  <si>
    <t>SAKPDC006317/25-26</t>
  </si>
  <si>
    <t>MDLA9552390</t>
  </si>
  <si>
    <t>SAKPDC006318/25-26</t>
  </si>
  <si>
    <t>MDLA9552391</t>
  </si>
  <si>
    <t>SAKPDC006327/25-26</t>
  </si>
  <si>
    <t>MDLA9552400</t>
  </si>
  <si>
    <t>SAKPDC006326/25-26</t>
  </si>
  <si>
    <t>MDLA9552399</t>
  </si>
  <si>
    <t>SAKPDC006324/25-26</t>
  </si>
  <si>
    <t>MDLA9552397</t>
  </si>
  <si>
    <t>SAKPDC006323/25-26</t>
  </si>
  <si>
    <t>MDLA9552396</t>
  </si>
  <si>
    <t>SAKPDC006322/25-26</t>
  </si>
  <si>
    <t>MDLA9552395</t>
  </si>
  <si>
    <t>SAKPDC006321/25-26</t>
  </si>
  <si>
    <t>MDLA9552394</t>
  </si>
  <si>
    <t>N260110018</t>
  </si>
  <si>
    <t>GANESH</t>
  </si>
  <si>
    <t>AP39WE5747</t>
  </si>
  <si>
    <t>N260110019</t>
  </si>
  <si>
    <t>AP39WG1157</t>
  </si>
  <si>
    <t>N260110020</t>
  </si>
  <si>
    <t>AP39WG2688</t>
  </si>
  <si>
    <t>N260110021</t>
  </si>
  <si>
    <t>NANI</t>
  </si>
  <si>
    <t>AP31TH2181</t>
  </si>
  <si>
    <t>SAKPDC006325/25-26</t>
  </si>
  <si>
    <t>MDLA9552398</t>
  </si>
  <si>
    <t>AP39UQ9689</t>
  </si>
  <si>
    <t>SAKPDC006320/25-26</t>
  </si>
  <si>
    <t>MDLA9552393</t>
  </si>
  <si>
    <t>AP39VE2489</t>
  </si>
  <si>
    <t>SAKPDC006319/25-26</t>
  </si>
  <si>
    <t>MDLA9552392</t>
  </si>
  <si>
    <t>AP39WB4829</t>
  </si>
  <si>
    <t>SAKPDC006328/25-26</t>
  </si>
  <si>
    <t>MDLA9552401</t>
  </si>
  <si>
    <t>SAKPDC006329/25-26</t>
  </si>
  <si>
    <t>MDLA9552402</t>
  </si>
  <si>
    <t>SAKPDC006330/25-26</t>
  </si>
  <si>
    <t>MDLA9552403</t>
  </si>
  <si>
    <t>N260111001</t>
  </si>
  <si>
    <t>SATYA RAO</t>
  </si>
  <si>
    <t>N260111002</t>
  </si>
  <si>
    <t>AADHI BABU</t>
  </si>
  <si>
    <t>AP39UL2349</t>
  </si>
  <si>
    <t>N260111003</t>
  </si>
  <si>
    <t>N260111004</t>
  </si>
  <si>
    <t>SAKPDC006335/25-26</t>
  </si>
  <si>
    <t>MDLA9552408</t>
  </si>
  <si>
    <t>SAKPDC006331/25-26</t>
  </si>
  <si>
    <t>MDLA9552407</t>
  </si>
  <si>
    <t>SAKPDC006334/25-26</t>
  </si>
  <si>
    <t>MDLA9552406</t>
  </si>
  <si>
    <t>SAKPDC006332/25-26</t>
  </si>
  <si>
    <t>MDLA9552405</t>
  </si>
  <si>
    <t>SAKPDC006333/25-26</t>
  </si>
  <si>
    <t>MDLA9552404</t>
  </si>
  <si>
    <t>SAKPDC006336/25-26</t>
  </si>
  <si>
    <t>MDLA9552409</t>
  </si>
  <si>
    <t>SAKPDC006337/25-26</t>
  </si>
  <si>
    <t>MDLA9552410</t>
  </si>
  <si>
    <t>SAKPDC006338/25-26</t>
  </si>
  <si>
    <t>MDLA9552411</t>
  </si>
  <si>
    <t>N260111005</t>
  </si>
  <si>
    <t>SAKPDC006339/25-26</t>
  </si>
  <si>
    <t>MDLA9552412</t>
  </si>
  <si>
    <t>SAKPDC006340/25-26</t>
  </si>
  <si>
    <t>MDLA9552413</t>
  </si>
  <si>
    <t>N260111006</t>
  </si>
  <si>
    <t>SAKPDC006341/25-26</t>
  </si>
  <si>
    <t>MDLA9552414</t>
  </si>
  <si>
    <t>SAKPDC006342/25-26</t>
  </si>
  <si>
    <t>MDLA9552415</t>
  </si>
  <si>
    <t>SAKPDC006343/25-26</t>
  </si>
  <si>
    <t>MDLA9552416</t>
  </si>
  <si>
    <t>N260111007</t>
  </si>
  <si>
    <t>AP39WC1526</t>
  </si>
  <si>
    <t>MDLA9552417</t>
  </si>
  <si>
    <t>SAKPDC006344/25-26</t>
  </si>
  <si>
    <t>MDLA9552418</t>
  </si>
  <si>
    <t>N260111008</t>
  </si>
  <si>
    <t>SAKPDC006346/25-26</t>
  </si>
  <si>
    <t>MDLA9552420</t>
  </si>
  <si>
    <t>AP39W7119</t>
  </si>
  <si>
    <t>SAKPDC006345/25-26</t>
  </si>
  <si>
    <t>MDLA9552419</t>
  </si>
  <si>
    <t>AP39WE5559</t>
  </si>
  <si>
    <t>N260111009</t>
  </si>
  <si>
    <t>SAKPDC006347/25-26</t>
  </si>
  <si>
    <t>MDLA9552421</t>
  </si>
  <si>
    <t>SAKPDC006348/25-26</t>
  </si>
  <si>
    <t>MDLA9552422</t>
  </si>
  <si>
    <t>Arvind Infra Tech Pvt Ltd</t>
  </si>
  <si>
    <t>MDLA9552423</t>
  </si>
  <si>
    <t>N260111010</t>
  </si>
  <si>
    <t>N260111011</t>
  </si>
  <si>
    <t>N260111012</t>
  </si>
  <si>
    <t>AP39WC0928</t>
  </si>
  <si>
    <t>MDLA9552424</t>
  </si>
  <si>
    <t>SAKPDC006349/25-26</t>
  </si>
  <si>
    <t>MDLA9552426</t>
  </si>
  <si>
    <t>MDLA9552425</t>
  </si>
  <si>
    <t>MDLA9552427</t>
  </si>
  <si>
    <t>SAKPDC006350/25-26</t>
  </si>
  <si>
    <t>MDLA9552428</t>
  </si>
  <si>
    <t>MDLA9552429</t>
  </si>
  <si>
    <t>MDLA9552430</t>
  </si>
  <si>
    <t>MDLA9552431</t>
  </si>
  <si>
    <t>SAKPDC006351/25-26</t>
  </si>
  <si>
    <t>MDLA9552432</t>
  </si>
  <si>
    <t>SAKPDC006354/25-26</t>
  </si>
  <si>
    <t>MDLA9552435</t>
  </si>
  <si>
    <t>SAKPDC006353/25-26</t>
  </si>
  <si>
    <t>MDLA9552434</t>
  </si>
  <si>
    <t>SAKPDC006352/25-26</t>
  </si>
  <si>
    <t>MDLA9552433</t>
  </si>
  <si>
    <t>SAKPDC006355/25-26</t>
  </si>
  <si>
    <t>MDLA9552436</t>
  </si>
  <si>
    <t>SAKPDC006356/25-26</t>
  </si>
  <si>
    <t>MDLA9552437</t>
  </si>
  <si>
    <t>SAKPDC006358/25-26</t>
  </si>
  <si>
    <t>MDLA9552439</t>
  </si>
  <si>
    <t>SAKPDC006357/25-26</t>
  </si>
  <si>
    <t>MDLA9552438</t>
  </si>
  <si>
    <t>MDLA9552440</t>
  </si>
  <si>
    <t>SAKPDC006359/25-26</t>
  </si>
  <si>
    <t>MDLA9552441</t>
  </si>
  <si>
    <t>SAKPDC006360/25-26</t>
  </si>
  <si>
    <t>MDLA9552442</t>
  </si>
  <si>
    <t>SAKPDC006361/25-26</t>
  </si>
  <si>
    <t>MDLA9552443</t>
  </si>
  <si>
    <t>SAKPDC006364/25-26</t>
  </si>
  <si>
    <t>MDLA9552446</t>
  </si>
  <si>
    <t>SAKPDC006366/25-26</t>
  </si>
  <si>
    <t>MDLA9552448</t>
  </si>
  <si>
    <t>SAKPDC006362/25-26</t>
  </si>
  <si>
    <t>MDLA9552444</t>
  </si>
  <si>
    <t>SAKPDC006363/25-26</t>
  </si>
  <si>
    <t>MDLA9552445</t>
  </si>
  <si>
    <t>SAKPDC006368/25-26</t>
  </si>
  <si>
    <t>MDLA9552450</t>
  </si>
  <si>
    <t>SAKPDC006369/25-26</t>
  </si>
  <si>
    <t>MDLA9552451</t>
  </si>
  <si>
    <t>SAKPDC006365/25-26</t>
  </si>
  <si>
    <t>MDLA9552447</t>
  </si>
  <si>
    <t>SAKPDC006367/25-26</t>
  </si>
  <si>
    <t>MDLA9552449</t>
  </si>
  <si>
    <t>SAKPDC006371/25-26</t>
  </si>
  <si>
    <t>MDLA9552453</t>
  </si>
  <si>
    <t>SAKPDC006370/25-26</t>
  </si>
  <si>
    <t>MDLA9552452</t>
  </si>
  <si>
    <t>SAKPDC006373/25-26</t>
  </si>
  <si>
    <t>MDLA9552455</t>
  </si>
  <si>
    <t>SAKPDC006372/25-26</t>
  </si>
  <si>
    <t>MDLA9552454</t>
  </si>
  <si>
    <t>SAKPDC006375/25-26</t>
  </si>
  <si>
    <t>MDLA9552456</t>
  </si>
  <si>
    <t>MDLA9552459</t>
  </si>
  <si>
    <t>SAKPDC006376/25-26</t>
  </si>
  <si>
    <t>MDLA9552457</t>
  </si>
  <si>
    <t>SAKPDC006377/25-26</t>
  </si>
  <si>
    <t>MDLA9552458</t>
  </si>
  <si>
    <t>SAKPDC006378/25-26</t>
  </si>
  <si>
    <t>MDLA9552461</t>
  </si>
  <si>
    <t>MDLA9552460</t>
  </si>
  <si>
    <t>SAKPDC006379/25-26</t>
  </si>
  <si>
    <t>MDLA9552462</t>
  </si>
  <si>
    <t>SAKPDC006380/25-26</t>
  </si>
  <si>
    <t>MDLA9552463</t>
  </si>
  <si>
    <t>SAKPDC006381/25-26</t>
  </si>
  <si>
    <t>MDLA9552464</t>
  </si>
  <si>
    <t>SAKPDC006382/25-26</t>
  </si>
  <si>
    <t>MDLA9552465</t>
  </si>
  <si>
    <t>SAKPDC006385/25-26</t>
  </si>
  <si>
    <t>MDLA9552468</t>
  </si>
  <si>
    <t>SAKPDC006383/25-26</t>
  </si>
  <si>
    <t>MDLA9552466</t>
  </si>
  <si>
    <t>SAKPDC006387/25-26</t>
  </si>
  <si>
    <t>MDLA9552470</t>
  </si>
  <si>
    <t>SAKPDC006384/25-26</t>
  </si>
  <si>
    <t>MDLA9552467</t>
  </si>
  <si>
    <t>SAKPDC006386/25-26</t>
  </si>
  <si>
    <t>MDLA9552469</t>
  </si>
  <si>
    <t>SAKPDC006388/25-26</t>
  </si>
  <si>
    <t>MDLA9552471</t>
  </si>
  <si>
    <t>SAKPDC006389/25-26</t>
  </si>
  <si>
    <t>MDLA9552472</t>
  </si>
  <si>
    <t>AP39EC2389</t>
  </si>
  <si>
    <t>N260112003</t>
  </si>
  <si>
    <t>KL NAIDU</t>
  </si>
  <si>
    <t>AP31TT9259</t>
  </si>
  <si>
    <t>SAKPDC006390/25-26</t>
  </si>
  <si>
    <t>MDLA9552473</t>
  </si>
  <si>
    <t>SAKPDC006391/25-26</t>
  </si>
  <si>
    <t>MDLA9552474</t>
  </si>
  <si>
    <t>SAKPDC006393/25-26</t>
  </si>
  <si>
    <t>MDLA9552475</t>
  </si>
  <si>
    <t>SAKPDC006392/25-26</t>
  </si>
  <si>
    <t>MDLA9552476</t>
  </si>
  <si>
    <t>SAKPDC006394/25-26</t>
  </si>
  <si>
    <t>MDLA9552477</t>
  </si>
  <si>
    <t>SAKPDC006395/25-26</t>
  </si>
  <si>
    <t>MDLA9552478</t>
  </si>
  <si>
    <t>SAKPDC006396/25-26</t>
  </si>
  <si>
    <t>MDLA9552479</t>
  </si>
  <si>
    <t>SAKPDC006397/25-26</t>
  </si>
  <si>
    <t>MDLA9552480</t>
  </si>
  <si>
    <t>SAKPDC006399/25-26</t>
  </si>
  <si>
    <t>MDLA9552482</t>
  </si>
  <si>
    <t>SAKPDC006400/25-26</t>
  </si>
  <si>
    <t>MDLA9552483</t>
  </si>
  <si>
    <t>SAKPDC006401/25-26</t>
  </si>
  <si>
    <t>MDLA9552484</t>
  </si>
  <si>
    <t>SAKPDC006398/25-26</t>
  </si>
  <si>
    <t>MDLA9552481</t>
  </si>
  <si>
    <t>SAKPDC006404/25-26</t>
  </si>
  <si>
    <t>MDLA9552487</t>
  </si>
  <si>
    <t>SAKPDC006402/25-26</t>
  </si>
  <si>
    <t>MDLA9552485</t>
  </si>
  <si>
    <t>SAKPDC006403/25-26</t>
  </si>
  <si>
    <t>MDLA9552486</t>
  </si>
  <si>
    <t>SAKPDC006406/25-26</t>
  </si>
  <si>
    <t>MDLA9552488</t>
  </si>
  <si>
    <t>SAKPDC006405/25-26</t>
  </si>
  <si>
    <t>MDLA9552489</t>
  </si>
  <si>
    <t>SAKPDC006407/25-26</t>
  </si>
  <si>
    <t>MDLA9552490</t>
  </si>
  <si>
    <t>SAKPDC006409/25-26</t>
  </si>
  <si>
    <t>MDLA9552491</t>
  </si>
  <si>
    <t>SAKPDC006413/25-26</t>
  </si>
  <si>
    <t>MDLA9552493</t>
  </si>
  <si>
    <t>SAKPDC006408/25-26</t>
  </si>
  <si>
    <t>MDLA9552492</t>
  </si>
  <si>
    <t>SAKPDC006410/25-26</t>
  </si>
  <si>
    <t>MDLA9552494</t>
  </si>
  <si>
    <t>SAKPDC006411/25-26</t>
  </si>
  <si>
    <t>MDLA9552497</t>
  </si>
  <si>
    <t>SAKPDC006412/25-26</t>
  </si>
  <si>
    <t>MDLA9552498</t>
  </si>
  <si>
    <t>SAKPDC006414/25-26</t>
  </si>
  <si>
    <t>MDLA9552495</t>
  </si>
  <si>
    <t>SAKPDC006416/25-26</t>
  </si>
  <si>
    <t>MDLA9552499</t>
  </si>
  <si>
    <t>SAKPDC006415/25-26</t>
  </si>
  <si>
    <t>MDLA9552496</t>
  </si>
  <si>
    <t>N260113001</t>
  </si>
  <si>
    <t>AP39EA8644</t>
  </si>
  <si>
    <t>N260113002</t>
  </si>
  <si>
    <t>SAKPDC006417/25-26</t>
  </si>
  <si>
    <t>MDLA9552500</t>
  </si>
  <si>
    <t>MDLA9552503</t>
  </si>
  <si>
    <t>AP39WE2678</t>
  </si>
  <si>
    <t>SAKPDC006418/25-26</t>
  </si>
  <si>
    <t>MDLA9552501</t>
  </si>
  <si>
    <t>AP29WE5559</t>
  </si>
  <si>
    <t>SAKPDC006419/25-26</t>
  </si>
  <si>
    <t>MDLA9552502</t>
  </si>
  <si>
    <t>SAKPDC006420/25-26</t>
  </si>
  <si>
    <t>MDLA9552504</t>
  </si>
  <si>
    <t>SAKPDC006421/25-26</t>
  </si>
  <si>
    <t>MDLA9552505</t>
  </si>
  <si>
    <t>SAKPDC006422/25-26</t>
  </si>
  <si>
    <t>MDLA9552506</t>
  </si>
  <si>
    <t>SAKPDC006423/25-26</t>
  </si>
  <si>
    <t>MDLA9552507</t>
  </si>
  <si>
    <t>SAKPDC006424/25-26</t>
  </si>
  <si>
    <t>MDLA9552508</t>
  </si>
  <si>
    <t>N260113003</t>
  </si>
  <si>
    <t>N260113004</t>
  </si>
  <si>
    <t>SAKPDC006425/25-26</t>
  </si>
  <si>
    <t>MDLA9552509</t>
  </si>
  <si>
    <t>SAKPDC006426/25-26</t>
  </si>
  <si>
    <t>MDLA9552510</t>
  </si>
  <si>
    <t>SAKTHI SHIPPING LOGISTICS PRIVATE LIMITED</t>
  </si>
  <si>
    <t>SAKPDC006427/25-26</t>
  </si>
  <si>
    <t>MDLA9552511</t>
  </si>
  <si>
    <t>AP39UD3969</t>
  </si>
  <si>
    <t>N260113005</t>
  </si>
  <si>
    <t>N260113006</t>
  </si>
  <si>
    <t>SAKPDC006428/25-26</t>
  </si>
  <si>
    <t>MDLA9552512</t>
  </si>
  <si>
    <t>SAKPDC006429/25-26</t>
  </si>
  <si>
    <t>MDLA9552513</t>
  </si>
  <si>
    <t>SAKPDC006430/25-26</t>
  </si>
  <si>
    <t>MDLA9552514</t>
  </si>
  <si>
    <t>N260113007</t>
  </si>
  <si>
    <t>NAGESWARA RAO</t>
  </si>
  <si>
    <t>AP07TM2877</t>
  </si>
  <si>
    <t>SAKPDC006431/25-26</t>
  </si>
  <si>
    <t>MDLA9552515</t>
  </si>
  <si>
    <t>AP39UD4469</t>
  </si>
  <si>
    <t>MDLA9552516</t>
  </si>
  <si>
    <t>SAKPDC006432/25-26</t>
  </si>
  <si>
    <t>MDLA9552517</t>
  </si>
  <si>
    <t>SAKPDC006433/25-26</t>
  </si>
  <si>
    <t>MDLA9552518</t>
  </si>
  <si>
    <t>SAKPDC006434/25-26</t>
  </si>
  <si>
    <t>MDLA9552519</t>
  </si>
  <si>
    <t>SAKPDC006435/25-26</t>
  </si>
  <si>
    <t>MDLA9552520</t>
  </si>
  <si>
    <t>AP39UG1618</t>
  </si>
  <si>
    <t>N260113008</t>
  </si>
  <si>
    <t>N260113009</t>
  </si>
  <si>
    <t>SAKPDC006436/25-26</t>
  </si>
  <si>
    <t>MDLA9552521</t>
  </si>
  <si>
    <t>AP39UJ5869</t>
  </si>
  <si>
    <t>SAKPDC006437/25-26</t>
  </si>
  <si>
    <t>MDLA9552522</t>
  </si>
  <si>
    <t>SAKPDC006438/25-26</t>
  </si>
  <si>
    <t>MDLA9552523</t>
  </si>
  <si>
    <t>SAKPDC006440/25-26</t>
  </si>
  <si>
    <t>MDLA9552526</t>
  </si>
  <si>
    <t>SAKPDC006442/25-26</t>
  </si>
  <si>
    <t>MDLA9552527</t>
  </si>
  <si>
    <t>SAKPDC006441/25-26</t>
  </si>
  <si>
    <t>MDLA9552524</t>
  </si>
  <si>
    <t>SAKPDC006439/25-26</t>
  </si>
  <si>
    <t>MDLA9552525</t>
  </si>
  <si>
    <t>SAKPDC006443/25-26</t>
  </si>
  <si>
    <t>MDLA9552528</t>
  </si>
  <si>
    <t>SAKPDC006444/25-26</t>
  </si>
  <si>
    <t>MDLA9552529</t>
  </si>
  <si>
    <t>N260113010</t>
  </si>
  <si>
    <t>SAKPDC006447/25-26</t>
  </si>
  <si>
    <t>MDLA9552532</t>
  </si>
  <si>
    <t>SAKPDC006445/25-26</t>
  </si>
  <si>
    <t>MDLA9552530</t>
  </si>
  <si>
    <t>SAKPDC006446/25-26</t>
  </si>
  <si>
    <t>MDLA9552531</t>
  </si>
  <si>
    <t>SAKPDC006448/25-26</t>
  </si>
  <si>
    <t>MDLA9552533</t>
  </si>
  <si>
    <t>SAKPDC006450/25-26</t>
  </si>
  <si>
    <t>MDLA9552535</t>
  </si>
  <si>
    <t>AP35W3579</t>
  </si>
  <si>
    <t>SAKPDC006449/25-26</t>
  </si>
  <si>
    <t>MDLA9552534</t>
  </si>
  <si>
    <t>SAKPDC006451/25-26</t>
  </si>
  <si>
    <t>MDLA9552536</t>
  </si>
  <si>
    <t>SAKPDC006452/25-26</t>
  </si>
  <si>
    <t>MDLA9552537</t>
  </si>
  <si>
    <t>SAKPDC006453/25-26</t>
  </si>
  <si>
    <t>MDLA9552538</t>
  </si>
  <si>
    <t>SAKPDC006455/25-26</t>
  </si>
  <si>
    <t>MDLA9552540</t>
  </si>
  <si>
    <t>SAKPDC006454/25-26</t>
  </si>
  <si>
    <t>MDLA9552539</t>
  </si>
  <si>
    <t>SAKPDC006456/25-26</t>
  </si>
  <si>
    <t>MDLA9552541</t>
  </si>
  <si>
    <t>MDLA9552542</t>
  </si>
  <si>
    <t>MDLA9552544</t>
  </si>
  <si>
    <t>MDLA9552543</t>
  </si>
  <si>
    <t>N260114001</t>
  </si>
  <si>
    <t>SUBBU</t>
  </si>
  <si>
    <t>AP31TM1568</t>
  </si>
  <si>
    <t>N260114002</t>
  </si>
  <si>
    <t>N260114003</t>
  </si>
  <si>
    <t>N260114004</t>
  </si>
  <si>
    <t>SAKPDC006457/25-26</t>
  </si>
  <si>
    <t>MDLA9552545</t>
  </si>
  <si>
    <t>SAKPDC006458/25-26</t>
  </si>
  <si>
    <t>MDLA9552546</t>
  </si>
  <si>
    <t>SAKPDC006459/25-26</t>
  </si>
  <si>
    <t>MDLA9552547</t>
  </si>
  <si>
    <t>N260114005</t>
  </si>
  <si>
    <t>N260114006</t>
  </si>
  <si>
    <t>N260114007</t>
  </si>
  <si>
    <t>AP39W2057</t>
  </si>
  <si>
    <t>N260114008</t>
  </si>
  <si>
    <t>AP39W0928</t>
  </si>
  <si>
    <t>N260114009</t>
  </si>
  <si>
    <t>AP39W2058</t>
  </si>
  <si>
    <t>SAKPDC006460/25-26</t>
  </si>
  <si>
    <t>MDLA9552548</t>
  </si>
  <si>
    <t>SAKPDC006461/25-26</t>
  </si>
  <si>
    <t>MDLA9552549</t>
  </si>
  <si>
    <t>SAKPDC006463/25-26</t>
  </si>
  <si>
    <t>MDLA9552551</t>
  </si>
  <si>
    <t>SAKPDC006464/25-26</t>
  </si>
  <si>
    <t>MDLA9552554</t>
  </si>
  <si>
    <t>SAKPDC006462/25-26</t>
  </si>
  <si>
    <t>MDLA9552550</t>
  </si>
  <si>
    <t>N260117001</t>
  </si>
  <si>
    <t>DEMULLU</t>
  </si>
  <si>
    <t>AP31BU0619</t>
  </si>
  <si>
    <t>MDLA9552552</t>
  </si>
  <si>
    <t>MDLA9552553</t>
  </si>
  <si>
    <t>SAKPDC006468/25-26</t>
  </si>
  <si>
    <t>MDLA9552558</t>
  </si>
  <si>
    <t>SAKPDC006466/25-26</t>
  </si>
  <si>
    <t>MDLA9552556</t>
  </si>
  <si>
    <t>SAKPDC006465/25-26</t>
  </si>
  <si>
    <t>MDLA9552555</t>
  </si>
  <si>
    <t>SAKPDC006467/25-26</t>
  </si>
  <si>
    <t>MDLA9552557</t>
  </si>
  <si>
    <t>SAKPDC006469/25-26</t>
  </si>
  <si>
    <t>MDLA9552559</t>
  </si>
  <si>
    <t>SAKPDC006470/25-26</t>
  </si>
  <si>
    <t>MDLA9552560</t>
  </si>
  <si>
    <t>SAKPDC006471/25-26</t>
  </si>
  <si>
    <t>MDLA9552561</t>
  </si>
  <si>
    <t>SAKPDC006472/25-26</t>
  </si>
  <si>
    <t>MDLA9552562</t>
  </si>
  <si>
    <t>SAKPDC006473/25-26</t>
  </si>
  <si>
    <t>MDLA9552563</t>
  </si>
  <si>
    <t>SAKPDC006474/25-26</t>
  </si>
  <si>
    <t>MDLA9552564</t>
  </si>
  <si>
    <t>SAKPDC006475/25-26</t>
  </si>
  <si>
    <t>MDLA9552565</t>
  </si>
  <si>
    <t>M/S K V RAMANA REDDY</t>
  </si>
  <si>
    <t>MDLA9552566</t>
  </si>
  <si>
    <t>SAKPDC006477/25-26</t>
  </si>
  <si>
    <t>MDLA9552567</t>
  </si>
  <si>
    <t>SAKPDC006480/25-26</t>
  </si>
  <si>
    <t>MDLA9552570</t>
  </si>
  <si>
    <t>SAKPDC006478/25-26</t>
  </si>
  <si>
    <t>MDLA9552568</t>
  </si>
  <si>
    <t>SAKPDC006479/25-26</t>
  </si>
  <si>
    <t>MDLA9552569</t>
  </si>
  <si>
    <t>SAKPDC006483/25-26</t>
  </si>
  <si>
    <t>MDLA9552573</t>
  </si>
  <si>
    <t>SAKPDC006484/25-26</t>
  </si>
  <si>
    <t>MDLA9552574</t>
  </si>
  <si>
    <t>AP39UP4919</t>
  </si>
  <si>
    <t>SAKPDC006481/25-26</t>
  </si>
  <si>
    <t>MDLA9552571</t>
  </si>
  <si>
    <t>SAKPDC006485/25-26</t>
  </si>
  <si>
    <t>MDLA9552575</t>
  </si>
  <si>
    <t>SAKPDC006482/25-26</t>
  </si>
  <si>
    <t>MDLA9552572</t>
  </si>
  <si>
    <t>SAKPDC006486/25-26</t>
  </si>
  <si>
    <t>MDLA9552576</t>
  </si>
  <si>
    <t>SAKPDC006488/25-26</t>
  </si>
  <si>
    <t>MDLA9552578</t>
  </si>
  <si>
    <t>SAKPDC006487/25-26</t>
  </si>
  <si>
    <t>MDLA9552577</t>
  </si>
  <si>
    <t>SAKPDC006489/25-26</t>
  </si>
  <si>
    <t>MDLA9552579</t>
  </si>
  <si>
    <t>SAKPDC006490/25-26</t>
  </si>
  <si>
    <t>MDLA9552580</t>
  </si>
  <si>
    <t>SAKPDC006491/25-26</t>
  </si>
  <si>
    <t>MDLA9552581</t>
  </si>
  <si>
    <t>SAKPDC006492/25-26</t>
  </si>
  <si>
    <t>MDLA9552582</t>
  </si>
  <si>
    <t>SAKPDC006493/25-26</t>
  </si>
  <si>
    <t>MDLA9552583</t>
  </si>
  <si>
    <t>SAKPDC006494/25-26</t>
  </si>
  <si>
    <t>MDLA9552584</t>
  </si>
  <si>
    <t>SAKPDC006496/25-26</t>
  </si>
  <si>
    <t>MDLA9552585</t>
  </si>
  <si>
    <t>SAKPDC006497/25-26</t>
  </si>
  <si>
    <t>MDLA9552586</t>
  </si>
  <si>
    <t>SAKPDC006499/25-26</t>
  </si>
  <si>
    <t>MDLA9552587</t>
  </si>
  <si>
    <t>SAKPDC006501/25-26</t>
  </si>
  <si>
    <t>MDLA9552588</t>
  </si>
  <si>
    <t>SAKPDC006502/25-26</t>
  </si>
  <si>
    <t>MDLA9552589</t>
  </si>
  <si>
    <t>SAKPDC006495/25-26</t>
  </si>
  <si>
    <t>MDLA9552590</t>
  </si>
  <si>
    <t>SAKPDC006498/25-26</t>
  </si>
  <si>
    <t>MDLA9552591</t>
  </si>
  <si>
    <t>SAKPDC006503/25-26</t>
  </si>
  <si>
    <t>MDLA9552592</t>
  </si>
  <si>
    <t>SAKPDC006504/25-26</t>
  </si>
  <si>
    <t>MDLA9552593</t>
  </si>
  <si>
    <t>N260118001</t>
  </si>
  <si>
    <t>QUARRY ROAD WORKPURPOSE</t>
  </si>
  <si>
    <t>N260118002</t>
  </si>
  <si>
    <t>SAKPDC006506/25-26</t>
  </si>
  <si>
    <t>MDLA9552594</t>
  </si>
  <si>
    <t>SAKPDC006509/25-26</t>
  </si>
  <si>
    <t>MDLA9552597</t>
  </si>
  <si>
    <t>SAKPDC006507/25-26</t>
  </si>
  <si>
    <t>MDLA9552595</t>
  </si>
  <si>
    <t>SAKPDC006508/25-26</t>
  </si>
  <si>
    <t>MDLA9552596</t>
  </si>
  <si>
    <t>SAKPDC006510/25-26</t>
  </si>
  <si>
    <t>MDLA9552598</t>
  </si>
  <si>
    <t>SAKPDC006512/25-26</t>
  </si>
  <si>
    <t>MDLA9552600</t>
  </si>
  <si>
    <t>SAKPDC006511/25-26</t>
  </si>
  <si>
    <t>MDLA9552599</t>
  </si>
  <si>
    <t>SAKPDC006513/25-26</t>
  </si>
  <si>
    <t>MDLA9552601</t>
  </si>
  <si>
    <t>SAKPDC006514/25-26</t>
  </si>
  <si>
    <t>MDLA9552602</t>
  </si>
  <si>
    <t>SAKPDC006515/25-26</t>
  </si>
  <si>
    <t>MDLA9552603</t>
  </si>
  <si>
    <t>SAKPDC006516/25-26</t>
  </si>
  <si>
    <t>MDLA9552604</t>
  </si>
  <si>
    <t>SAKPDC006517/25-26</t>
  </si>
  <si>
    <t>MDLA9552605</t>
  </si>
  <si>
    <t>SAKPDC006518/25-26</t>
  </si>
  <si>
    <t>MDLA9552606</t>
  </si>
  <si>
    <t>SAKPDC006520/25-26</t>
  </si>
  <si>
    <t>MDLA9552608</t>
  </si>
  <si>
    <t>SAKPDC006519/25-26</t>
  </si>
  <si>
    <t>MDLA9552607</t>
  </si>
  <si>
    <t>SAKPDC006521/25-26</t>
  </si>
  <si>
    <t>MDLA9552609</t>
  </si>
  <si>
    <t>SAKPDC006522/25-26</t>
  </si>
  <si>
    <t>MDLA9552610</t>
  </si>
  <si>
    <t>SAKPDC006523/25-26</t>
  </si>
  <si>
    <t>MDLA9552611</t>
  </si>
  <si>
    <t>SAKPDC006524/25-26</t>
  </si>
  <si>
    <t>MDLA9552612</t>
  </si>
  <si>
    <t>SAKPDC006525/25-26</t>
  </si>
  <si>
    <t>MDLA9552613</t>
  </si>
  <si>
    <t>SAKPDC006526/25-26</t>
  </si>
  <si>
    <t>MDLA9552614</t>
  </si>
  <si>
    <t>SAKPDC006527/25-26</t>
  </si>
  <si>
    <t>MDLA9552615</t>
  </si>
  <si>
    <t>SAKPDC006528/25-26</t>
  </si>
  <si>
    <t>MDLA9552616</t>
  </si>
  <si>
    <t>SAKPDC006529/25-26</t>
  </si>
  <si>
    <t>MDLA9552617</t>
  </si>
  <si>
    <t>SAKPDC006530/25-26</t>
  </si>
  <si>
    <t>MDLA9552624</t>
  </si>
  <si>
    <t>SAKPDC006531/25-26</t>
  </si>
  <si>
    <t>MDLA9552618</t>
  </si>
  <si>
    <t>SAKPDC006532/25-26</t>
  </si>
  <si>
    <t>MDLA9552619</t>
  </si>
  <si>
    <t>SAKPDC006533/25-26</t>
  </si>
  <si>
    <t>MDLA9552620</t>
  </si>
  <si>
    <t>SAKPDC006534/25-26</t>
  </si>
  <si>
    <t>MDLA9552625</t>
  </si>
  <si>
    <t>SAKPDC006535/25-26</t>
  </si>
  <si>
    <t>MDLA9552621</t>
  </si>
  <si>
    <t>SAKPDC006537/25-26</t>
  </si>
  <si>
    <t>MDLA9552623</t>
  </si>
  <si>
    <t>SAKPDC006536/25-26</t>
  </si>
  <si>
    <t>MDLA9552622</t>
  </si>
  <si>
    <t>AP39WB2536</t>
  </si>
  <si>
    <t>SAKPDC006538/25-26</t>
  </si>
  <si>
    <t>MDLA9552626</t>
  </si>
  <si>
    <t>SAKPDC006539/25-26</t>
  </si>
  <si>
    <t>MDLA9552627</t>
  </si>
  <si>
    <t>SAKPDC006540/25-26</t>
  </si>
  <si>
    <t>MDLA9552628</t>
  </si>
  <si>
    <t>SAKPDC006541/25-26</t>
  </si>
  <si>
    <t>MDLA9552629</t>
  </si>
  <si>
    <t>N260119001</t>
  </si>
  <si>
    <t>N260119002</t>
  </si>
  <si>
    <t>N260119003</t>
  </si>
  <si>
    <t>SAKPDC006542/25-26</t>
  </si>
  <si>
    <t>MDLA9552630</t>
  </si>
  <si>
    <t>SAKPDC006543/25-26</t>
  </si>
  <si>
    <t>MDLA9552631</t>
  </si>
  <si>
    <t>SAKPDC006544/25-26</t>
  </si>
  <si>
    <t>MDLA9552632</t>
  </si>
  <si>
    <t>SAKPDC006548/25-26</t>
  </si>
  <si>
    <t>MDLA9552636</t>
  </si>
  <si>
    <t>SAKPDC006545/25-26</t>
  </si>
  <si>
    <t>MDLA9552633</t>
  </si>
  <si>
    <t>SAKPDC006549/25-26</t>
  </si>
  <si>
    <t>MDLA9552637</t>
  </si>
  <si>
    <t>SAKPDC006546/25-26</t>
  </si>
  <si>
    <t>MDLA9552634</t>
  </si>
  <si>
    <t>SAKPDC006551/25-26</t>
  </si>
  <si>
    <t>MDLA9552639</t>
  </si>
  <si>
    <t>SAKPDC006550/25-26</t>
  </si>
  <si>
    <t>MDLA9552638</t>
  </si>
  <si>
    <t>SAKPDC006547/25-26</t>
  </si>
  <si>
    <t>MDLA9552635</t>
  </si>
  <si>
    <t>SAKPDC006553/25-26</t>
  </si>
  <si>
    <t>MDLA9552641</t>
  </si>
  <si>
    <t>SAKPDC006554/25-26</t>
  </si>
  <si>
    <t>MDLA9552642</t>
  </si>
  <si>
    <t>SAKPDC006552/25-26</t>
  </si>
  <si>
    <t>MDLA9552640</t>
  </si>
  <si>
    <t>SAKPDC006556/25-26</t>
  </si>
  <si>
    <t>MDLA9552644</t>
  </si>
  <si>
    <t>AP39WC9149</t>
  </si>
  <si>
    <t>SAKPDC006557/25-26</t>
  </si>
  <si>
    <t>MDLA9552645</t>
  </si>
  <si>
    <t>SAKPDC006555/25-26</t>
  </si>
  <si>
    <t>MDLA9552643</t>
  </si>
  <si>
    <t>SAKPDC006559/25-26</t>
  </si>
  <si>
    <t>MDLA9552647</t>
  </si>
  <si>
    <t>SAKPDC006558/25-26</t>
  </si>
  <si>
    <t>MDLA9552646</t>
  </si>
  <si>
    <t>SAKPDC006560/25-26</t>
  </si>
  <si>
    <t>MDLA9552648</t>
  </si>
  <si>
    <t>SAKPDC006561/25-26</t>
  </si>
  <si>
    <t>MDLA9552649</t>
  </si>
  <si>
    <t>MDLA9552650</t>
  </si>
  <si>
    <t>MDLA9552652</t>
  </si>
  <si>
    <t>MDLA9552651</t>
  </si>
  <si>
    <t>AP39WB1166</t>
  </si>
  <si>
    <t>MDLA9552653</t>
  </si>
  <si>
    <t>N260120001</t>
  </si>
  <si>
    <t>SAKPDC006563/25-26</t>
  </si>
  <si>
    <t>MDLA9552655</t>
  </si>
  <si>
    <t>SAKPDC006562/25-26</t>
  </si>
  <si>
    <t>MDLA9552654</t>
  </si>
  <si>
    <t>SAKPDC006565/25-26</t>
  </si>
  <si>
    <t>MDLA9552657</t>
  </si>
  <si>
    <t>SAKPDC006564/25-26</t>
  </si>
  <si>
    <t>MDLA9552656</t>
  </si>
  <si>
    <t>N260120002</t>
  </si>
  <si>
    <t>N260120003</t>
  </si>
  <si>
    <t>SAKPDC006566/25-26</t>
  </si>
  <si>
    <t>MDLA9552658</t>
  </si>
  <si>
    <t>SAKPDC006567/25-26</t>
  </si>
  <si>
    <t>MDLA9552659</t>
  </si>
  <si>
    <t>N260121001</t>
  </si>
  <si>
    <t>N260121002</t>
  </si>
  <si>
    <t>AP39WI6819</t>
  </si>
  <si>
    <t>N260121003</t>
  </si>
  <si>
    <t>SAKPDC006568/25-26</t>
  </si>
  <si>
    <t>MDLA9552660</t>
  </si>
  <si>
    <t>SAKPDC006569/25-26</t>
  </si>
  <si>
    <t>MDLA9552661</t>
  </si>
  <si>
    <t>SAKPDC006570/25-26</t>
  </si>
  <si>
    <t>MDLA9552662</t>
  </si>
  <si>
    <t>SAKPDC006571/25-26</t>
  </si>
  <si>
    <t>MDLA9552663</t>
  </si>
  <si>
    <t>SAKPDC006572/25-26</t>
  </si>
  <si>
    <t>MDLA9552664</t>
  </si>
  <si>
    <t>SAKPDC006573/25-26</t>
  </si>
  <si>
    <t>MDLA9552665</t>
  </si>
  <si>
    <t>N260121004</t>
  </si>
  <si>
    <t>GUNKALOVA NEW CONSTRUCTION DISPATCH ROAD PURPOSE</t>
  </si>
  <si>
    <t>GSB/WETMIX</t>
  </si>
  <si>
    <t>SAKPDC006574/25-26</t>
  </si>
  <si>
    <t>MDLA9552666</t>
  </si>
  <si>
    <t>SAKPDC006575/25-26</t>
  </si>
  <si>
    <t>MDLA9552667</t>
  </si>
  <si>
    <t>SAKPDC006576/25-26</t>
  </si>
  <si>
    <t>MDLA9552668</t>
  </si>
  <si>
    <t>SAKPDC006578/25-26</t>
  </si>
  <si>
    <t>MDLA9552669</t>
  </si>
  <si>
    <t>SAKPDC006579/25-26</t>
  </si>
  <si>
    <t>MDLA9552670</t>
  </si>
  <si>
    <t>SAKPDC006580/25-26</t>
  </si>
  <si>
    <t>MDLA9552671</t>
  </si>
  <si>
    <t>SAKPDC006581/25-26</t>
  </si>
  <si>
    <t>MDLA9552672</t>
  </si>
  <si>
    <t>SAKPDC006582/25-26</t>
  </si>
  <si>
    <t>MDLA9552673</t>
  </si>
  <si>
    <t>N260121005</t>
  </si>
  <si>
    <t xml:space="preserve"> WASTE DUST</t>
  </si>
  <si>
    <t>N260121006</t>
  </si>
  <si>
    <t>SAKPDC006583/25-26</t>
  </si>
  <si>
    <t>MDLA9552674</t>
  </si>
  <si>
    <t>SAKPDC006590/25-26</t>
  </si>
  <si>
    <t>MDLA9552681</t>
  </si>
  <si>
    <t>SGX MINERALS PVT LTD</t>
  </si>
  <si>
    <t>SAKPDC006584/25-26</t>
  </si>
  <si>
    <t>MDLA9552675</t>
  </si>
  <si>
    <t>VISWAMATHA ENTERPRISES</t>
  </si>
  <si>
    <t>AP39TU4469</t>
  </si>
  <si>
    <t>SAKPDC006587/25-26</t>
  </si>
  <si>
    <t>MDLA9552678</t>
  </si>
  <si>
    <t>LAXMI ENTERPRISES (SHEELA NAGAR)</t>
  </si>
  <si>
    <t>SAKPDC006585/25-26</t>
  </si>
  <si>
    <t>MDLA9552676</t>
  </si>
  <si>
    <t>SAKPDC006586/25-26</t>
  </si>
  <si>
    <t>MDLA9552677</t>
  </si>
  <si>
    <t>SAKPDC006588/25-26</t>
  </si>
  <si>
    <t>MDLA9552679</t>
  </si>
  <si>
    <t>SAKPDC006589/25-26</t>
  </si>
  <si>
    <t>MDLA9552680</t>
  </si>
  <si>
    <t>SAKPDC006591/25-26</t>
  </si>
  <si>
    <t>MDLA9552682</t>
  </si>
  <si>
    <t>N260121007</t>
  </si>
  <si>
    <t>GOPI</t>
  </si>
  <si>
    <t>AP31TG8469</t>
  </si>
  <si>
    <t>N260122001</t>
  </si>
  <si>
    <t>N260122002</t>
  </si>
  <si>
    <t>N260122003</t>
  </si>
  <si>
    <t>SAKPDC006592/25-26</t>
  </si>
  <si>
    <t>MDLA9552683</t>
  </si>
  <si>
    <t>SAKPDC006593/25-26</t>
  </si>
  <si>
    <t>MDLA9552684</t>
  </si>
  <si>
    <t>SAKPDC006594/25-26</t>
  </si>
  <si>
    <t>MDLA9552685</t>
  </si>
  <si>
    <t>SAKPDC006598/25-26</t>
  </si>
  <si>
    <t>MDLA9552689</t>
  </si>
  <si>
    <t>SAKPDC006595/25-26</t>
  </si>
  <si>
    <t>MDLA9552686</t>
  </si>
  <si>
    <t>SAKPDC006597/25-26</t>
  </si>
  <si>
    <t>MDLA9552688</t>
  </si>
  <si>
    <t>L&amp;T P-1</t>
  </si>
  <si>
    <t>SAKPDC006596/25-26</t>
  </si>
  <si>
    <t>MDLA9552687</t>
  </si>
  <si>
    <t>N260122004</t>
  </si>
  <si>
    <t>N260122005</t>
  </si>
  <si>
    <t>SAKPDC006599/25-26</t>
  </si>
  <si>
    <t>MDLA9552690</t>
  </si>
  <si>
    <t>SAKPDC006600/25-26</t>
  </si>
  <si>
    <t>MDLA9552691</t>
  </si>
  <si>
    <t>N260122006</t>
  </si>
  <si>
    <t>SURIBABU</t>
  </si>
  <si>
    <t>AP31U6047</t>
  </si>
  <si>
    <t>SAKPDC006601/25-26</t>
  </si>
  <si>
    <t>MDLA9552692</t>
  </si>
  <si>
    <t>SAKPDC006603/25-26</t>
  </si>
  <si>
    <t>MDLA9552694</t>
  </si>
  <si>
    <t>SAKPDC006604/25-26</t>
  </si>
  <si>
    <t>MDLA9552695</t>
  </si>
  <si>
    <t>SAKPDC006602/25-26</t>
  </si>
  <si>
    <t>MDLA9552693</t>
  </si>
  <si>
    <t>SAKPDC006606/25-26</t>
  </si>
  <si>
    <t>MDLA9552697</t>
  </si>
  <si>
    <t>SAKPDC006605/25-26</t>
  </si>
  <si>
    <t>MDLA9552696</t>
  </si>
  <si>
    <t>SAKPDC006607/25-26</t>
  </si>
  <si>
    <t>MDLA9552698</t>
  </si>
  <si>
    <t>N260122007</t>
  </si>
  <si>
    <t>SAKPDC006608/25-26</t>
  </si>
  <si>
    <t>MDLA9552699</t>
  </si>
  <si>
    <t>SAKPDC006612/25-26</t>
  </si>
  <si>
    <t>MDLA9552703</t>
  </si>
  <si>
    <t>N260122008</t>
  </si>
  <si>
    <t>SAKPDC006609/25-26</t>
  </si>
  <si>
    <t>MDLA9552700</t>
  </si>
  <si>
    <t>N260122009</t>
  </si>
  <si>
    <t>SRINU</t>
  </si>
  <si>
    <t>N260122010</t>
  </si>
  <si>
    <t>N260122011</t>
  </si>
  <si>
    <t>N260122012</t>
  </si>
  <si>
    <t>SAKPDC006610/25-26</t>
  </si>
  <si>
    <t>MDLA9552701</t>
  </si>
  <si>
    <t>SAKPDC006611/25-26</t>
  </si>
  <si>
    <t>MDLA9552702</t>
  </si>
  <si>
    <t>SAKPDC006614/25-26</t>
  </si>
  <si>
    <t>MDLA9552705</t>
  </si>
  <si>
    <t>SAKPDC006613/25-26</t>
  </si>
  <si>
    <t>MDLA9552704</t>
  </si>
  <si>
    <t>SAKPDC006616/25-26</t>
  </si>
  <si>
    <t>MDLA9552707</t>
  </si>
  <si>
    <t>SAKPDC006615/25-26</t>
  </si>
  <si>
    <t>MDLA9552706</t>
  </si>
  <si>
    <t>SAKPDC006617/25-26</t>
  </si>
  <si>
    <t>MDLA9552708</t>
  </si>
  <si>
    <t>N260122013</t>
  </si>
  <si>
    <t>AP39WB6819</t>
  </si>
  <si>
    <t>N260122014</t>
  </si>
  <si>
    <t>PENTARAO</t>
  </si>
  <si>
    <t>AP05TU1189</t>
  </si>
  <si>
    <t>SAKPDC006618/25-26</t>
  </si>
  <si>
    <t>MDLA9552709</t>
  </si>
  <si>
    <t>KS NAIDU</t>
  </si>
  <si>
    <t>AP39VF1368</t>
  </si>
  <si>
    <t>SAKPDC006619/25-26</t>
  </si>
  <si>
    <t>MDLA9552710</t>
  </si>
  <si>
    <t>SAKPDC006620/25-26</t>
  </si>
  <si>
    <t>MDLA9552711</t>
  </si>
  <si>
    <t>SAKPDC006621/25-26</t>
  </si>
  <si>
    <t>MDLA9552712</t>
  </si>
  <si>
    <t>SAKPDC006624/25-26</t>
  </si>
  <si>
    <t>MDLA9552715</t>
  </si>
  <si>
    <t>SAKPDC006627/25-26</t>
  </si>
  <si>
    <t>MDLA9552718</t>
  </si>
  <si>
    <t>SAKPDC006622/25-26</t>
  </si>
  <si>
    <t>MDLA9552713</t>
  </si>
  <si>
    <t>SAKPDC006623/25-26</t>
  </si>
  <si>
    <t>MDLA9552714</t>
  </si>
  <si>
    <t>SAKPDC006625/25-26</t>
  </si>
  <si>
    <t>MDLA9552716</t>
  </si>
  <si>
    <t>SAKPDC006626/25-26</t>
  </si>
  <si>
    <t>MDLA9552717</t>
  </si>
  <si>
    <t>SAKPDC006628/25-26</t>
  </si>
  <si>
    <t>MDLA9552719</t>
  </si>
  <si>
    <t>SAKPDC006629/25-26</t>
  </si>
  <si>
    <t>MDLA9552720</t>
  </si>
  <si>
    <t>SAKPDC006634/25-26</t>
  </si>
  <si>
    <t>MDLA9552725</t>
  </si>
  <si>
    <t>SAKPDC006631/25-26</t>
  </si>
  <si>
    <t>MDLA9552722</t>
  </si>
  <si>
    <t>SAKPDC006632/25-26</t>
  </si>
  <si>
    <t>MDLA9552723</t>
  </si>
  <si>
    <t>N260123001</t>
  </si>
  <si>
    <t>SAKPDC006630/25-26</t>
  </si>
  <si>
    <t>MDLA9552721</t>
  </si>
  <si>
    <t>SAKPDC006633/25-26</t>
  </si>
  <si>
    <t>MDLA9552724</t>
  </si>
  <si>
    <t>N260123002</t>
  </si>
  <si>
    <t>SAKPDC006635/25-26</t>
  </si>
  <si>
    <t>MDLA9552726</t>
  </si>
  <si>
    <t>SAKPDC006636/25-26</t>
  </si>
  <si>
    <t>MDLA9552727</t>
  </si>
  <si>
    <t>SAKPDC006637/25-26</t>
  </si>
  <si>
    <t>MDLA9552728</t>
  </si>
  <si>
    <t>MDLA9552729</t>
  </si>
  <si>
    <t>SAKPDC006638/25-26</t>
  </si>
  <si>
    <t>MDLA9552730</t>
  </si>
  <si>
    <t>SAKPDC006639/25-26</t>
  </si>
  <si>
    <t>MDLA9552731</t>
  </si>
  <si>
    <t>SAKPDC006640/25-26</t>
  </si>
  <si>
    <t>MDLA9552732</t>
  </si>
  <si>
    <t>MDLA9552733</t>
  </si>
  <si>
    <t>SAKPDC006641/25-26</t>
  </si>
  <si>
    <t>MDLA9552734</t>
  </si>
  <si>
    <t>SAKPDC006642/25-26</t>
  </si>
  <si>
    <t>MDLA9552735</t>
  </si>
  <si>
    <t>SAKPDC006643/25-26</t>
  </si>
  <si>
    <t>MDLA9552736</t>
  </si>
  <si>
    <t>SAKPDC006644/25-26</t>
  </si>
  <si>
    <t>MDLA9552737</t>
  </si>
  <si>
    <t>SAKPDC006646/25-26</t>
  </si>
  <si>
    <t>MDLA9552739</t>
  </si>
  <si>
    <t>SAKPDC006645/25-26</t>
  </si>
  <si>
    <t>MDLA9552738</t>
  </si>
  <si>
    <t>N260123003</t>
  </si>
  <si>
    <t>M.RAJU</t>
  </si>
  <si>
    <t>N260124001</t>
  </si>
  <si>
    <t>N260124002</t>
  </si>
  <si>
    <t>N260124003</t>
  </si>
  <si>
    <t>N260124004</t>
  </si>
  <si>
    <t>SAKPDC006647/25-26</t>
  </si>
  <si>
    <t>MDLA9552740</t>
  </si>
  <si>
    <t>SAKPDC006648/25-26</t>
  </si>
  <si>
    <t>MDLA9552741</t>
  </si>
  <si>
    <t>SAKPDC006649/25-26</t>
  </si>
  <si>
    <t>MDLA9552749</t>
  </si>
  <si>
    <t>SAKPDC006650/25-26</t>
  </si>
  <si>
    <t>MDLA9552742</t>
  </si>
  <si>
    <t>SAKPDC006653/25-26</t>
  </si>
  <si>
    <t>MDLA9552745</t>
  </si>
  <si>
    <t>SAKPDC006652/25-26</t>
  </si>
  <si>
    <t>MDLA9552744</t>
  </si>
  <si>
    <t>SAKPDC006651/25-26</t>
  </si>
  <si>
    <t>MDLA9552743</t>
  </si>
  <si>
    <t>SAKPDC006654/25-26</t>
  </si>
  <si>
    <t>MDLA9552748</t>
  </si>
  <si>
    <t>SAKPDC006655/25-26</t>
  </si>
  <si>
    <t>MDLA9552746</t>
  </si>
  <si>
    <t>SAKPDC006657/25-26</t>
  </si>
  <si>
    <t>MDLA9552750</t>
  </si>
  <si>
    <t>SAKPDC006656/25-26</t>
  </si>
  <si>
    <t>MDLA9552747</t>
  </si>
  <si>
    <t>SAKPDC006658/25-26</t>
  </si>
  <si>
    <t>MDLA9552751</t>
  </si>
  <si>
    <t>SAKPDC006659/25-26</t>
  </si>
  <si>
    <t>MDLA9552752</t>
  </si>
  <si>
    <t>SAKPDC006660/25-26</t>
  </si>
  <si>
    <t>MDLA9552753</t>
  </si>
  <si>
    <t>SAKPDC006661/25-26</t>
  </si>
  <si>
    <t>MDLA9552754</t>
  </si>
  <si>
    <t>SAKPDC006662/25-26</t>
  </si>
  <si>
    <t>MDLA9552755</t>
  </si>
  <si>
    <t>SAKPDC006663/25-26</t>
  </si>
  <si>
    <t>MDLA9552756</t>
  </si>
  <si>
    <t>SAKPDC006664/25-26</t>
  </si>
  <si>
    <t>MDLA9552757</t>
  </si>
  <si>
    <t>SAKPDC006665/25-26</t>
  </si>
  <si>
    <t>MDLA9552758</t>
  </si>
  <si>
    <t>SAKPDC006666/25-26</t>
  </si>
  <si>
    <t>MDLA9552759</t>
  </si>
  <si>
    <t>SAKPDC006667/25-26</t>
  </si>
  <si>
    <t>MDLA9552760</t>
  </si>
  <si>
    <t>SAKPDC006668/25-26</t>
  </si>
  <si>
    <t>MDLA9552761</t>
  </si>
  <si>
    <t>SAKPDC006669/25-26</t>
  </si>
  <si>
    <t>MDLA9552762</t>
  </si>
  <si>
    <t>MDLA9552763</t>
  </si>
  <si>
    <t>SAKPDC006670/25-26</t>
  </si>
  <si>
    <t>MDLA9552764</t>
  </si>
  <si>
    <t>SAKPDC006671/25-26</t>
  </si>
  <si>
    <t>MDLA9552765</t>
  </si>
  <si>
    <t>SAKPDC006672/25-26</t>
  </si>
  <si>
    <t>MDLA9552766</t>
  </si>
  <si>
    <t>SAKPDC006673/25-26</t>
  </si>
  <si>
    <t>MDLA9552767</t>
  </si>
  <si>
    <t>MDLA9552768</t>
  </si>
  <si>
    <t>SAKPDC006674/25-26</t>
  </si>
  <si>
    <t>MDLA9552769</t>
  </si>
  <si>
    <t>SAKPDC006675/25-26</t>
  </si>
  <si>
    <t>MDLA9552770</t>
  </si>
  <si>
    <t>SAKPDC006676/25-26</t>
  </si>
  <si>
    <t>MDLA9552771</t>
  </si>
  <si>
    <t>N260124005</t>
  </si>
  <si>
    <t>SURI BABU</t>
  </si>
  <si>
    <t>N260124006</t>
  </si>
  <si>
    <t>SARPANCH MAKAVARAMA</t>
  </si>
  <si>
    <t>AP31VN4869</t>
  </si>
  <si>
    <t>SAKPDC006677/25-26</t>
  </si>
  <si>
    <t>MDLA9552772</t>
  </si>
  <si>
    <t>AP39WC9194</t>
  </si>
  <si>
    <t>SAKPDC006678/25-26</t>
  </si>
  <si>
    <t>MDLA9552773</t>
  </si>
  <si>
    <t>SAKPDC006679/25-26</t>
  </si>
  <si>
    <t>MDLA9552774</t>
  </si>
  <si>
    <t>SAKPDC006681/25-26</t>
  </si>
  <si>
    <t>MDLA9552776</t>
  </si>
  <si>
    <t>SAKPDC006680/25-26</t>
  </si>
  <si>
    <t>MDLA9552775</t>
  </si>
  <si>
    <t>AP39WC5225</t>
  </si>
  <si>
    <t>SAKPDC006682/25-26</t>
  </si>
  <si>
    <t>MDLA9552777</t>
  </si>
  <si>
    <t>SAKPDC006683/25-26</t>
  </si>
  <si>
    <t>MDLA9552778</t>
  </si>
  <si>
    <t>N260124007</t>
  </si>
  <si>
    <t>SAKPDC006684/25-26</t>
  </si>
  <si>
    <t>MDLA9552779</t>
  </si>
  <si>
    <t>SAKPDC006685/25-26</t>
  </si>
  <si>
    <t>MDLA9552780</t>
  </si>
  <si>
    <t>SAKPDC006686/25-26</t>
  </si>
  <si>
    <t>MDLA9552781</t>
  </si>
  <si>
    <t>SAKPDC006687/25-26</t>
  </si>
  <si>
    <t>MDLA9552782</t>
  </si>
  <si>
    <t>SAKPDC006688/25-26</t>
  </si>
  <si>
    <t>MDLA9552783</t>
  </si>
  <si>
    <t>SAKPDC006689/25-26</t>
  </si>
  <si>
    <t>MDLA9552784</t>
  </si>
  <si>
    <t>AP39UM5522</t>
  </si>
  <si>
    <t>SAKPDC006690/25-26</t>
  </si>
  <si>
    <t>MDLA9552785</t>
  </si>
  <si>
    <t>SAKPDC006691/25-26</t>
  </si>
  <si>
    <t>MDLA9552786</t>
  </si>
  <si>
    <t>SAKPDC006692/25-26</t>
  </si>
  <si>
    <t>MDLA9552787</t>
  </si>
  <si>
    <t>SAKPDC006693/25-26</t>
  </si>
  <si>
    <t>MDLA9552788</t>
  </si>
  <si>
    <t>AP39UY5589</t>
  </si>
  <si>
    <t>N260125001</t>
  </si>
  <si>
    <t>N260125002</t>
  </si>
  <si>
    <t>N260125003</t>
  </si>
  <si>
    <t>KISHORE</t>
  </si>
  <si>
    <t>AP31TF4212</t>
  </si>
  <si>
    <t>SAKPDC006694/25-26</t>
  </si>
  <si>
    <t>MDLA9552789</t>
  </si>
  <si>
    <t>SAKPDC006696/25-26</t>
  </si>
  <si>
    <t>MDLA9552791</t>
  </si>
  <si>
    <t>SAKPDC006695/25-26</t>
  </si>
  <si>
    <t>MDLA9552790</t>
  </si>
  <si>
    <t>N260126001</t>
  </si>
  <si>
    <t>N260126002</t>
  </si>
  <si>
    <t>N260126003</t>
  </si>
  <si>
    <t>N260126004</t>
  </si>
  <si>
    <t>N260126005</t>
  </si>
  <si>
    <t>N260126006</t>
  </si>
  <si>
    <t>N260126007</t>
  </si>
  <si>
    <t>N260126008</t>
  </si>
  <si>
    <t>AP31U6747</t>
  </si>
  <si>
    <t>N260126009</t>
  </si>
  <si>
    <t>N260127001</t>
  </si>
  <si>
    <t>SAKPDC006697/25-26</t>
  </si>
  <si>
    <t>MDLA9552792</t>
  </si>
  <si>
    <t>SAKPDC006698/25-26</t>
  </si>
  <si>
    <t>MDLA9552793</t>
  </si>
  <si>
    <t>SAKPDC006699/25-26</t>
  </si>
  <si>
    <t>MDLA9552794</t>
  </si>
  <si>
    <t>SAKPDC006700/25-26</t>
  </si>
  <si>
    <t>MDLA9552795</t>
  </si>
  <si>
    <t>SAKPDC006701/25-26</t>
  </si>
  <si>
    <t>MDLA9552796</t>
  </si>
  <si>
    <t>LAXMI ENTERPRISES PORLUPALEM</t>
  </si>
  <si>
    <t>SAKPDC006702/25-26</t>
  </si>
  <si>
    <t>MDLA9552797</t>
  </si>
  <si>
    <t>SAKPDC006703/25-26</t>
  </si>
  <si>
    <t>MDLA9552798</t>
  </si>
  <si>
    <t>SAKPDC006704/25-26</t>
  </si>
  <si>
    <t>MDLA9552799</t>
  </si>
  <si>
    <t>SAKPDC006705/25-26</t>
  </si>
  <si>
    <t>MDLA9552800</t>
  </si>
  <si>
    <t>SAKPDC006706/25-26</t>
  </si>
  <si>
    <t>MDLA9552801</t>
  </si>
  <si>
    <t>SAKPDC006707/25-26</t>
  </si>
  <si>
    <t>MDLA9552802</t>
  </si>
  <si>
    <t>SAKPDC006708/25-26</t>
  </si>
  <si>
    <t>MDLA9552803</t>
  </si>
  <si>
    <t>SAKPDC006710/25-26</t>
  </si>
  <si>
    <t>MDLA9552805</t>
  </si>
  <si>
    <t>SAKPDC006709/25-26</t>
  </si>
  <si>
    <t>MDLA9552804</t>
  </si>
  <si>
    <t>SAKPDC006711/25-26</t>
  </si>
  <si>
    <t>MDLA9552806</t>
  </si>
  <si>
    <t>SAKPDC006713/25-26</t>
  </si>
  <si>
    <t>MDLA9552808</t>
  </si>
  <si>
    <t>MDLA9552809</t>
  </si>
  <si>
    <t>SAKPDC006714/25-26</t>
  </si>
  <si>
    <t>MDLA9552810</t>
  </si>
  <si>
    <t>N260127002</t>
  </si>
  <si>
    <t>PRASAD</t>
  </si>
  <si>
    <t>AP35QE3352</t>
  </si>
  <si>
    <t>N260127003</t>
  </si>
  <si>
    <t>SAKPDC006716/25-26</t>
  </si>
  <si>
    <t>MDLA9552812</t>
  </si>
  <si>
    <t>SAKPDC006715/25-26</t>
  </si>
  <si>
    <t>MDLA9552811</t>
  </si>
  <si>
    <t>MDLA9552813</t>
  </si>
  <si>
    <t>SAKPDC006717/25-26</t>
  </si>
  <si>
    <t>MDLA9552814</t>
  </si>
  <si>
    <t>SAKPDC006718/25-26</t>
  </si>
  <si>
    <t>MDLA9552815</t>
  </si>
  <si>
    <t>N260127004</t>
  </si>
  <si>
    <t>SAKPDC006720/25-26</t>
  </si>
  <si>
    <t>MDLA9552817</t>
  </si>
  <si>
    <t>SAKPDC006719/25-26</t>
  </si>
  <si>
    <t>MDLA9552816</t>
  </si>
  <si>
    <t>MDLA9552818</t>
  </si>
  <si>
    <t>SAKPDC006721/25-26</t>
  </si>
  <si>
    <t>MDLA9552820</t>
  </si>
  <si>
    <t>MDLA9552819</t>
  </si>
  <si>
    <t>N260127005</t>
  </si>
  <si>
    <t>SAKPDC006722/25-26</t>
  </si>
  <si>
    <t>MDLA9552821</t>
  </si>
  <si>
    <t>SAKPDC006723/25-26</t>
  </si>
  <si>
    <t>MDLA9552822</t>
  </si>
  <si>
    <t>SAKPDC006724/25-26</t>
  </si>
  <si>
    <t>MDLA9552823</t>
  </si>
  <si>
    <t>SAKPDC006726/25-26</t>
  </si>
  <si>
    <t>MDLA9552824</t>
  </si>
  <si>
    <t>SAKPDC006727/25-26</t>
  </si>
  <si>
    <t>MDLA9552825</t>
  </si>
  <si>
    <t>SAKPDC006728/25-26</t>
  </si>
  <si>
    <t>MDLA9552826</t>
  </si>
  <si>
    <t>N260128001</t>
  </si>
  <si>
    <t>K RAMU</t>
  </si>
  <si>
    <t>AP31TF3672</t>
  </si>
  <si>
    <t>MDLA9552827</t>
  </si>
  <si>
    <t>MDLA9552828</t>
  </si>
  <si>
    <t>SAKPDC006729/25-26</t>
  </si>
  <si>
    <t>MDLA9552829</t>
  </si>
  <si>
    <t>SAKPDC006730/25-26</t>
  </si>
  <si>
    <t>MDLA9552830</t>
  </si>
  <si>
    <t>SAKPDC006731/25-26</t>
  </si>
  <si>
    <t>MDLA9552831</t>
  </si>
  <si>
    <t>SAKPDC006732/25-26</t>
  </si>
  <si>
    <t>MDLA9552832</t>
  </si>
  <si>
    <t>SAKPDC006733/25-26</t>
  </si>
  <si>
    <t>MDLA9552833</t>
  </si>
  <si>
    <t>SAKPDC006734/25-26</t>
  </si>
  <si>
    <t>MDLA9552834</t>
  </si>
  <si>
    <t>N260128003</t>
  </si>
  <si>
    <t>N260128004</t>
  </si>
  <si>
    <t>SAKPDC006735/25-26</t>
  </si>
  <si>
    <t>MDLA9552835</t>
  </si>
  <si>
    <t>SAKPDC006736/25-26</t>
  </si>
  <si>
    <t>MDLA9552836</t>
  </si>
  <si>
    <t>MDLA9552837</t>
  </si>
  <si>
    <t>SAKPDC006737/25-26</t>
  </si>
  <si>
    <t>MDLA9552838</t>
  </si>
  <si>
    <t>S.Siva Jyothi</t>
  </si>
  <si>
    <t>SAKPDC006738/25-26</t>
  </si>
  <si>
    <t>MDLA9552839</t>
  </si>
  <si>
    <t>SAKPDC006739/25-26</t>
  </si>
  <si>
    <t>MDLA9552840</t>
  </si>
  <si>
    <t>N260128005</t>
  </si>
  <si>
    <t>N260128006</t>
  </si>
  <si>
    <t>SAKPDC006740/25-26</t>
  </si>
  <si>
    <t>MDLA9552841</t>
  </si>
  <si>
    <t>RAVI TEJA</t>
  </si>
  <si>
    <t>SAKPDC006741/25-26</t>
  </si>
  <si>
    <t>MDLA9552842</t>
  </si>
  <si>
    <t>SAKPDC006743/25-26</t>
  </si>
  <si>
    <t>MDLA9552844</t>
  </si>
  <si>
    <t>SAKPDC006742/25-26</t>
  </si>
  <si>
    <t>MDLA9552843</t>
  </si>
  <si>
    <t>SAKPDC006744/25-26</t>
  </si>
  <si>
    <t>MDLA9552845</t>
  </si>
  <si>
    <t>SAKPDC006745/25-26</t>
  </si>
  <si>
    <t>MDLA9552846</t>
  </si>
  <si>
    <t>SAKPDC006746/25-26</t>
  </si>
  <si>
    <t>MDLA9552847</t>
  </si>
  <si>
    <t>SAKPDC006748/25-26</t>
  </si>
  <si>
    <t>MDLA9552849</t>
  </si>
  <si>
    <t>SAKPDC006747/25-26</t>
  </si>
  <si>
    <t>MDLA9552848</t>
  </si>
  <si>
    <t>SAKPDC006750/25-26</t>
  </si>
  <si>
    <t>MDLA9552850</t>
  </si>
  <si>
    <t>SAKPDC006751/25-26</t>
  </si>
  <si>
    <t>MDLA9552852</t>
  </si>
  <si>
    <t>SAKPDC006749/25-26</t>
  </si>
  <si>
    <t>MDLA9552851</t>
  </si>
  <si>
    <t>SAKPDC006752/25-26</t>
  </si>
  <si>
    <t>MDLA9552853</t>
  </si>
  <si>
    <t>LAXMI ENTERPRISES(SHEELA NAGAR)</t>
  </si>
  <si>
    <t>SAKPDC006753/25-26</t>
  </si>
  <si>
    <t>MDLA9552854</t>
  </si>
  <si>
    <t>SAKPDC006754/25-26</t>
  </si>
  <si>
    <t>MDL9552855</t>
  </si>
  <si>
    <t>SAKPDC006755/25-26</t>
  </si>
  <si>
    <t>MDLA9552856</t>
  </si>
  <si>
    <t>N260129001</t>
  </si>
  <si>
    <t>SAKPDC006756/25-26</t>
  </si>
  <si>
    <t>MDLA9552857</t>
  </si>
  <si>
    <t>SAKPDC006757/25-26</t>
  </si>
  <si>
    <t>MDLA9552858</t>
  </si>
  <si>
    <t>SAKPDC006758/25-26</t>
  </si>
  <si>
    <t>MDLA9552859</t>
  </si>
  <si>
    <t>AP39UY3345</t>
  </si>
  <si>
    <t>SAKPDC006759/25-26</t>
  </si>
  <si>
    <t>MDLA9552860</t>
  </si>
  <si>
    <t>SAKPDC006760/25-26</t>
  </si>
  <si>
    <t>MDLA9552861</t>
  </si>
  <si>
    <t>N260129002</t>
  </si>
  <si>
    <t>MARTURU ROAD PURPOSE</t>
  </si>
  <si>
    <t>SAKPDC006761/25-26</t>
  </si>
  <si>
    <t>MDLA9552862</t>
  </si>
  <si>
    <t>SAKPDC006762/25-26</t>
  </si>
  <si>
    <t>MDLA9552863</t>
  </si>
  <si>
    <t>SAKPDC006763/25-26</t>
  </si>
  <si>
    <t>MDLA9552864</t>
  </si>
  <si>
    <t>SAKPDC006764/25-26</t>
  </si>
  <si>
    <t>MDLA9552865</t>
  </si>
  <si>
    <t>SAKPDC006765/25-26</t>
  </si>
  <si>
    <t>MDLA9552866</t>
  </si>
  <si>
    <t>MDLA9552867</t>
  </si>
  <si>
    <t>SAKPDC006766/25-26</t>
  </si>
  <si>
    <t>MDLA9552868</t>
  </si>
  <si>
    <t>SAKPDC006767/25-26</t>
  </si>
  <si>
    <t>MDLA9552869</t>
  </si>
  <si>
    <t>SAKPDC006768/25-26</t>
  </si>
  <si>
    <t>MDLA9552870</t>
  </si>
  <si>
    <t>SAKPDC006770/25-26</t>
  </si>
  <si>
    <t>MDLA9552872</t>
  </si>
  <si>
    <t>SAKPDC006769/25-26</t>
  </si>
  <si>
    <t>MDLA9552871</t>
  </si>
  <si>
    <t>SAKPDC006771/25-26</t>
  </si>
  <si>
    <t>MDLA9552873</t>
  </si>
  <si>
    <t>SAKPDC006776/25-26</t>
  </si>
  <si>
    <t>MDLA9552878</t>
  </si>
  <si>
    <t>SAKPDC006773/25-26</t>
  </si>
  <si>
    <t>MDLA9552875</t>
  </si>
  <si>
    <t>SAKPDC006772/25-26</t>
  </si>
  <si>
    <t>MDLA9552874</t>
  </si>
  <si>
    <t>SAKPDC006774/25-26</t>
  </si>
  <si>
    <t>MDLA9552876</t>
  </si>
  <si>
    <t>SAKPDC006775/25-26</t>
  </si>
  <si>
    <t>MDLA9552877</t>
  </si>
  <si>
    <t>SAKPDC006777/25-26</t>
  </si>
  <si>
    <t>MDLA9552879</t>
  </si>
  <si>
    <t>SAKPDC006778/25-26</t>
  </si>
  <si>
    <t>MDLA9552880</t>
  </si>
  <si>
    <t>N260130001</t>
  </si>
  <si>
    <t>CHINNARAO</t>
  </si>
  <si>
    <t>AP05CR3045</t>
  </si>
  <si>
    <t>N260130002</t>
  </si>
  <si>
    <t>THUMPALA SECRETARY</t>
  </si>
  <si>
    <t>N260130003</t>
  </si>
  <si>
    <t>AP39TY9299</t>
  </si>
  <si>
    <t>N260130004</t>
  </si>
  <si>
    <t>BASKHAR</t>
  </si>
  <si>
    <t>AP16TG7970</t>
  </si>
  <si>
    <t>N260130005</t>
  </si>
  <si>
    <t>sanjay singh</t>
  </si>
  <si>
    <t>N26013006</t>
  </si>
  <si>
    <t>N260131001</t>
  </si>
  <si>
    <t>MDLA9552884</t>
  </si>
  <si>
    <t>MDLA9552882</t>
  </si>
  <si>
    <t>SAKPDC006779/25-26</t>
  </si>
  <si>
    <t>MDLA9552883</t>
  </si>
  <si>
    <t>SAKPDC006781/25-26</t>
  </si>
  <si>
    <t>MDLA9552886</t>
  </si>
  <si>
    <t>SAKPDC006780/25-26</t>
  </si>
  <si>
    <t>MDLA9552885</t>
  </si>
  <si>
    <t>SAKPDC006782/25-26</t>
  </si>
  <si>
    <t>MDLA9552887</t>
  </si>
  <si>
    <t>SAKPDC006783/25-26</t>
  </si>
  <si>
    <t>MDLA9552889</t>
  </si>
  <si>
    <t>SAKPDC006784/25-26</t>
  </si>
  <si>
    <t>MDLA9552890</t>
  </si>
  <si>
    <t>N260131002</t>
  </si>
  <si>
    <t>SAKPDC006785/25-26</t>
  </si>
  <si>
    <t>MDLA9552891</t>
  </si>
  <si>
    <t>SAKPDC006786/25-26</t>
  </si>
  <si>
    <t>MDLA9552892</t>
  </si>
  <si>
    <t>MDLA9552893</t>
  </si>
  <si>
    <t>S B LAB</t>
  </si>
  <si>
    <t>SAKPDC006789/25-26</t>
  </si>
  <si>
    <t>MDLA9552897</t>
  </si>
  <si>
    <t>SAKPDC006791/25-26</t>
  </si>
  <si>
    <t>MDLA9552899</t>
  </si>
  <si>
    <t>SAKPDC006795/25-26</t>
  </si>
  <si>
    <t>MDLA9552902</t>
  </si>
  <si>
    <t>SAKPDC006787/25-26</t>
  </si>
  <si>
    <t>MDLA9552894</t>
  </si>
  <si>
    <t>SAKPDC006792/25-26</t>
  </si>
  <si>
    <t>MDLA9552900</t>
  </si>
  <si>
    <t>MDLA9552896</t>
  </si>
  <si>
    <t>SAKPDC006788/25-26</t>
  </si>
  <si>
    <t>MDLA9552895</t>
  </si>
  <si>
    <t>SAKPDC006793/25-26</t>
  </si>
  <si>
    <t>MDLA9552901</t>
  </si>
  <si>
    <t>SAKPDC006790/25-26</t>
  </si>
  <si>
    <t>MDLA9552898</t>
  </si>
  <si>
    <t>SAKPDC006796/25-26</t>
  </si>
  <si>
    <t>MDLA9552903</t>
  </si>
  <si>
    <t>SAKPDC006797/25-26</t>
  </si>
  <si>
    <t>MDLA9552904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</si>
</sst>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"/>
    <numFmt numFmtId="165" formatCode="_-* #,##0.00_-;\-* #,##0.00_-;_-* &quot;-&quot;??_-;_-@_-"/>
    <numFmt numFmtId="166" formatCode="_ * #,##0_ ;_ * \-#,##0_ ;_ * &quot;-&quot;??_ ;_ @_ "/>
    <numFmt numFmtId="167" formatCode="0.00_ "/>
    <numFmt numFmtId="168" formatCode="0.000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indexed="8"/>
      <name val="MS Sans Serif"/>
      <family val="2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b/>
      <sz val="11"/>
      <color rgb="FF5F6368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222222"/>
      <name val="Arial"/>
      <family val="2"/>
    </font>
    <font>
      <u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6" fillId="0" borderId="0">
      <alignment wrapText="1"/>
    </xf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122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166" fontId="1" fillId="0" borderId="0" xfId="4" applyNumberFormat="1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1" fillId="5" borderId="1" xfId="4" applyNumberFormat="1" applyFont="1" applyFill="1" applyBorder="1" applyAlignment="1">
      <alignment horizontal="right"/>
    </xf>
    <xf numFmtId="166" fontId="1" fillId="2" borderId="1" xfId="4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3" fontId="1" fillId="5" borderId="1" xfId="4" applyFont="1" applyFill="1" applyBorder="1" applyAlignment="1">
      <alignment horizontal="right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43" fontId="1" fillId="5" borderId="6" xfId="4" applyFont="1" applyFill="1" applyBorder="1" applyAlignment="1">
      <alignment horizontal="right"/>
    </xf>
    <xf numFmtId="166" fontId="1" fillId="5" borderId="5" xfId="4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4" borderId="5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9" fillId="4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5" xfId="0" applyBorder="1" applyAlignment="1">
      <alignment horizontal="left"/>
    </xf>
    <xf numFmtId="0" fontId="10" fillId="4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167" fontId="9" fillId="4" borderId="1" xfId="0" applyNumberFormat="1" applyFont="1" applyFill="1" applyBorder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8" xfId="0" applyBorder="1" applyAlignment="1">
      <alignment horizontal="left"/>
    </xf>
    <xf numFmtId="0" fontId="0" fillId="4" borderId="4" xfId="0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0" xfId="0" applyFont="1"/>
    <xf numFmtId="0" fontId="10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168" fontId="9" fillId="4" borderId="2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" fontId="17" fillId="4" borderId="1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0" fontId="0" fillId="7" borderId="7" xfId="0" applyFill="1" applyBorder="1" applyAlignment="1">
      <alignment horizontal="center"/>
    </xf>
    <xf numFmtId="167" fontId="9" fillId="4" borderId="6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0" fillId="6" borderId="1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left"/>
    </xf>
    <xf numFmtId="0" fontId="0" fillId="4" borderId="2" xfId="0" applyFont="1" applyFill="1" applyBorder="1" applyAlignment="1">
      <alignment horizontal="center"/>
    </xf>
  </cellXfs>
  <cellStyles count="14">
    <cellStyle name="Comma" xfId="4" builtinId="3"/>
    <cellStyle name="Comma 2" xfId="2" xr:uid="{00000000-0005-0000-0000-000001000000}"/>
    <cellStyle name="Comma 2 2" xfId="5" xr:uid="{00000000-0005-0000-0000-000002000000}"/>
    <cellStyle name="Comma 3" xfId="1" xr:uid="{00000000-0005-0000-0000-000003000000}"/>
    <cellStyle name="Comma 3 2" xfId="6" xr:uid="{00000000-0005-0000-0000-000004000000}"/>
    <cellStyle name="Comma 4" xfId="10" xr:uid="{00000000-0005-0000-0000-000005000000}"/>
    <cellStyle name="Comma 5" xfId="11" xr:uid="{00000000-0005-0000-0000-000006000000}"/>
    <cellStyle name="Hyperlink 2" xfId="12" xr:uid="{00000000-0005-0000-0000-000007000000}"/>
    <cellStyle name="Normal" xfId="0" builtinId="0"/>
    <cellStyle name="Normal 10 2 2 5" xfId="13" xr:uid="{00000000-0005-0000-0000-000009000000}"/>
    <cellStyle name="Normal 2" xfId="3" xr:uid="{00000000-0005-0000-0000-00000A000000}"/>
    <cellStyle name="Normal 2 2" xfId="8" xr:uid="{00000000-0005-0000-0000-00000B000000}"/>
    <cellStyle name="Normal 2 3" xfId="7" xr:uid="{00000000-0005-0000-0000-00000C000000}"/>
    <cellStyle name="Normal 3" xfId="9" xr:uid="{00000000-0005-0000-0000-00000D000000}"/>
  </cellStyles>
  <dxfs count="21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C209794B-95D5-46E9-8F5A-83E417611E2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B5AFD329-3157-42C4-A2FA-09EDF98D8404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639FC08-0F18-44A6-B845-ADB0509D9BA2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70D96722-13B4-4DBC-A6E1-79E888256C3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EF7EA2E-AC10-4058-8092-798D2D659591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E9720D65-BAD5-461A-84C6-6A401B24BA5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8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F3EFB7E-E434-4C1F-94A2-AE6B0DFA34ED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25780"/>
    <xdr:sp macro="" textlink="">
      <xdr:nvSpPr>
        <xdr:cNvPr id="9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C2BB82B-310D-4A8D-9D77-20B3DE18398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0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6601176A-48CB-4580-8409-BE0992605A20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1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FB81B2ED-07B7-4B01-B0C9-A7CF33584ED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2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D2D0F721-A8A5-4C64-A317-5EA241C05A47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3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3508F637-F78E-47F1-8689-27A7668913B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4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4853F761-8A50-4D12-BC6D-B4DA9CA903F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5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24E6FE5-3184-4E94-A69F-0A3BA5027AC5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6" name="AutoShape 19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0015641B-AD85-4810-9DF2-469F6BC0889F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506730"/>
    <xdr:sp macro="" textlink="">
      <xdr:nvSpPr>
        <xdr:cNvPr id="17" name="AutoShape 18" descr="http://www.sgbiz.in/sggroupv2.2/Reserved.ReportViewerWebControl.axd?Mode=true&amp;ReportID=6f3f0cb1904c43b08cc1cff2147bdf65&amp;ControlID=b302045af2ac4883ba6966a81a8a9c43&amp;Culture=1033&amp;UICulture=1033&amp;ReportStack=1&amp;OpType=ReportImage&amp;ResourceStreamID=9.0.30729.4402ToggleMinus.gif">
          <a:extLst>
            <a:ext uri="{FF2B5EF4-FFF2-40B4-BE49-F238E27FC236}">
              <a16:creationId xmlns:a16="http://schemas.microsoft.com/office/drawing/2014/main" id="{10E863BE-B91B-4D42-9C5C-2058E9E42D79}"/>
            </a:ext>
          </a:extLst>
        </xdr:cNvPr>
        <xdr:cNvSpPr>
          <a:spLocks noChangeAspect="1" noChangeArrowheads="1"/>
        </xdr:cNvSpPr>
      </xdr:nvSpPr>
      <xdr:spPr bwMode="auto">
        <a:xfrm>
          <a:off x="7172325" y="914400"/>
          <a:ext cx="304800" cy="50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72"/>
  <sheetViews>
    <sheetView tabSelected="1" topLeftCell="A1052" workbookViewId="0">
      <selection activeCell="G1074" sqref="G1074"/>
    </sheetView>
  </sheetViews>
  <sheetFormatPr defaultColWidth="9.140625" defaultRowHeight="15" x14ac:dyDescent="0.25"/>
  <cols>
    <col min="1" max="1" width="5.42578125" bestFit="1" customWidth="1"/>
    <col min="2" max="3" width="14.5703125" bestFit="1" customWidth="1"/>
    <col min="4" max="4" width="16.5703125" bestFit="1" customWidth="1"/>
    <col min="5" max="5" width="21.7109375" bestFit="1" customWidth="1"/>
    <col min="6" max="6" width="14.28515625" bestFit="1" customWidth="1"/>
    <col min="7" max="7" width="13.28515625" bestFit="1" customWidth="1"/>
    <col min="8" max="8" width="9" bestFit="1" customWidth="1"/>
    <col min="9" max="9" width="41.42578125" bestFit="1" customWidth="1"/>
    <col min="10" max="10" width="8" bestFit="1" customWidth="1"/>
    <col min="11" max="11" width="8.140625" bestFit="1" customWidth="1"/>
    <col min="12" max="12" width="13.85546875" bestFit="1" customWidth="1"/>
    <col min="13" max="13" width="13.140625" bestFit="1" customWidth="1"/>
    <col min="14" max="14" width="7" bestFit="1" customWidth="1"/>
    <col min="15" max="15" width="7.28515625" customWidth="1"/>
    <col min="16" max="16" width="10" bestFit="1" customWidth="1"/>
    <col min="18" max="18" width="13.28515625" bestFit="1" customWidth="1"/>
    <col min="19" max="19" width="9.42578125" bestFit="1" customWidth="1"/>
    <col min="20" max="20" width="10.85546875" bestFit="1" customWidth="1"/>
    <col min="21" max="21" width="19.85546875" style="12" bestFit="1" customWidth="1"/>
    <col min="22" max="22" width="26" bestFit="1" customWidth="1"/>
    <col min="23" max="23" width="6.5703125" bestFit="1" customWidth="1"/>
    <col min="24" max="24" width="10" bestFit="1" customWidth="1"/>
    <col min="25" max="25" width="8" bestFit="1" customWidth="1"/>
    <col min="26" max="26" width="11.5703125" bestFit="1" customWidth="1"/>
    <col min="27" max="27" width="13.140625" bestFit="1" customWidth="1"/>
    <col min="28" max="28" width="20" bestFit="1" customWidth="1"/>
  </cols>
  <sheetData>
    <row r="1" spans="1:38" ht="42.6" customHeight="1" x14ac:dyDescent="0.25">
      <c r="A1" s="100" t="s">
        <v>0</v>
      </c>
      <c r="B1" s="103" t="s">
        <v>1</v>
      </c>
      <c r="C1" s="100" t="s">
        <v>2</v>
      </c>
      <c r="D1" s="104" t="s">
        <v>3</v>
      </c>
      <c r="E1" s="104" t="s">
        <v>4</v>
      </c>
      <c r="F1" s="104" t="s">
        <v>5</v>
      </c>
      <c r="G1" s="5" t="s">
        <v>6</v>
      </c>
      <c r="H1" s="104" t="s">
        <v>7</v>
      </c>
      <c r="I1" s="105" t="s">
        <v>25</v>
      </c>
      <c r="J1" s="103" t="s">
        <v>8</v>
      </c>
      <c r="K1" s="103" t="s">
        <v>26</v>
      </c>
      <c r="L1" s="103" t="s">
        <v>9</v>
      </c>
      <c r="M1" s="103" t="s">
        <v>27</v>
      </c>
      <c r="N1" s="103" t="s">
        <v>10</v>
      </c>
      <c r="O1" s="103" t="s">
        <v>28</v>
      </c>
      <c r="P1" s="4" t="s">
        <v>11</v>
      </c>
      <c r="Q1" s="103" t="s">
        <v>12</v>
      </c>
      <c r="R1" s="1" t="s">
        <v>13</v>
      </c>
      <c r="S1" s="103" t="s">
        <v>14</v>
      </c>
      <c r="T1" s="103" t="s">
        <v>29</v>
      </c>
      <c r="U1" s="103" t="s">
        <v>15</v>
      </c>
      <c r="V1" s="100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101" t="s">
        <v>22</v>
      </c>
    </row>
    <row r="2" spans="1:38" s="3" customFormat="1" x14ac:dyDescent="0.25">
      <c r="A2" s="100"/>
      <c r="B2" s="103"/>
      <c r="C2" s="100"/>
      <c r="D2" s="104"/>
      <c r="E2" s="104"/>
      <c r="F2" s="104"/>
      <c r="G2" s="11">
        <f>(SUBTOTAL(9,G4:G3208))*1</f>
        <v>31620.999999999996</v>
      </c>
      <c r="H2" s="104"/>
      <c r="I2" s="106"/>
      <c r="J2" s="103"/>
      <c r="K2" s="103"/>
      <c r="L2" s="103"/>
      <c r="M2" s="103"/>
      <c r="N2" s="103"/>
      <c r="O2" s="103"/>
      <c r="P2" s="11">
        <f>(SUBTOTAL(9,P4:P3208))*1</f>
        <v>40729.879999999954</v>
      </c>
      <c r="Q2" s="103"/>
      <c r="R2" s="6">
        <f>(SUBTOTAL(9,R4:R3208))*1</f>
        <v>16775975.950000007</v>
      </c>
      <c r="S2" s="103"/>
      <c r="T2" s="103"/>
      <c r="U2" s="103"/>
      <c r="V2" s="100"/>
      <c r="W2" s="7"/>
      <c r="X2" s="6">
        <f>(SUBTOTAL(9,X4:X3208))*1</f>
        <v>5120326.1499999966</v>
      </c>
      <c r="Y2" s="7"/>
      <c r="Z2" s="6">
        <f>(SUBTOTAL(9,Z4:Z3208))*1</f>
        <v>7717222.8000000035</v>
      </c>
      <c r="AA2" s="6">
        <f>(SUBTOTAL(9,AA4:AA3208))*1</f>
        <v>29613524.900000002</v>
      </c>
      <c r="AB2" s="102"/>
    </row>
    <row r="3" spans="1:38" s="3" customFormat="1" x14ac:dyDescent="0.25">
      <c r="A3" s="14"/>
      <c r="B3" s="5"/>
      <c r="C3" s="4"/>
      <c r="D3" s="8"/>
      <c r="E3" s="8"/>
      <c r="F3" s="8"/>
      <c r="G3" s="6"/>
      <c r="H3" s="10"/>
      <c r="I3" s="9"/>
      <c r="J3" s="13"/>
      <c r="K3" s="13"/>
      <c r="L3" s="5"/>
      <c r="M3" s="5"/>
      <c r="N3" s="5"/>
      <c r="O3" s="5"/>
      <c r="P3" s="15"/>
      <c r="Q3" s="5"/>
      <c r="R3" s="16"/>
      <c r="S3" s="5"/>
      <c r="T3" s="5"/>
      <c r="U3" s="5"/>
      <c r="V3" s="4"/>
      <c r="W3" s="7"/>
      <c r="X3" s="6"/>
      <c r="Y3" s="7"/>
      <c r="Z3" s="6"/>
      <c r="AA3" s="6"/>
      <c r="AB3" s="17"/>
    </row>
    <row r="4" spans="1:38" s="32" customFormat="1" x14ac:dyDescent="0.25">
      <c r="A4" s="18">
        <v>1</v>
      </c>
      <c r="B4" s="19">
        <v>46023</v>
      </c>
      <c r="C4" s="19">
        <v>46023</v>
      </c>
      <c r="D4" s="20" t="s">
        <v>71</v>
      </c>
      <c r="E4" s="21"/>
      <c r="F4" s="21"/>
      <c r="G4" s="21"/>
      <c r="H4" s="22">
        <v>49</v>
      </c>
      <c r="I4" s="23" t="s">
        <v>72</v>
      </c>
      <c r="J4" s="24" t="s">
        <v>23</v>
      </c>
      <c r="K4" s="23" t="s">
        <v>31</v>
      </c>
      <c r="L4" s="25" t="s">
        <v>42</v>
      </c>
      <c r="M4" s="21" t="s">
        <v>49</v>
      </c>
      <c r="N4" s="21">
        <v>45.58</v>
      </c>
      <c r="O4" s="21">
        <v>11.76</v>
      </c>
      <c r="P4" s="26">
        <f t="shared" ref="P4:P67" si="0">N4-O4</f>
        <v>33.82</v>
      </c>
      <c r="Q4" s="27">
        <v>250</v>
      </c>
      <c r="R4" s="28">
        <f t="shared" ref="R4:R67" si="1">Q4*P4</f>
        <v>8455</v>
      </c>
      <c r="S4" s="27"/>
      <c r="T4" s="29"/>
      <c r="V4" s="29" t="s">
        <v>45</v>
      </c>
      <c r="W4" s="27"/>
      <c r="X4" s="30">
        <f t="shared" ref="X4:X46" si="2">W4*P4</f>
        <v>0</v>
      </c>
      <c r="Y4" s="31"/>
      <c r="Z4" s="31">
        <f t="shared" ref="Z4:Z46" si="3">Y4*P4</f>
        <v>0</v>
      </c>
      <c r="AA4" s="29">
        <f t="shared" ref="AA4:AA46" si="4">R4+X4+Z4</f>
        <v>8455</v>
      </c>
    </row>
    <row r="5" spans="1:38" s="32" customFormat="1" x14ac:dyDescent="0.25">
      <c r="A5" s="18">
        <v>2</v>
      </c>
      <c r="B5" s="19">
        <v>46023</v>
      </c>
      <c r="C5" s="19">
        <v>46023</v>
      </c>
      <c r="D5" s="20" t="s">
        <v>73</v>
      </c>
      <c r="E5" s="21"/>
      <c r="F5" s="21"/>
      <c r="G5" s="21"/>
      <c r="H5" s="33">
        <v>151</v>
      </c>
      <c r="I5" s="23" t="s">
        <v>70</v>
      </c>
      <c r="J5" s="34" t="s">
        <v>23</v>
      </c>
      <c r="K5" s="35" t="s">
        <v>30</v>
      </c>
      <c r="L5" s="25" t="s">
        <v>39</v>
      </c>
      <c r="M5" s="21" t="s">
        <v>34</v>
      </c>
      <c r="N5" s="21">
        <v>38.68</v>
      </c>
      <c r="O5" s="21">
        <v>11.78</v>
      </c>
      <c r="P5" s="26">
        <f t="shared" si="0"/>
        <v>26.9</v>
      </c>
      <c r="Q5" s="27">
        <v>540</v>
      </c>
      <c r="R5" s="28">
        <f t="shared" si="1"/>
        <v>14526</v>
      </c>
      <c r="S5" s="27"/>
      <c r="T5" s="29"/>
      <c r="V5" s="29" t="s">
        <v>45</v>
      </c>
      <c r="W5" s="27"/>
      <c r="X5" s="30">
        <f t="shared" si="2"/>
        <v>0</v>
      </c>
      <c r="Y5" s="31"/>
      <c r="Z5" s="31">
        <f t="shared" si="3"/>
        <v>0</v>
      </c>
      <c r="AA5" s="29">
        <f t="shared" si="4"/>
        <v>14526</v>
      </c>
    </row>
    <row r="6" spans="1:38" s="32" customFormat="1" x14ac:dyDescent="0.25">
      <c r="A6" s="18">
        <v>3</v>
      </c>
      <c r="B6" s="19">
        <v>46023</v>
      </c>
      <c r="C6" s="19">
        <v>46023</v>
      </c>
      <c r="D6" s="20">
        <v>260101009</v>
      </c>
      <c r="E6" s="21" t="s">
        <v>74</v>
      </c>
      <c r="F6" s="21"/>
      <c r="G6" s="21"/>
      <c r="H6" s="36">
        <v>131</v>
      </c>
      <c r="I6" s="23" t="s">
        <v>64</v>
      </c>
      <c r="J6" s="24" t="s">
        <v>23</v>
      </c>
      <c r="K6" s="23" t="s">
        <v>31</v>
      </c>
      <c r="L6" s="25" t="s">
        <v>38</v>
      </c>
      <c r="M6" s="21" t="s">
        <v>34</v>
      </c>
      <c r="N6" s="21">
        <v>61.9</v>
      </c>
      <c r="O6" s="21">
        <v>14.96</v>
      </c>
      <c r="P6" s="26">
        <f t="shared" si="0"/>
        <v>46.94</v>
      </c>
      <c r="Q6" s="27">
        <v>535</v>
      </c>
      <c r="R6" s="28">
        <f t="shared" si="1"/>
        <v>25112.899999999998</v>
      </c>
      <c r="S6" s="27"/>
      <c r="T6" s="29"/>
      <c r="V6" s="29" t="s">
        <v>24</v>
      </c>
      <c r="W6" s="27">
        <v>145</v>
      </c>
      <c r="X6" s="30">
        <f t="shared" si="2"/>
        <v>6806.2999999999993</v>
      </c>
      <c r="Y6" s="31">
        <v>200</v>
      </c>
      <c r="Z6" s="31">
        <f t="shared" si="3"/>
        <v>9388</v>
      </c>
      <c r="AA6" s="29">
        <f t="shared" si="4"/>
        <v>41307.199999999997</v>
      </c>
    </row>
    <row r="7" spans="1:38" s="38" customFormat="1" x14ac:dyDescent="0.25">
      <c r="A7" s="18">
        <v>4</v>
      </c>
      <c r="B7" s="19">
        <v>46023</v>
      </c>
      <c r="C7" s="19">
        <v>46023</v>
      </c>
      <c r="D7" s="20">
        <v>260101010</v>
      </c>
      <c r="E7" s="21" t="s">
        <v>75</v>
      </c>
      <c r="F7" s="21"/>
      <c r="G7" s="21"/>
      <c r="H7" s="36">
        <v>131</v>
      </c>
      <c r="I7" s="23" t="s">
        <v>64</v>
      </c>
      <c r="J7" s="24" t="s">
        <v>23</v>
      </c>
      <c r="K7" s="23" t="s">
        <v>31</v>
      </c>
      <c r="L7" s="25" t="s">
        <v>56</v>
      </c>
      <c r="M7" s="21" t="s">
        <v>34</v>
      </c>
      <c r="N7" s="37">
        <v>68.08</v>
      </c>
      <c r="O7" s="21">
        <v>18.940000000000001</v>
      </c>
      <c r="P7" s="26">
        <f t="shared" si="0"/>
        <v>49.14</v>
      </c>
      <c r="Q7" s="27">
        <v>535</v>
      </c>
      <c r="R7" s="28">
        <f t="shared" si="1"/>
        <v>26289.9</v>
      </c>
      <c r="S7" s="27"/>
      <c r="T7" s="29"/>
      <c r="V7" s="29" t="s">
        <v>24</v>
      </c>
      <c r="W7" s="27">
        <v>145</v>
      </c>
      <c r="X7" s="30">
        <f t="shared" si="2"/>
        <v>7125.3</v>
      </c>
      <c r="Y7" s="31">
        <v>200</v>
      </c>
      <c r="Z7" s="31">
        <f t="shared" si="3"/>
        <v>9828</v>
      </c>
      <c r="AA7" s="29">
        <f t="shared" si="4"/>
        <v>43243.200000000004</v>
      </c>
    </row>
    <row r="8" spans="1:38" s="32" customFormat="1" x14ac:dyDescent="0.25">
      <c r="A8" s="18">
        <v>5</v>
      </c>
      <c r="B8" s="19">
        <v>46023</v>
      </c>
      <c r="C8" s="19">
        <v>46023</v>
      </c>
      <c r="D8" s="20">
        <v>260101011</v>
      </c>
      <c r="E8" s="21" t="s">
        <v>76</v>
      </c>
      <c r="F8" s="21"/>
      <c r="G8" s="21"/>
      <c r="H8" s="36">
        <v>131</v>
      </c>
      <c r="I8" s="23" t="s">
        <v>64</v>
      </c>
      <c r="J8" s="24" t="s">
        <v>23</v>
      </c>
      <c r="K8" s="23" t="s">
        <v>31</v>
      </c>
      <c r="L8" s="25" t="s">
        <v>46</v>
      </c>
      <c r="M8" s="21" t="s">
        <v>34</v>
      </c>
      <c r="N8" s="37">
        <v>62.28</v>
      </c>
      <c r="O8" s="21">
        <v>14.94</v>
      </c>
      <c r="P8" s="26">
        <f t="shared" si="0"/>
        <v>47.34</v>
      </c>
      <c r="Q8" s="27">
        <v>535</v>
      </c>
      <c r="R8" s="28">
        <f t="shared" si="1"/>
        <v>25326.9</v>
      </c>
      <c r="S8" s="27"/>
      <c r="T8" s="29"/>
      <c r="V8" s="29" t="s">
        <v>24</v>
      </c>
      <c r="W8" s="27">
        <v>145</v>
      </c>
      <c r="X8" s="30">
        <f t="shared" si="2"/>
        <v>6864.3</v>
      </c>
      <c r="Y8" s="31">
        <v>200</v>
      </c>
      <c r="Z8" s="31">
        <f t="shared" si="3"/>
        <v>9468</v>
      </c>
      <c r="AA8" s="29">
        <f t="shared" si="4"/>
        <v>41659.199999999997</v>
      </c>
    </row>
    <row r="9" spans="1:38" s="32" customFormat="1" x14ac:dyDescent="0.25">
      <c r="A9" s="18">
        <v>6</v>
      </c>
      <c r="B9" s="19">
        <v>46023</v>
      </c>
      <c r="C9" s="19">
        <v>46023</v>
      </c>
      <c r="D9" s="20">
        <v>260101012</v>
      </c>
      <c r="E9" s="21" t="s">
        <v>77</v>
      </c>
      <c r="F9" s="21"/>
      <c r="G9" s="21"/>
      <c r="H9" s="36">
        <v>131</v>
      </c>
      <c r="I9" s="23" t="s">
        <v>64</v>
      </c>
      <c r="J9" s="24" t="s">
        <v>23</v>
      </c>
      <c r="K9" s="23" t="s">
        <v>31</v>
      </c>
      <c r="L9" s="25" t="s">
        <v>51</v>
      </c>
      <c r="M9" s="21" t="s">
        <v>34</v>
      </c>
      <c r="N9" s="37">
        <v>45.86</v>
      </c>
      <c r="O9" s="37">
        <v>11.52</v>
      </c>
      <c r="P9" s="26">
        <f t="shared" si="0"/>
        <v>34.340000000000003</v>
      </c>
      <c r="Q9" s="27">
        <v>535</v>
      </c>
      <c r="R9" s="28">
        <f t="shared" si="1"/>
        <v>18371.900000000001</v>
      </c>
      <c r="S9" s="27"/>
      <c r="T9" s="29"/>
      <c r="V9" s="29" t="s">
        <v>24</v>
      </c>
      <c r="W9" s="27">
        <v>145</v>
      </c>
      <c r="X9" s="30">
        <f t="shared" si="2"/>
        <v>4979.3</v>
      </c>
      <c r="Y9" s="31">
        <v>200</v>
      </c>
      <c r="Z9" s="31">
        <f t="shared" si="3"/>
        <v>6868.0000000000009</v>
      </c>
      <c r="AA9" s="29">
        <f t="shared" si="4"/>
        <v>30219.200000000001</v>
      </c>
    </row>
    <row r="10" spans="1:38" s="32" customFormat="1" x14ac:dyDescent="0.25">
      <c r="A10" s="18">
        <v>7</v>
      </c>
      <c r="B10" s="19">
        <v>46023</v>
      </c>
      <c r="C10" s="19">
        <v>46023</v>
      </c>
      <c r="D10" s="20">
        <v>260101013</v>
      </c>
      <c r="E10" s="21" t="s">
        <v>78</v>
      </c>
      <c r="F10" s="21"/>
      <c r="G10" s="21"/>
      <c r="H10" s="36">
        <v>131</v>
      </c>
      <c r="I10" s="23" t="s">
        <v>64</v>
      </c>
      <c r="J10" s="24" t="s">
        <v>23</v>
      </c>
      <c r="K10" s="23" t="s">
        <v>31</v>
      </c>
      <c r="L10" s="25" t="s">
        <v>43</v>
      </c>
      <c r="M10" s="21" t="s">
        <v>34</v>
      </c>
      <c r="N10" s="37">
        <v>45.7</v>
      </c>
      <c r="O10" s="37">
        <v>11.18</v>
      </c>
      <c r="P10" s="26">
        <f t="shared" si="0"/>
        <v>34.520000000000003</v>
      </c>
      <c r="Q10" s="27">
        <v>535</v>
      </c>
      <c r="R10" s="28">
        <f t="shared" si="1"/>
        <v>18468.2</v>
      </c>
      <c r="S10" s="27"/>
      <c r="T10" s="29"/>
      <c r="V10" s="29" t="s">
        <v>24</v>
      </c>
      <c r="W10" s="27">
        <v>145</v>
      </c>
      <c r="X10" s="30">
        <f t="shared" si="2"/>
        <v>5005.4000000000005</v>
      </c>
      <c r="Y10" s="31">
        <v>200</v>
      </c>
      <c r="Z10" s="31">
        <f t="shared" si="3"/>
        <v>6904.0000000000009</v>
      </c>
      <c r="AA10" s="29">
        <f t="shared" si="4"/>
        <v>30377.600000000002</v>
      </c>
    </row>
    <row r="11" spans="1:38" s="32" customFormat="1" x14ac:dyDescent="0.25">
      <c r="A11" s="18">
        <v>8</v>
      </c>
      <c r="B11" s="19">
        <v>46023</v>
      </c>
      <c r="C11" s="19">
        <v>46023</v>
      </c>
      <c r="D11" s="20">
        <v>260101014</v>
      </c>
      <c r="E11" s="21" t="s">
        <v>79</v>
      </c>
      <c r="F11" s="21"/>
      <c r="G11" s="21"/>
      <c r="H11" s="36">
        <v>131</v>
      </c>
      <c r="I11" s="23" t="s">
        <v>64</v>
      </c>
      <c r="J11" s="24" t="s">
        <v>23</v>
      </c>
      <c r="K11" s="23" t="s">
        <v>31</v>
      </c>
      <c r="L11" s="25" t="s">
        <v>58</v>
      </c>
      <c r="M11" s="21" t="s">
        <v>34</v>
      </c>
      <c r="N11" s="37">
        <v>64.08</v>
      </c>
      <c r="O11" s="37">
        <v>15.62</v>
      </c>
      <c r="P11" s="26">
        <f t="shared" si="0"/>
        <v>48.46</v>
      </c>
      <c r="Q11" s="27">
        <v>535</v>
      </c>
      <c r="R11" s="28">
        <f t="shared" si="1"/>
        <v>25926.100000000002</v>
      </c>
      <c r="S11" s="27"/>
      <c r="T11" s="29"/>
      <c r="V11" s="29" t="s">
        <v>24</v>
      </c>
      <c r="W11" s="27">
        <v>145</v>
      </c>
      <c r="X11" s="30">
        <f t="shared" si="2"/>
        <v>7026.7</v>
      </c>
      <c r="Y11" s="31">
        <v>200</v>
      </c>
      <c r="Z11" s="31">
        <f t="shared" si="3"/>
        <v>9692</v>
      </c>
      <c r="AA11" s="29">
        <f t="shared" si="4"/>
        <v>42644.800000000003</v>
      </c>
      <c r="AB11" s="40"/>
      <c r="AC11" s="39"/>
      <c r="AD11" s="41"/>
      <c r="AE11" s="42"/>
      <c r="AF11" s="39"/>
      <c r="AG11" s="42"/>
      <c r="AH11" s="39"/>
      <c r="AI11" s="41"/>
      <c r="AJ11" s="39"/>
      <c r="AK11" s="41"/>
      <c r="AL11" s="41"/>
    </row>
    <row r="12" spans="1:38" s="32" customFormat="1" x14ac:dyDescent="0.25">
      <c r="A12" s="18">
        <v>9</v>
      </c>
      <c r="B12" s="19">
        <v>46023</v>
      </c>
      <c r="C12" s="19">
        <v>46023</v>
      </c>
      <c r="D12" s="20">
        <v>260101015</v>
      </c>
      <c r="E12" s="21" t="s">
        <v>80</v>
      </c>
      <c r="F12" s="21"/>
      <c r="G12" s="21"/>
      <c r="H12" s="36">
        <v>131</v>
      </c>
      <c r="I12" s="23" t="s">
        <v>64</v>
      </c>
      <c r="J12" s="24" t="s">
        <v>23</v>
      </c>
      <c r="K12" s="23" t="s">
        <v>31</v>
      </c>
      <c r="L12" s="25" t="s">
        <v>55</v>
      </c>
      <c r="M12" s="21" t="s">
        <v>32</v>
      </c>
      <c r="N12" s="37">
        <v>67.7</v>
      </c>
      <c r="O12" s="37">
        <v>17.920000000000002</v>
      </c>
      <c r="P12" s="26">
        <f t="shared" si="0"/>
        <v>49.78</v>
      </c>
      <c r="Q12" s="27">
        <v>285</v>
      </c>
      <c r="R12" s="28">
        <f t="shared" si="1"/>
        <v>14187.300000000001</v>
      </c>
      <c r="S12" s="27"/>
      <c r="T12" s="29"/>
      <c r="V12" s="29" t="s">
        <v>24</v>
      </c>
      <c r="W12" s="27">
        <v>145</v>
      </c>
      <c r="X12" s="30">
        <f t="shared" si="2"/>
        <v>7218.1</v>
      </c>
      <c r="Y12" s="31">
        <v>200</v>
      </c>
      <c r="Z12" s="31">
        <f t="shared" si="3"/>
        <v>9956</v>
      </c>
      <c r="AA12" s="29">
        <f t="shared" si="4"/>
        <v>31361.4</v>
      </c>
    </row>
    <row r="13" spans="1:38" s="32" customFormat="1" x14ac:dyDescent="0.25">
      <c r="A13" s="18">
        <v>10</v>
      </c>
      <c r="B13" s="19">
        <v>46023</v>
      </c>
      <c r="C13" s="19">
        <v>46023</v>
      </c>
      <c r="D13" s="20">
        <v>260101016</v>
      </c>
      <c r="E13" s="21" t="s">
        <v>81</v>
      </c>
      <c r="F13" s="21"/>
      <c r="G13" s="21"/>
      <c r="H13" s="36">
        <v>131</v>
      </c>
      <c r="I13" s="23" t="s">
        <v>64</v>
      </c>
      <c r="J13" s="24" t="s">
        <v>23</v>
      </c>
      <c r="K13" s="23" t="s">
        <v>31</v>
      </c>
      <c r="L13" s="43" t="s">
        <v>67</v>
      </c>
      <c r="M13" s="21" t="s">
        <v>32</v>
      </c>
      <c r="N13" s="37">
        <v>54.64</v>
      </c>
      <c r="O13" s="37">
        <v>13.3</v>
      </c>
      <c r="P13" s="26">
        <f t="shared" si="0"/>
        <v>41.34</v>
      </c>
      <c r="Q13" s="27">
        <v>285</v>
      </c>
      <c r="R13" s="28">
        <f t="shared" si="1"/>
        <v>11781.900000000001</v>
      </c>
      <c r="S13" s="27"/>
      <c r="T13" s="29"/>
      <c r="V13" s="29" t="s">
        <v>24</v>
      </c>
      <c r="W13" s="27">
        <v>145</v>
      </c>
      <c r="X13" s="30">
        <f t="shared" si="2"/>
        <v>5994.3</v>
      </c>
      <c r="Y13" s="31">
        <v>200</v>
      </c>
      <c r="Z13" s="31">
        <f t="shared" si="3"/>
        <v>8268</v>
      </c>
      <c r="AA13" s="29">
        <f t="shared" si="4"/>
        <v>26044.2</v>
      </c>
    </row>
    <row r="14" spans="1:38" s="32" customFormat="1" x14ac:dyDescent="0.25">
      <c r="A14" s="18">
        <v>11</v>
      </c>
      <c r="B14" s="19">
        <v>46023</v>
      </c>
      <c r="C14" s="19">
        <v>46023</v>
      </c>
      <c r="D14" s="20">
        <v>260101017</v>
      </c>
      <c r="E14" s="21" t="s">
        <v>82</v>
      </c>
      <c r="F14" s="21"/>
      <c r="G14" s="21"/>
      <c r="H14" s="36">
        <v>131</v>
      </c>
      <c r="I14" s="23" t="s">
        <v>64</v>
      </c>
      <c r="J14" s="24" t="s">
        <v>23</v>
      </c>
      <c r="K14" s="23" t="s">
        <v>31</v>
      </c>
      <c r="L14" s="25" t="s">
        <v>41</v>
      </c>
      <c r="M14" s="21" t="s">
        <v>32</v>
      </c>
      <c r="N14" s="37">
        <v>58.9</v>
      </c>
      <c r="O14" s="37">
        <v>15.76</v>
      </c>
      <c r="P14" s="26">
        <f t="shared" si="0"/>
        <v>43.14</v>
      </c>
      <c r="Q14" s="27">
        <v>285</v>
      </c>
      <c r="R14" s="28">
        <f t="shared" si="1"/>
        <v>12294.9</v>
      </c>
      <c r="S14" s="27"/>
      <c r="T14" s="29"/>
      <c r="V14" s="29" t="s">
        <v>24</v>
      </c>
      <c r="W14" s="27">
        <v>145</v>
      </c>
      <c r="X14" s="30">
        <f t="shared" si="2"/>
        <v>6255.3</v>
      </c>
      <c r="Y14" s="31">
        <v>200</v>
      </c>
      <c r="Z14" s="31">
        <f t="shared" si="3"/>
        <v>8628</v>
      </c>
      <c r="AA14" s="29">
        <f t="shared" si="4"/>
        <v>27178.2</v>
      </c>
    </row>
    <row r="15" spans="1:38" s="32" customFormat="1" x14ac:dyDescent="0.25">
      <c r="A15" s="18">
        <v>12</v>
      </c>
      <c r="B15" s="19">
        <v>46023</v>
      </c>
      <c r="C15" s="19">
        <v>46023</v>
      </c>
      <c r="D15" s="20">
        <v>260101018</v>
      </c>
      <c r="E15" s="21" t="s">
        <v>83</v>
      </c>
      <c r="F15" s="21"/>
      <c r="G15" s="21"/>
      <c r="H15" s="44">
        <v>117</v>
      </c>
      <c r="I15" s="45" t="s">
        <v>47</v>
      </c>
      <c r="J15" s="24" t="s">
        <v>23</v>
      </c>
      <c r="K15" s="23" t="s">
        <v>31</v>
      </c>
      <c r="L15" s="25" t="s">
        <v>54</v>
      </c>
      <c r="M15" s="21" t="s">
        <v>32</v>
      </c>
      <c r="N15" s="37">
        <v>59.58</v>
      </c>
      <c r="O15" s="37">
        <v>15.84</v>
      </c>
      <c r="P15" s="26">
        <f t="shared" si="0"/>
        <v>43.739999999999995</v>
      </c>
      <c r="Q15" s="27">
        <v>335</v>
      </c>
      <c r="R15" s="28">
        <f t="shared" si="1"/>
        <v>14652.899999999998</v>
      </c>
      <c r="S15" s="27"/>
      <c r="T15" s="29"/>
      <c r="V15" s="29" t="s">
        <v>24</v>
      </c>
      <c r="W15" s="27">
        <v>145</v>
      </c>
      <c r="X15" s="30">
        <f t="shared" si="2"/>
        <v>6342.2999999999993</v>
      </c>
      <c r="Y15" s="31">
        <v>230</v>
      </c>
      <c r="Z15" s="31">
        <f t="shared" si="3"/>
        <v>10060.199999999999</v>
      </c>
      <c r="AA15" s="29">
        <f t="shared" si="4"/>
        <v>31055.399999999994</v>
      </c>
    </row>
    <row r="16" spans="1:38" s="38" customFormat="1" x14ac:dyDescent="0.25">
      <c r="A16" s="18">
        <v>13</v>
      </c>
      <c r="B16" s="19">
        <v>46023</v>
      </c>
      <c r="C16" s="19">
        <v>46023</v>
      </c>
      <c r="D16" s="20">
        <v>260101019</v>
      </c>
      <c r="E16" s="21" t="s">
        <v>84</v>
      </c>
      <c r="F16" s="21"/>
      <c r="G16" s="21"/>
      <c r="H16" s="44">
        <v>117</v>
      </c>
      <c r="I16" s="45" t="s">
        <v>47</v>
      </c>
      <c r="J16" s="24" t="s">
        <v>23</v>
      </c>
      <c r="K16" s="23" t="s">
        <v>31</v>
      </c>
      <c r="L16" s="25" t="s">
        <v>53</v>
      </c>
      <c r="M16" s="21" t="s">
        <v>32</v>
      </c>
      <c r="N16" s="37">
        <v>45.26</v>
      </c>
      <c r="O16" s="37">
        <v>11.42</v>
      </c>
      <c r="P16" s="26">
        <f t="shared" si="0"/>
        <v>33.839999999999996</v>
      </c>
      <c r="Q16" s="27">
        <v>335</v>
      </c>
      <c r="R16" s="28">
        <f t="shared" si="1"/>
        <v>11336.4</v>
      </c>
      <c r="S16" s="27"/>
      <c r="T16" s="29"/>
      <c r="V16" s="29" t="s">
        <v>24</v>
      </c>
      <c r="W16" s="27">
        <v>145</v>
      </c>
      <c r="X16" s="30">
        <f t="shared" si="2"/>
        <v>4906.7999999999993</v>
      </c>
      <c r="Y16" s="31">
        <v>230</v>
      </c>
      <c r="Z16" s="29">
        <f t="shared" si="3"/>
        <v>7783.1999999999989</v>
      </c>
      <c r="AA16" s="29">
        <f t="shared" si="4"/>
        <v>24026.399999999998</v>
      </c>
    </row>
    <row r="17" spans="1:27" s="38" customFormat="1" x14ac:dyDescent="0.25">
      <c r="A17" s="18">
        <v>14</v>
      </c>
      <c r="B17" s="19">
        <v>46023</v>
      </c>
      <c r="C17" s="19">
        <v>46023</v>
      </c>
      <c r="D17" s="20">
        <v>260101020</v>
      </c>
      <c r="E17" s="21" t="s">
        <v>84</v>
      </c>
      <c r="F17" s="21"/>
      <c r="G17" s="21"/>
      <c r="H17" s="44">
        <v>117</v>
      </c>
      <c r="I17" s="45" t="s">
        <v>47</v>
      </c>
      <c r="J17" s="24" t="s">
        <v>23</v>
      </c>
      <c r="K17" s="23" t="s">
        <v>31</v>
      </c>
      <c r="L17" s="46" t="s">
        <v>69</v>
      </c>
      <c r="M17" s="21" t="s">
        <v>34</v>
      </c>
      <c r="N17" s="37">
        <v>56.2</v>
      </c>
      <c r="O17" s="37">
        <v>14.2</v>
      </c>
      <c r="P17" s="26">
        <f t="shared" si="0"/>
        <v>42</v>
      </c>
      <c r="Q17" s="27">
        <v>555</v>
      </c>
      <c r="R17" s="28">
        <f t="shared" si="1"/>
        <v>23310</v>
      </c>
      <c r="S17" s="27"/>
      <c r="T17" s="29"/>
      <c r="V17" s="29" t="s">
        <v>24</v>
      </c>
      <c r="W17" s="27">
        <v>145</v>
      </c>
      <c r="X17" s="30">
        <f t="shared" si="2"/>
        <v>6090</v>
      </c>
      <c r="Y17" s="31">
        <v>230</v>
      </c>
      <c r="Z17" s="29">
        <f t="shared" si="3"/>
        <v>9660</v>
      </c>
      <c r="AA17" s="29">
        <f t="shared" si="4"/>
        <v>39060</v>
      </c>
    </row>
    <row r="18" spans="1:27" s="32" customFormat="1" x14ac:dyDescent="0.25">
      <c r="A18" s="18">
        <v>15</v>
      </c>
      <c r="B18" s="19">
        <v>46023</v>
      </c>
      <c r="C18" s="19">
        <v>46023</v>
      </c>
      <c r="D18" s="20">
        <v>260101021</v>
      </c>
      <c r="E18" s="21" t="s">
        <v>85</v>
      </c>
      <c r="F18" s="21"/>
      <c r="G18" s="21"/>
      <c r="H18" s="44">
        <v>117</v>
      </c>
      <c r="I18" s="45" t="s">
        <v>47</v>
      </c>
      <c r="J18" s="24" t="s">
        <v>23</v>
      </c>
      <c r="K18" s="23" t="s">
        <v>31</v>
      </c>
      <c r="L18" s="46" t="s">
        <v>69</v>
      </c>
      <c r="M18" s="21" t="s">
        <v>34</v>
      </c>
      <c r="N18" s="37">
        <v>60.5</v>
      </c>
      <c r="O18" s="37">
        <v>15.78</v>
      </c>
      <c r="P18" s="26">
        <f t="shared" si="0"/>
        <v>44.72</v>
      </c>
      <c r="Q18" s="27">
        <v>555</v>
      </c>
      <c r="R18" s="28">
        <f t="shared" si="1"/>
        <v>24819.599999999999</v>
      </c>
      <c r="S18" s="27"/>
      <c r="T18" s="29"/>
      <c r="V18" s="29" t="s">
        <v>24</v>
      </c>
      <c r="W18" s="27">
        <v>145</v>
      </c>
      <c r="X18" s="30">
        <f t="shared" si="2"/>
        <v>6484.4</v>
      </c>
      <c r="Y18" s="31">
        <v>230</v>
      </c>
      <c r="Z18" s="29">
        <f t="shared" si="3"/>
        <v>10285.6</v>
      </c>
      <c r="AA18" s="29">
        <f t="shared" si="4"/>
        <v>41589.599999999999</v>
      </c>
    </row>
    <row r="19" spans="1:27" s="32" customFormat="1" x14ac:dyDescent="0.25">
      <c r="A19" s="18">
        <v>16</v>
      </c>
      <c r="B19" s="19">
        <v>46023</v>
      </c>
      <c r="C19" s="19">
        <v>46024</v>
      </c>
      <c r="D19" s="20">
        <v>260102001</v>
      </c>
      <c r="E19" s="21" t="s">
        <v>86</v>
      </c>
      <c r="F19" s="21"/>
      <c r="G19" s="21"/>
      <c r="H19" s="44">
        <v>117</v>
      </c>
      <c r="I19" s="45" t="s">
        <v>47</v>
      </c>
      <c r="J19" s="24" t="s">
        <v>23</v>
      </c>
      <c r="K19" s="23" t="s">
        <v>31</v>
      </c>
      <c r="L19" s="25" t="s">
        <v>60</v>
      </c>
      <c r="M19" s="21" t="s">
        <v>34</v>
      </c>
      <c r="N19" s="37">
        <v>58.48</v>
      </c>
      <c r="O19" s="37">
        <v>14.06</v>
      </c>
      <c r="P19" s="26">
        <f t="shared" si="0"/>
        <v>44.419999999999995</v>
      </c>
      <c r="Q19" s="27">
        <v>555</v>
      </c>
      <c r="R19" s="28">
        <f t="shared" si="1"/>
        <v>24653.1</v>
      </c>
      <c r="S19" s="27"/>
      <c r="T19" s="29"/>
      <c r="V19" s="29" t="s">
        <v>24</v>
      </c>
      <c r="W19" s="27">
        <v>145</v>
      </c>
      <c r="X19" s="30">
        <f t="shared" si="2"/>
        <v>6440.9</v>
      </c>
      <c r="Y19" s="31">
        <v>230</v>
      </c>
      <c r="Z19" s="29">
        <f t="shared" si="3"/>
        <v>10216.599999999999</v>
      </c>
      <c r="AA19" s="29">
        <f t="shared" si="4"/>
        <v>41310.6</v>
      </c>
    </row>
    <row r="20" spans="1:27" s="32" customFormat="1" x14ac:dyDescent="0.25">
      <c r="A20" s="18">
        <v>17</v>
      </c>
      <c r="B20" s="19">
        <v>46023</v>
      </c>
      <c r="C20" s="19">
        <v>46024</v>
      </c>
      <c r="D20" s="47">
        <v>260102002</v>
      </c>
      <c r="E20" s="21" t="s">
        <v>87</v>
      </c>
      <c r="F20" s="38"/>
      <c r="G20" s="21"/>
      <c r="H20" s="44">
        <v>117</v>
      </c>
      <c r="I20" s="45" t="s">
        <v>47</v>
      </c>
      <c r="J20" s="24" t="s">
        <v>23</v>
      </c>
      <c r="K20" s="23" t="s">
        <v>31</v>
      </c>
      <c r="L20" s="25" t="s">
        <v>61</v>
      </c>
      <c r="M20" s="21" t="s">
        <v>32</v>
      </c>
      <c r="N20" s="37">
        <v>59.64</v>
      </c>
      <c r="O20" s="37">
        <v>15.46</v>
      </c>
      <c r="P20" s="26">
        <f t="shared" si="0"/>
        <v>44.18</v>
      </c>
      <c r="Q20" s="27">
        <v>335</v>
      </c>
      <c r="R20" s="28">
        <f t="shared" si="1"/>
        <v>14800.3</v>
      </c>
      <c r="S20" s="27"/>
      <c r="T20" s="29"/>
      <c r="V20" s="29" t="s">
        <v>24</v>
      </c>
      <c r="W20" s="27">
        <v>145</v>
      </c>
      <c r="X20" s="30">
        <f t="shared" si="2"/>
        <v>6406.1</v>
      </c>
      <c r="Y20" s="31">
        <v>230</v>
      </c>
      <c r="Z20" s="29">
        <f t="shared" si="3"/>
        <v>10161.4</v>
      </c>
      <c r="AA20" s="29">
        <f t="shared" si="4"/>
        <v>31367.800000000003</v>
      </c>
    </row>
    <row r="21" spans="1:27" s="38" customFormat="1" x14ac:dyDescent="0.25">
      <c r="A21" s="18">
        <v>18</v>
      </c>
      <c r="B21" s="19">
        <v>46023</v>
      </c>
      <c r="C21" s="19">
        <v>46024</v>
      </c>
      <c r="D21" s="20">
        <v>260102003</v>
      </c>
      <c r="E21" s="21" t="s">
        <v>88</v>
      </c>
      <c r="F21" s="21"/>
      <c r="G21" s="21"/>
      <c r="H21" s="44">
        <v>117</v>
      </c>
      <c r="I21" s="45" t="s">
        <v>47</v>
      </c>
      <c r="J21" s="24" t="s">
        <v>23</v>
      </c>
      <c r="K21" s="23" t="s">
        <v>31</v>
      </c>
      <c r="L21" s="25" t="s">
        <v>52</v>
      </c>
      <c r="M21" s="21" t="s">
        <v>34</v>
      </c>
      <c r="N21" s="37">
        <v>63.34</v>
      </c>
      <c r="O21" s="37">
        <v>15.42</v>
      </c>
      <c r="P21" s="26">
        <f t="shared" si="0"/>
        <v>47.92</v>
      </c>
      <c r="Q21" s="27">
        <v>555</v>
      </c>
      <c r="R21" s="28">
        <f t="shared" si="1"/>
        <v>26595.600000000002</v>
      </c>
      <c r="S21" s="27"/>
      <c r="T21" s="29"/>
      <c r="V21" s="29" t="s">
        <v>24</v>
      </c>
      <c r="W21" s="27">
        <v>145</v>
      </c>
      <c r="X21" s="30">
        <f t="shared" si="2"/>
        <v>6948.4000000000005</v>
      </c>
      <c r="Y21" s="31">
        <v>230</v>
      </c>
      <c r="Z21" s="29">
        <f t="shared" si="3"/>
        <v>11021.6</v>
      </c>
      <c r="AA21" s="29">
        <f t="shared" si="4"/>
        <v>44565.599999999999</v>
      </c>
    </row>
    <row r="22" spans="1:27" s="38" customFormat="1" x14ac:dyDescent="0.25">
      <c r="A22" s="18">
        <v>19</v>
      </c>
      <c r="B22" s="19">
        <v>46023</v>
      </c>
      <c r="C22" s="19">
        <v>46024</v>
      </c>
      <c r="D22" s="20">
        <v>260102004</v>
      </c>
      <c r="E22" s="21" t="s">
        <v>89</v>
      </c>
      <c r="F22" s="21"/>
      <c r="G22" s="21"/>
      <c r="H22" s="44">
        <v>117</v>
      </c>
      <c r="I22" s="45" t="s">
        <v>47</v>
      </c>
      <c r="J22" s="24" t="s">
        <v>23</v>
      </c>
      <c r="K22" s="23" t="s">
        <v>31</v>
      </c>
      <c r="L22" s="25" t="s">
        <v>43</v>
      </c>
      <c r="M22" s="21" t="s">
        <v>32</v>
      </c>
      <c r="N22" s="37">
        <v>45.76</v>
      </c>
      <c r="O22" s="37">
        <v>11.26</v>
      </c>
      <c r="P22" s="26">
        <f t="shared" si="0"/>
        <v>34.5</v>
      </c>
      <c r="Q22" s="27">
        <v>335</v>
      </c>
      <c r="R22" s="28">
        <f t="shared" si="1"/>
        <v>11557.5</v>
      </c>
      <c r="S22" s="27"/>
      <c r="T22" s="29"/>
      <c r="V22" s="29" t="s">
        <v>24</v>
      </c>
      <c r="W22" s="27">
        <v>145</v>
      </c>
      <c r="X22" s="30">
        <f t="shared" si="2"/>
        <v>5002.5</v>
      </c>
      <c r="Y22" s="31">
        <v>230</v>
      </c>
      <c r="Z22" s="29">
        <f t="shared" si="3"/>
        <v>7935</v>
      </c>
      <c r="AA22" s="29">
        <f t="shared" si="4"/>
        <v>24495</v>
      </c>
    </row>
    <row r="23" spans="1:27" s="32" customFormat="1" x14ac:dyDescent="0.25">
      <c r="A23" s="18">
        <v>20</v>
      </c>
      <c r="B23" s="19">
        <v>46023</v>
      </c>
      <c r="C23" s="19">
        <v>46024</v>
      </c>
      <c r="D23" s="20">
        <v>260102005</v>
      </c>
      <c r="E23" s="21" t="s">
        <v>90</v>
      </c>
      <c r="F23" s="21"/>
      <c r="G23" s="21"/>
      <c r="H23" s="44">
        <v>117</v>
      </c>
      <c r="I23" s="45" t="s">
        <v>47</v>
      </c>
      <c r="J23" s="24" t="s">
        <v>23</v>
      </c>
      <c r="K23" s="23" t="s">
        <v>31</v>
      </c>
      <c r="L23" s="46" t="s">
        <v>53</v>
      </c>
      <c r="M23" s="21" t="s">
        <v>34</v>
      </c>
      <c r="N23" s="37">
        <v>46.86</v>
      </c>
      <c r="O23" s="37">
        <v>11.5</v>
      </c>
      <c r="P23" s="26">
        <f t="shared" si="0"/>
        <v>35.36</v>
      </c>
      <c r="Q23" s="27">
        <v>555</v>
      </c>
      <c r="R23" s="28">
        <f t="shared" si="1"/>
        <v>19624.8</v>
      </c>
      <c r="S23" s="27"/>
      <c r="T23" s="29"/>
      <c r="V23" s="29" t="s">
        <v>24</v>
      </c>
      <c r="W23" s="27">
        <v>145</v>
      </c>
      <c r="X23" s="30">
        <f t="shared" si="2"/>
        <v>5127.2</v>
      </c>
      <c r="Y23" s="31">
        <v>230</v>
      </c>
      <c r="Z23" s="29">
        <f t="shared" si="3"/>
        <v>8132.8</v>
      </c>
      <c r="AA23" s="29">
        <f t="shared" si="4"/>
        <v>32884.800000000003</v>
      </c>
    </row>
    <row r="24" spans="1:27" s="32" customFormat="1" x14ac:dyDescent="0.25">
      <c r="A24" s="18">
        <v>21</v>
      </c>
      <c r="B24" s="19">
        <v>46023</v>
      </c>
      <c r="C24" s="19">
        <v>46024</v>
      </c>
      <c r="D24" s="20">
        <v>260102006</v>
      </c>
      <c r="E24" s="21" t="s">
        <v>91</v>
      </c>
      <c r="F24" s="21"/>
      <c r="G24" s="21"/>
      <c r="H24" s="48">
        <v>42</v>
      </c>
      <c r="I24" s="23" t="s">
        <v>44</v>
      </c>
      <c r="J24" s="49" t="s">
        <v>23</v>
      </c>
      <c r="K24" s="23" t="s">
        <v>31</v>
      </c>
      <c r="L24" s="25" t="s">
        <v>50</v>
      </c>
      <c r="M24" s="21" t="s">
        <v>35</v>
      </c>
      <c r="N24" s="37">
        <v>65.099999999999994</v>
      </c>
      <c r="O24" s="37">
        <v>16.760000000000002</v>
      </c>
      <c r="P24" s="26">
        <f t="shared" si="0"/>
        <v>48.339999999999989</v>
      </c>
      <c r="Q24" s="27">
        <v>470</v>
      </c>
      <c r="R24" s="28">
        <f t="shared" si="1"/>
        <v>22719.799999999996</v>
      </c>
      <c r="S24" s="27"/>
      <c r="T24" s="29"/>
      <c r="V24" s="29" t="s">
        <v>24</v>
      </c>
      <c r="W24" s="27">
        <v>145</v>
      </c>
      <c r="X24" s="30">
        <f t="shared" si="2"/>
        <v>7009.2999999999984</v>
      </c>
      <c r="Y24" s="31">
        <v>260</v>
      </c>
      <c r="Z24" s="29">
        <f t="shared" si="3"/>
        <v>12568.399999999998</v>
      </c>
      <c r="AA24" s="29">
        <f t="shared" si="4"/>
        <v>42297.499999999993</v>
      </c>
    </row>
    <row r="25" spans="1:27" s="32" customFormat="1" x14ac:dyDescent="0.25">
      <c r="A25" s="18">
        <v>22</v>
      </c>
      <c r="B25" s="19">
        <v>46023</v>
      </c>
      <c r="C25" s="19">
        <v>46024</v>
      </c>
      <c r="D25" s="20">
        <v>260102007</v>
      </c>
      <c r="E25" s="21" t="s">
        <v>92</v>
      </c>
      <c r="F25" s="21"/>
      <c r="G25" s="21"/>
      <c r="H25" s="48">
        <v>42</v>
      </c>
      <c r="I25" s="23" t="s">
        <v>44</v>
      </c>
      <c r="J25" s="49" t="s">
        <v>23</v>
      </c>
      <c r="K25" s="23" t="s">
        <v>31</v>
      </c>
      <c r="L25" s="50" t="s">
        <v>42</v>
      </c>
      <c r="M25" s="21" t="s">
        <v>35</v>
      </c>
      <c r="N25" s="37">
        <v>51.22</v>
      </c>
      <c r="O25" s="37">
        <v>11.74</v>
      </c>
      <c r="P25" s="26">
        <f t="shared" si="0"/>
        <v>39.479999999999997</v>
      </c>
      <c r="Q25" s="27">
        <v>470</v>
      </c>
      <c r="R25" s="28">
        <f t="shared" si="1"/>
        <v>18555.599999999999</v>
      </c>
      <c r="S25" s="27"/>
      <c r="T25" s="29"/>
      <c r="V25" s="29" t="s">
        <v>24</v>
      </c>
      <c r="W25" s="27">
        <v>145</v>
      </c>
      <c r="X25" s="30">
        <f t="shared" si="2"/>
        <v>5724.5999999999995</v>
      </c>
      <c r="Y25" s="31">
        <v>260</v>
      </c>
      <c r="Z25" s="29">
        <f t="shared" si="3"/>
        <v>10264.799999999999</v>
      </c>
      <c r="AA25" s="29">
        <f t="shared" si="4"/>
        <v>34545</v>
      </c>
    </row>
    <row r="26" spans="1:27" s="32" customFormat="1" x14ac:dyDescent="0.25">
      <c r="A26" s="18">
        <v>23</v>
      </c>
      <c r="B26" s="19">
        <v>46023</v>
      </c>
      <c r="C26" s="19">
        <v>46024</v>
      </c>
      <c r="D26" s="20">
        <v>260102008</v>
      </c>
      <c r="E26" s="21" t="s">
        <v>93</v>
      </c>
      <c r="F26" s="21"/>
      <c r="G26" s="21"/>
      <c r="H26" s="48">
        <v>42</v>
      </c>
      <c r="I26" s="23" t="s">
        <v>44</v>
      </c>
      <c r="J26" s="49" t="s">
        <v>23</v>
      </c>
      <c r="K26" s="23" t="s">
        <v>31</v>
      </c>
      <c r="L26" s="46" t="s">
        <v>40</v>
      </c>
      <c r="M26" s="21" t="s">
        <v>35</v>
      </c>
      <c r="N26" s="37">
        <v>51.14</v>
      </c>
      <c r="O26" s="37">
        <v>11.4</v>
      </c>
      <c r="P26" s="26">
        <f t="shared" si="0"/>
        <v>39.74</v>
      </c>
      <c r="Q26" s="27">
        <v>470</v>
      </c>
      <c r="R26" s="28">
        <f t="shared" si="1"/>
        <v>18677.8</v>
      </c>
      <c r="S26" s="27"/>
      <c r="T26" s="29"/>
      <c r="V26" s="29" t="s">
        <v>24</v>
      </c>
      <c r="W26" s="27">
        <v>145</v>
      </c>
      <c r="X26" s="30">
        <f t="shared" si="2"/>
        <v>5762.3</v>
      </c>
      <c r="Y26" s="31">
        <v>260</v>
      </c>
      <c r="Z26" s="29">
        <f t="shared" si="3"/>
        <v>10332.4</v>
      </c>
      <c r="AA26" s="29">
        <f t="shared" si="4"/>
        <v>34772.5</v>
      </c>
    </row>
    <row r="27" spans="1:27" s="32" customFormat="1" x14ac:dyDescent="0.25">
      <c r="A27" s="18">
        <v>26</v>
      </c>
      <c r="B27" s="19">
        <v>46023</v>
      </c>
      <c r="C27" s="19">
        <v>46024</v>
      </c>
      <c r="D27" s="50">
        <v>260102009</v>
      </c>
      <c r="E27" s="21" t="s">
        <v>94</v>
      </c>
      <c r="F27" s="21"/>
      <c r="G27" s="21"/>
      <c r="H27" s="48">
        <v>42</v>
      </c>
      <c r="I27" s="23" t="s">
        <v>44</v>
      </c>
      <c r="J27" s="49" t="s">
        <v>23</v>
      </c>
      <c r="K27" s="23" t="s">
        <v>31</v>
      </c>
      <c r="L27" s="46" t="s">
        <v>39</v>
      </c>
      <c r="M27" s="21" t="s">
        <v>35</v>
      </c>
      <c r="N27" s="37">
        <v>48.86</v>
      </c>
      <c r="O27" s="37">
        <v>11.78</v>
      </c>
      <c r="P27" s="26">
        <f t="shared" si="0"/>
        <v>37.08</v>
      </c>
      <c r="Q27" s="27">
        <v>470</v>
      </c>
      <c r="R27" s="28">
        <f t="shared" si="1"/>
        <v>17427.599999999999</v>
      </c>
      <c r="S27" s="27"/>
      <c r="T27" s="29"/>
      <c r="V27" s="29" t="s">
        <v>24</v>
      </c>
      <c r="W27" s="27">
        <v>145</v>
      </c>
      <c r="X27" s="30">
        <f t="shared" si="2"/>
        <v>5376.5999999999995</v>
      </c>
      <c r="Y27" s="31">
        <v>260</v>
      </c>
      <c r="Z27" s="29">
        <f t="shared" si="3"/>
        <v>9640.7999999999993</v>
      </c>
      <c r="AA27" s="29">
        <f t="shared" si="4"/>
        <v>32444.999999999996</v>
      </c>
    </row>
    <row r="28" spans="1:27" s="38" customFormat="1" x14ac:dyDescent="0.25">
      <c r="A28" s="18">
        <v>29</v>
      </c>
      <c r="B28" s="19">
        <v>46023</v>
      </c>
      <c r="C28" s="19">
        <v>46024</v>
      </c>
      <c r="D28" s="20">
        <v>260102010</v>
      </c>
      <c r="E28" s="21" t="s">
        <v>95</v>
      </c>
      <c r="F28" s="21"/>
      <c r="G28" s="21"/>
      <c r="H28" s="48">
        <v>42</v>
      </c>
      <c r="I28" s="23" t="s">
        <v>44</v>
      </c>
      <c r="J28" s="49" t="s">
        <v>23</v>
      </c>
      <c r="K28" s="23" t="s">
        <v>31</v>
      </c>
      <c r="L28" s="51" t="s">
        <v>55</v>
      </c>
      <c r="M28" s="21" t="s">
        <v>32</v>
      </c>
      <c r="N28" s="37">
        <v>68.12</v>
      </c>
      <c r="O28" s="37">
        <v>18.22</v>
      </c>
      <c r="P28" s="26">
        <f t="shared" si="0"/>
        <v>49.900000000000006</v>
      </c>
      <c r="Q28" s="27">
        <v>285</v>
      </c>
      <c r="R28" s="28">
        <f t="shared" si="1"/>
        <v>14221.500000000002</v>
      </c>
      <c r="S28" s="21"/>
      <c r="T28" s="29"/>
      <c r="V28" s="29" t="s">
        <v>24</v>
      </c>
      <c r="W28" s="27">
        <v>145</v>
      </c>
      <c r="X28" s="30">
        <f t="shared" si="2"/>
        <v>7235.5000000000009</v>
      </c>
      <c r="Y28" s="31">
        <v>260</v>
      </c>
      <c r="Z28" s="29">
        <f t="shared" si="3"/>
        <v>12974.000000000002</v>
      </c>
      <c r="AA28" s="29">
        <f t="shared" si="4"/>
        <v>34431.000000000007</v>
      </c>
    </row>
    <row r="29" spans="1:27" s="38" customFormat="1" x14ac:dyDescent="0.25">
      <c r="A29" s="18">
        <v>30</v>
      </c>
      <c r="B29" s="19">
        <v>46023</v>
      </c>
      <c r="C29" s="19">
        <v>46024</v>
      </c>
      <c r="D29" s="20">
        <v>260102011</v>
      </c>
      <c r="E29" s="21" t="s">
        <v>96</v>
      </c>
      <c r="F29" s="21"/>
      <c r="G29" s="21"/>
      <c r="H29" s="48">
        <v>42</v>
      </c>
      <c r="I29" s="23" t="s">
        <v>44</v>
      </c>
      <c r="J29" s="49" t="s">
        <v>23</v>
      </c>
      <c r="K29" s="23" t="s">
        <v>31</v>
      </c>
      <c r="L29" s="46" t="s">
        <v>68</v>
      </c>
      <c r="M29" s="21" t="s">
        <v>32</v>
      </c>
      <c r="N29" s="37">
        <v>59.06</v>
      </c>
      <c r="O29" s="37">
        <v>15.74</v>
      </c>
      <c r="P29" s="26">
        <f t="shared" si="0"/>
        <v>43.32</v>
      </c>
      <c r="Q29" s="27">
        <v>285</v>
      </c>
      <c r="R29" s="28">
        <f t="shared" si="1"/>
        <v>12346.2</v>
      </c>
      <c r="S29" s="21"/>
      <c r="T29" s="29"/>
      <c r="V29" s="29" t="s">
        <v>24</v>
      </c>
      <c r="W29" s="27">
        <v>145</v>
      </c>
      <c r="X29" s="30">
        <f t="shared" si="2"/>
        <v>6281.4</v>
      </c>
      <c r="Y29" s="31">
        <v>260</v>
      </c>
      <c r="Z29" s="29">
        <f t="shared" si="3"/>
        <v>11263.2</v>
      </c>
      <c r="AA29" s="29">
        <f t="shared" si="4"/>
        <v>29890.799999999999</v>
      </c>
    </row>
    <row r="30" spans="1:27" s="32" customFormat="1" x14ac:dyDescent="0.25">
      <c r="A30" s="18">
        <v>34</v>
      </c>
      <c r="B30" s="19">
        <v>46023</v>
      </c>
      <c r="C30" s="19">
        <v>46024</v>
      </c>
      <c r="D30" s="25">
        <v>260102012</v>
      </c>
      <c r="E30" s="21" t="s">
        <v>97</v>
      </c>
      <c r="F30" s="21"/>
      <c r="G30" s="21"/>
      <c r="H30" s="48">
        <v>42</v>
      </c>
      <c r="I30" s="23" t="s">
        <v>44</v>
      </c>
      <c r="J30" s="49" t="s">
        <v>23</v>
      </c>
      <c r="K30" s="23" t="s">
        <v>31</v>
      </c>
      <c r="L30" s="46" t="s">
        <v>51</v>
      </c>
      <c r="M30" s="21" t="s">
        <v>35</v>
      </c>
      <c r="N30" s="37">
        <v>51</v>
      </c>
      <c r="O30" s="37">
        <v>11.46</v>
      </c>
      <c r="P30" s="26">
        <f t="shared" si="0"/>
        <v>39.54</v>
      </c>
      <c r="Q30" s="27">
        <v>470</v>
      </c>
      <c r="R30" s="28">
        <f t="shared" si="1"/>
        <v>18583.8</v>
      </c>
      <c r="S30" s="27"/>
      <c r="T30" s="29"/>
      <c r="V30" s="29" t="s">
        <v>24</v>
      </c>
      <c r="W30" s="27">
        <v>145</v>
      </c>
      <c r="X30" s="30">
        <f t="shared" si="2"/>
        <v>5733.3</v>
      </c>
      <c r="Y30" s="31">
        <v>260</v>
      </c>
      <c r="Z30" s="29">
        <f t="shared" si="3"/>
        <v>10280.4</v>
      </c>
      <c r="AA30" s="29">
        <f t="shared" si="4"/>
        <v>34597.5</v>
      </c>
    </row>
    <row r="31" spans="1:27" s="38" customFormat="1" x14ac:dyDescent="0.25">
      <c r="A31" s="18">
        <v>35</v>
      </c>
      <c r="B31" s="19">
        <v>46023</v>
      </c>
      <c r="C31" s="19">
        <v>46024</v>
      </c>
      <c r="D31" s="25">
        <v>260102013</v>
      </c>
      <c r="E31" s="21" t="s">
        <v>98</v>
      </c>
      <c r="F31" s="21"/>
      <c r="G31" s="21"/>
      <c r="H31" s="48">
        <v>42</v>
      </c>
      <c r="I31" s="23" t="s">
        <v>44</v>
      </c>
      <c r="J31" s="49" t="s">
        <v>23</v>
      </c>
      <c r="K31" s="23" t="s">
        <v>31</v>
      </c>
      <c r="L31" s="46" t="s">
        <v>37</v>
      </c>
      <c r="M31" s="21" t="s">
        <v>32</v>
      </c>
      <c r="N31" s="37">
        <v>59.46</v>
      </c>
      <c r="O31" s="37">
        <v>15.86</v>
      </c>
      <c r="P31" s="26">
        <f t="shared" si="0"/>
        <v>43.6</v>
      </c>
      <c r="Q31" s="27">
        <v>285</v>
      </c>
      <c r="R31" s="28">
        <f t="shared" si="1"/>
        <v>12426</v>
      </c>
      <c r="S31" s="27"/>
      <c r="T31" s="29"/>
      <c r="V31" s="29" t="s">
        <v>24</v>
      </c>
      <c r="W31" s="27">
        <v>145</v>
      </c>
      <c r="X31" s="30">
        <f t="shared" si="2"/>
        <v>6322</v>
      </c>
      <c r="Y31" s="31">
        <v>260</v>
      </c>
      <c r="Z31" s="31">
        <f t="shared" si="3"/>
        <v>11336</v>
      </c>
      <c r="AA31" s="29">
        <f t="shared" si="4"/>
        <v>30084</v>
      </c>
    </row>
    <row r="32" spans="1:27" s="32" customFormat="1" x14ac:dyDescent="0.25">
      <c r="A32" s="18">
        <v>36</v>
      </c>
      <c r="B32" s="19">
        <v>46023</v>
      </c>
      <c r="C32" s="19">
        <v>46024</v>
      </c>
      <c r="D32" s="20">
        <v>260102014</v>
      </c>
      <c r="E32" s="21" t="s">
        <v>99</v>
      </c>
      <c r="F32" s="21"/>
      <c r="G32" s="21"/>
      <c r="H32" s="48">
        <v>42</v>
      </c>
      <c r="I32" s="23" t="s">
        <v>44</v>
      </c>
      <c r="J32" s="49" t="s">
        <v>23</v>
      </c>
      <c r="K32" s="23" t="s">
        <v>31</v>
      </c>
      <c r="L32" s="46" t="s">
        <v>46</v>
      </c>
      <c r="M32" s="21" t="s">
        <v>35</v>
      </c>
      <c r="N32" s="37">
        <v>60.44</v>
      </c>
      <c r="O32" s="37">
        <v>14.98</v>
      </c>
      <c r="P32" s="26">
        <f t="shared" si="0"/>
        <v>45.459999999999994</v>
      </c>
      <c r="Q32" s="27">
        <v>470</v>
      </c>
      <c r="R32" s="28">
        <f t="shared" si="1"/>
        <v>21366.199999999997</v>
      </c>
      <c r="S32" s="27"/>
      <c r="T32" s="29"/>
      <c r="V32" s="29" t="s">
        <v>24</v>
      </c>
      <c r="W32" s="27">
        <v>145</v>
      </c>
      <c r="X32" s="30">
        <f t="shared" si="2"/>
        <v>6591.6999999999989</v>
      </c>
      <c r="Y32" s="31">
        <v>260</v>
      </c>
      <c r="Z32" s="31">
        <f t="shared" si="3"/>
        <v>11819.599999999999</v>
      </c>
      <c r="AA32" s="29">
        <f t="shared" si="4"/>
        <v>39777.499999999993</v>
      </c>
    </row>
    <row r="33" spans="1:27" s="38" customFormat="1" x14ac:dyDescent="0.25">
      <c r="A33" s="18">
        <v>37</v>
      </c>
      <c r="B33" s="19">
        <v>46023</v>
      </c>
      <c r="C33" s="19">
        <v>46024</v>
      </c>
      <c r="D33" s="20">
        <v>260102015</v>
      </c>
      <c r="E33" s="21" t="s">
        <v>100</v>
      </c>
      <c r="F33" s="21"/>
      <c r="G33" s="21"/>
      <c r="H33" s="48">
        <v>42</v>
      </c>
      <c r="I33" s="23" t="s">
        <v>44</v>
      </c>
      <c r="J33" s="49" t="s">
        <v>23</v>
      </c>
      <c r="K33" s="23" t="s">
        <v>31</v>
      </c>
      <c r="L33" s="46" t="s">
        <v>41</v>
      </c>
      <c r="M33" s="21" t="s">
        <v>35</v>
      </c>
      <c r="N33" s="21">
        <v>66.38</v>
      </c>
      <c r="O33" s="37">
        <v>15.74</v>
      </c>
      <c r="P33" s="26">
        <f t="shared" si="0"/>
        <v>50.639999999999993</v>
      </c>
      <c r="Q33" s="27">
        <v>470</v>
      </c>
      <c r="R33" s="28">
        <f t="shared" si="1"/>
        <v>23800.799999999996</v>
      </c>
      <c r="S33" s="21"/>
      <c r="T33" s="29"/>
      <c r="V33" s="29" t="s">
        <v>24</v>
      </c>
      <c r="W33" s="27">
        <v>145</v>
      </c>
      <c r="X33" s="30">
        <f t="shared" si="2"/>
        <v>7342.7999999999993</v>
      </c>
      <c r="Y33" s="31">
        <v>260</v>
      </c>
      <c r="Z33" s="29">
        <f t="shared" si="3"/>
        <v>13166.399999999998</v>
      </c>
      <c r="AA33" s="29">
        <f t="shared" si="4"/>
        <v>44309.999999999993</v>
      </c>
    </row>
    <row r="34" spans="1:27" s="32" customFormat="1" x14ac:dyDescent="0.25">
      <c r="A34" s="18">
        <v>38</v>
      </c>
      <c r="B34" s="19">
        <v>46023</v>
      </c>
      <c r="C34" s="19">
        <v>46024</v>
      </c>
      <c r="D34" s="20">
        <v>260102018</v>
      </c>
      <c r="E34" s="21" t="s">
        <v>101</v>
      </c>
      <c r="F34" s="21"/>
      <c r="G34" s="21"/>
      <c r="H34" s="44">
        <v>115</v>
      </c>
      <c r="I34" s="23" t="s">
        <v>33</v>
      </c>
      <c r="J34" s="24" t="s">
        <v>23</v>
      </c>
      <c r="K34" s="35" t="s">
        <v>31</v>
      </c>
      <c r="L34" s="25" t="s">
        <v>38</v>
      </c>
      <c r="M34" s="21" t="s">
        <v>34</v>
      </c>
      <c r="N34" s="21">
        <v>61.98</v>
      </c>
      <c r="O34" s="37">
        <v>15.08</v>
      </c>
      <c r="P34" s="26">
        <f t="shared" si="0"/>
        <v>46.9</v>
      </c>
      <c r="Q34" s="27">
        <v>545</v>
      </c>
      <c r="R34" s="28">
        <f t="shared" si="1"/>
        <v>25560.5</v>
      </c>
      <c r="S34" s="27"/>
      <c r="T34" s="29"/>
      <c r="V34" s="29" t="s">
        <v>24</v>
      </c>
      <c r="W34" s="27">
        <v>145</v>
      </c>
      <c r="X34" s="30">
        <f t="shared" si="2"/>
        <v>6800.5</v>
      </c>
      <c r="Y34" s="31">
        <v>260</v>
      </c>
      <c r="Z34" s="29">
        <f t="shared" si="3"/>
        <v>12194</v>
      </c>
      <c r="AA34" s="29">
        <f t="shared" si="4"/>
        <v>44555</v>
      </c>
    </row>
    <row r="35" spans="1:27" s="32" customFormat="1" x14ac:dyDescent="0.25">
      <c r="A35" s="18">
        <v>39</v>
      </c>
      <c r="B35" s="19">
        <v>46023</v>
      </c>
      <c r="C35" s="19">
        <v>46024</v>
      </c>
      <c r="D35" s="20">
        <v>260102021</v>
      </c>
      <c r="E35" s="21" t="s">
        <v>102</v>
      </c>
      <c r="F35" s="21"/>
      <c r="G35" s="21"/>
      <c r="H35" s="44">
        <v>115</v>
      </c>
      <c r="I35" s="23" t="s">
        <v>33</v>
      </c>
      <c r="J35" s="24" t="s">
        <v>23</v>
      </c>
      <c r="K35" s="35" t="s">
        <v>31</v>
      </c>
      <c r="L35" s="25" t="s">
        <v>59</v>
      </c>
      <c r="M35" s="21" t="s">
        <v>34</v>
      </c>
      <c r="N35" s="21">
        <v>63.62</v>
      </c>
      <c r="O35" s="37">
        <v>16.399999999999999</v>
      </c>
      <c r="P35" s="26">
        <f t="shared" si="0"/>
        <v>47.22</v>
      </c>
      <c r="Q35" s="27">
        <v>545</v>
      </c>
      <c r="R35" s="28">
        <f t="shared" si="1"/>
        <v>25734.899999999998</v>
      </c>
      <c r="S35" s="27"/>
      <c r="T35" s="29"/>
      <c r="V35" s="29" t="s">
        <v>24</v>
      </c>
      <c r="W35" s="27">
        <v>145</v>
      </c>
      <c r="X35" s="30">
        <f t="shared" si="2"/>
        <v>6846.9</v>
      </c>
      <c r="Y35" s="31">
        <v>260</v>
      </c>
      <c r="Z35" s="29">
        <f t="shared" si="3"/>
        <v>12277.199999999999</v>
      </c>
      <c r="AA35" s="29">
        <f t="shared" si="4"/>
        <v>44858.999999999993</v>
      </c>
    </row>
    <row r="36" spans="1:27" s="32" customFormat="1" x14ac:dyDescent="0.25">
      <c r="A36" s="18">
        <v>40</v>
      </c>
      <c r="B36" s="19">
        <v>46023</v>
      </c>
      <c r="C36" s="19">
        <v>46024</v>
      </c>
      <c r="D36" s="20">
        <v>260102019</v>
      </c>
      <c r="E36" s="21" t="s">
        <v>103</v>
      </c>
      <c r="F36" s="21"/>
      <c r="G36" s="21"/>
      <c r="H36" s="48">
        <v>53</v>
      </c>
      <c r="I36" s="52" t="s">
        <v>57</v>
      </c>
      <c r="J36" s="49" t="s">
        <v>23</v>
      </c>
      <c r="K36" s="23" t="s">
        <v>31</v>
      </c>
      <c r="L36" s="25" t="s">
        <v>56</v>
      </c>
      <c r="M36" s="21" t="s">
        <v>32</v>
      </c>
      <c r="N36" s="37">
        <v>65.7</v>
      </c>
      <c r="O36" s="37">
        <v>18.920000000000002</v>
      </c>
      <c r="P36" s="26">
        <f t="shared" si="0"/>
        <v>46.78</v>
      </c>
      <c r="Q36" s="27">
        <v>305</v>
      </c>
      <c r="R36" s="28">
        <f t="shared" si="1"/>
        <v>14267.9</v>
      </c>
      <c r="S36" s="27"/>
      <c r="T36" s="29"/>
      <c r="V36" s="29" t="s">
        <v>24</v>
      </c>
      <c r="W36" s="27">
        <v>145</v>
      </c>
      <c r="X36" s="30">
        <f t="shared" si="2"/>
        <v>6783.1</v>
      </c>
      <c r="Y36" s="31">
        <v>210</v>
      </c>
      <c r="Z36" s="31">
        <f t="shared" si="3"/>
        <v>9823.8000000000011</v>
      </c>
      <c r="AA36" s="29">
        <f t="shared" si="4"/>
        <v>30874.800000000003</v>
      </c>
    </row>
    <row r="37" spans="1:27" s="32" customFormat="1" x14ac:dyDescent="0.25">
      <c r="A37" s="18">
        <v>41</v>
      </c>
      <c r="B37" s="19">
        <v>46023</v>
      </c>
      <c r="C37" s="19">
        <v>46024</v>
      </c>
      <c r="D37" s="20">
        <v>260102024</v>
      </c>
      <c r="E37" s="21" t="s">
        <v>104</v>
      </c>
      <c r="F37" s="21"/>
      <c r="G37" s="21"/>
      <c r="H37" s="44">
        <v>115</v>
      </c>
      <c r="I37" s="23" t="s">
        <v>33</v>
      </c>
      <c r="J37" s="24" t="s">
        <v>23</v>
      </c>
      <c r="K37" s="35" t="s">
        <v>31</v>
      </c>
      <c r="L37" s="25" t="s">
        <v>62</v>
      </c>
      <c r="M37" s="21" t="s">
        <v>34</v>
      </c>
      <c r="N37" s="37">
        <v>61.82</v>
      </c>
      <c r="O37" s="37">
        <v>15.4</v>
      </c>
      <c r="P37" s="26">
        <f t="shared" si="0"/>
        <v>46.42</v>
      </c>
      <c r="Q37" s="27">
        <v>545</v>
      </c>
      <c r="R37" s="28">
        <f t="shared" si="1"/>
        <v>25298.9</v>
      </c>
      <c r="S37" s="27"/>
      <c r="T37" s="29"/>
      <c r="V37" s="29" t="s">
        <v>24</v>
      </c>
      <c r="W37" s="27">
        <v>145</v>
      </c>
      <c r="X37" s="30">
        <f t="shared" si="2"/>
        <v>6730.9000000000005</v>
      </c>
      <c r="Y37" s="31">
        <v>260</v>
      </c>
      <c r="Z37" s="31">
        <f t="shared" si="3"/>
        <v>12069.2</v>
      </c>
      <c r="AA37" s="29">
        <f t="shared" si="4"/>
        <v>44099</v>
      </c>
    </row>
    <row r="38" spans="1:27" s="32" customFormat="1" x14ac:dyDescent="0.25">
      <c r="A38" s="18">
        <v>42</v>
      </c>
      <c r="B38" s="19">
        <v>46023</v>
      </c>
      <c r="C38" s="19">
        <v>46024</v>
      </c>
      <c r="D38" s="20">
        <v>260102016</v>
      </c>
      <c r="E38" s="21" t="s">
        <v>105</v>
      </c>
      <c r="F38" s="21"/>
      <c r="G38" s="21"/>
      <c r="H38" s="44">
        <v>115</v>
      </c>
      <c r="I38" s="23" t="s">
        <v>33</v>
      </c>
      <c r="J38" s="24" t="s">
        <v>23</v>
      </c>
      <c r="K38" s="35" t="s">
        <v>31</v>
      </c>
      <c r="L38" s="21" t="s">
        <v>66</v>
      </c>
      <c r="M38" s="21" t="s">
        <v>34</v>
      </c>
      <c r="N38" s="37">
        <v>68.099999999999994</v>
      </c>
      <c r="O38" s="37">
        <v>15.46</v>
      </c>
      <c r="P38" s="26">
        <f t="shared" si="0"/>
        <v>52.639999999999993</v>
      </c>
      <c r="Q38" s="27">
        <v>545</v>
      </c>
      <c r="R38" s="28">
        <f t="shared" si="1"/>
        <v>28688.799999999996</v>
      </c>
      <c r="S38" s="27"/>
      <c r="T38" s="29"/>
      <c r="V38" s="29" t="s">
        <v>24</v>
      </c>
      <c r="W38" s="27">
        <v>145</v>
      </c>
      <c r="X38" s="30">
        <f t="shared" si="2"/>
        <v>7632.7999999999993</v>
      </c>
      <c r="Y38" s="31">
        <v>260</v>
      </c>
      <c r="Z38" s="31">
        <f t="shared" si="3"/>
        <v>13686.399999999998</v>
      </c>
      <c r="AA38" s="29">
        <f t="shared" si="4"/>
        <v>50007.999999999985</v>
      </c>
    </row>
    <row r="39" spans="1:27" s="38" customFormat="1" x14ac:dyDescent="0.25">
      <c r="A39" s="18">
        <v>43</v>
      </c>
      <c r="B39" s="19">
        <v>46023</v>
      </c>
      <c r="C39" s="19">
        <v>46024</v>
      </c>
      <c r="D39" s="20">
        <v>260102023</v>
      </c>
      <c r="E39" s="21" t="s">
        <v>106</v>
      </c>
      <c r="F39" s="21"/>
      <c r="G39" s="21"/>
      <c r="H39" s="48">
        <v>53</v>
      </c>
      <c r="I39" s="52" t="s">
        <v>57</v>
      </c>
      <c r="J39" s="49" t="s">
        <v>23</v>
      </c>
      <c r="K39" s="23" t="s">
        <v>31</v>
      </c>
      <c r="L39" s="21" t="s">
        <v>67</v>
      </c>
      <c r="M39" s="21" t="s">
        <v>63</v>
      </c>
      <c r="N39" s="37">
        <v>52.96</v>
      </c>
      <c r="O39" s="37">
        <v>13.26</v>
      </c>
      <c r="P39" s="26">
        <f t="shared" si="0"/>
        <v>39.700000000000003</v>
      </c>
      <c r="Q39" s="27">
        <v>355</v>
      </c>
      <c r="R39" s="28">
        <f t="shared" si="1"/>
        <v>14093.500000000002</v>
      </c>
      <c r="S39" s="27"/>
      <c r="T39" s="29"/>
      <c r="V39" s="29" t="s">
        <v>24</v>
      </c>
      <c r="W39" s="27">
        <v>145</v>
      </c>
      <c r="X39" s="30">
        <f t="shared" si="2"/>
        <v>5756.5</v>
      </c>
      <c r="Y39" s="31">
        <v>210</v>
      </c>
      <c r="Z39" s="31">
        <f t="shared" si="3"/>
        <v>8337</v>
      </c>
      <c r="AA39" s="29">
        <f t="shared" si="4"/>
        <v>28187</v>
      </c>
    </row>
    <row r="40" spans="1:27" s="32" customFormat="1" x14ac:dyDescent="0.25">
      <c r="A40" s="18">
        <v>44</v>
      </c>
      <c r="B40" s="19">
        <v>46023</v>
      </c>
      <c r="C40" s="19">
        <v>46024</v>
      </c>
      <c r="D40" s="25">
        <v>260102025</v>
      </c>
      <c r="E40" s="21" t="s">
        <v>107</v>
      </c>
      <c r="F40" s="21"/>
      <c r="G40" s="21"/>
      <c r="H40" s="48">
        <v>53</v>
      </c>
      <c r="I40" s="52" t="s">
        <v>57</v>
      </c>
      <c r="J40" s="49" t="s">
        <v>23</v>
      </c>
      <c r="K40" s="23" t="s">
        <v>31</v>
      </c>
      <c r="L40" s="21" t="s">
        <v>65</v>
      </c>
      <c r="M40" s="21" t="s">
        <v>63</v>
      </c>
      <c r="N40" s="37">
        <v>44.48</v>
      </c>
      <c r="O40" s="37">
        <v>11.92</v>
      </c>
      <c r="P40" s="26">
        <f t="shared" si="0"/>
        <v>32.559999999999995</v>
      </c>
      <c r="Q40" s="27">
        <v>355</v>
      </c>
      <c r="R40" s="28">
        <f t="shared" si="1"/>
        <v>11558.799999999997</v>
      </c>
      <c r="S40" s="27"/>
      <c r="T40" s="29"/>
      <c r="V40" s="29" t="s">
        <v>24</v>
      </c>
      <c r="W40" s="27">
        <v>145</v>
      </c>
      <c r="X40" s="30">
        <f t="shared" si="2"/>
        <v>4721.1999999999989</v>
      </c>
      <c r="Y40" s="31">
        <v>210</v>
      </c>
      <c r="Z40" s="31">
        <f t="shared" si="3"/>
        <v>6837.5999999999985</v>
      </c>
      <c r="AA40" s="29">
        <f t="shared" si="4"/>
        <v>23117.599999999995</v>
      </c>
    </row>
    <row r="41" spans="1:27" s="32" customFormat="1" x14ac:dyDescent="0.25">
      <c r="A41" s="18">
        <v>45</v>
      </c>
      <c r="B41" s="19">
        <v>46023</v>
      </c>
      <c r="C41" s="19">
        <v>46024</v>
      </c>
      <c r="D41" s="25">
        <v>260102022</v>
      </c>
      <c r="E41" s="21" t="s">
        <v>108</v>
      </c>
      <c r="F41" s="21"/>
      <c r="G41" s="21"/>
      <c r="H41" s="44">
        <v>115</v>
      </c>
      <c r="I41" s="23" t="s">
        <v>33</v>
      </c>
      <c r="J41" s="24" t="s">
        <v>23</v>
      </c>
      <c r="K41" s="35" t="s">
        <v>31</v>
      </c>
      <c r="L41" s="25" t="s">
        <v>36</v>
      </c>
      <c r="M41" s="21" t="s">
        <v>35</v>
      </c>
      <c r="N41" s="37">
        <v>64.900000000000006</v>
      </c>
      <c r="O41" s="37">
        <v>15.72</v>
      </c>
      <c r="P41" s="26">
        <f t="shared" si="0"/>
        <v>49.180000000000007</v>
      </c>
      <c r="Q41" s="27">
        <v>445</v>
      </c>
      <c r="R41" s="28">
        <f t="shared" si="1"/>
        <v>21885.100000000002</v>
      </c>
      <c r="S41" s="27"/>
      <c r="T41" s="29"/>
      <c r="V41" s="29" t="s">
        <v>24</v>
      </c>
      <c r="W41" s="27">
        <v>145</v>
      </c>
      <c r="X41" s="30">
        <f t="shared" si="2"/>
        <v>7131.1000000000013</v>
      </c>
      <c r="Y41" s="31">
        <v>260</v>
      </c>
      <c r="Z41" s="31">
        <f t="shared" si="3"/>
        <v>12786.800000000001</v>
      </c>
      <c r="AA41" s="29">
        <f t="shared" si="4"/>
        <v>41803.000000000007</v>
      </c>
    </row>
    <row r="42" spans="1:27" s="32" customFormat="1" x14ac:dyDescent="0.25">
      <c r="A42" s="18">
        <v>46</v>
      </c>
      <c r="B42" s="19">
        <v>46023</v>
      </c>
      <c r="C42" s="19">
        <v>46024</v>
      </c>
      <c r="D42" s="50">
        <v>260102026</v>
      </c>
      <c r="E42" s="21" t="s">
        <v>109</v>
      </c>
      <c r="F42" s="21"/>
      <c r="G42" s="21"/>
      <c r="H42" s="44">
        <v>117</v>
      </c>
      <c r="I42" s="45" t="s">
        <v>47</v>
      </c>
      <c r="J42" s="24" t="s">
        <v>23</v>
      </c>
      <c r="K42" s="23" t="s">
        <v>31</v>
      </c>
      <c r="L42" s="21" t="s">
        <v>60</v>
      </c>
      <c r="M42" s="21" t="s">
        <v>34</v>
      </c>
      <c r="N42" s="37">
        <v>56.68</v>
      </c>
      <c r="O42" s="37">
        <v>14.18</v>
      </c>
      <c r="P42" s="26">
        <f t="shared" si="0"/>
        <v>42.5</v>
      </c>
      <c r="Q42" s="27">
        <v>555</v>
      </c>
      <c r="R42" s="28">
        <f t="shared" si="1"/>
        <v>23587.5</v>
      </c>
      <c r="S42" s="27"/>
      <c r="T42" s="29"/>
      <c r="V42" s="29" t="s">
        <v>24</v>
      </c>
      <c r="W42" s="27">
        <v>145</v>
      </c>
      <c r="X42" s="30">
        <f t="shared" si="2"/>
        <v>6162.5</v>
      </c>
      <c r="Y42" s="31">
        <v>230</v>
      </c>
      <c r="Z42" s="31">
        <f t="shared" si="3"/>
        <v>9775</v>
      </c>
      <c r="AA42" s="29">
        <f t="shared" si="4"/>
        <v>39525</v>
      </c>
    </row>
    <row r="43" spans="1:27" s="32" customFormat="1" x14ac:dyDescent="0.25">
      <c r="A43" s="18">
        <v>47</v>
      </c>
      <c r="B43" s="19">
        <v>46023</v>
      </c>
      <c r="C43" s="19">
        <v>46024</v>
      </c>
      <c r="D43" s="50">
        <v>260102027</v>
      </c>
      <c r="E43" s="21" t="s">
        <v>110</v>
      </c>
      <c r="F43" s="21"/>
      <c r="G43" s="21"/>
      <c r="H43" s="44">
        <v>117</v>
      </c>
      <c r="I43" s="45" t="s">
        <v>47</v>
      </c>
      <c r="J43" s="24" t="s">
        <v>23</v>
      </c>
      <c r="K43" s="23" t="s">
        <v>31</v>
      </c>
      <c r="L43" s="21" t="s">
        <v>61</v>
      </c>
      <c r="M43" s="21" t="s">
        <v>34</v>
      </c>
      <c r="N43" s="37">
        <v>59.82</v>
      </c>
      <c r="O43" s="21">
        <v>15.48</v>
      </c>
      <c r="P43" s="26">
        <f t="shared" si="0"/>
        <v>44.34</v>
      </c>
      <c r="Q43" s="27">
        <v>555</v>
      </c>
      <c r="R43" s="28">
        <f t="shared" si="1"/>
        <v>24608.7</v>
      </c>
      <c r="S43" s="27"/>
      <c r="T43" s="29"/>
      <c r="V43" s="29" t="s">
        <v>24</v>
      </c>
      <c r="W43" s="27">
        <v>145</v>
      </c>
      <c r="X43" s="30">
        <f t="shared" si="2"/>
        <v>6429.3</v>
      </c>
      <c r="Y43" s="31">
        <v>230</v>
      </c>
      <c r="Z43" s="31">
        <f t="shared" si="3"/>
        <v>10198.200000000001</v>
      </c>
      <c r="AA43" s="29">
        <f t="shared" si="4"/>
        <v>41236.199999999997</v>
      </c>
    </row>
    <row r="44" spans="1:27" s="38" customFormat="1" x14ac:dyDescent="0.25">
      <c r="A44" s="18">
        <v>48</v>
      </c>
      <c r="B44" s="19">
        <v>46023</v>
      </c>
      <c r="C44" s="19">
        <v>46024</v>
      </c>
      <c r="D44" s="25">
        <v>260102017</v>
      </c>
      <c r="E44" s="21" t="s">
        <v>111</v>
      </c>
      <c r="F44" s="21"/>
      <c r="G44" s="21"/>
      <c r="H44" s="44">
        <v>117</v>
      </c>
      <c r="I44" s="45" t="s">
        <v>47</v>
      </c>
      <c r="J44" s="24" t="s">
        <v>23</v>
      </c>
      <c r="K44" s="23" t="s">
        <v>31</v>
      </c>
      <c r="L44" s="21" t="s">
        <v>54</v>
      </c>
      <c r="M44" s="21" t="s">
        <v>34</v>
      </c>
      <c r="N44" s="37">
        <v>59.36</v>
      </c>
      <c r="O44" s="37">
        <v>15.76</v>
      </c>
      <c r="P44" s="26">
        <f t="shared" si="0"/>
        <v>43.6</v>
      </c>
      <c r="Q44" s="27">
        <v>555</v>
      </c>
      <c r="R44" s="28">
        <f t="shared" si="1"/>
        <v>24198</v>
      </c>
      <c r="S44" s="27"/>
      <c r="T44" s="29"/>
      <c r="V44" s="29" t="s">
        <v>24</v>
      </c>
      <c r="W44" s="27">
        <v>145</v>
      </c>
      <c r="X44" s="30">
        <f t="shared" si="2"/>
        <v>6322</v>
      </c>
      <c r="Y44" s="31">
        <v>230</v>
      </c>
      <c r="Z44" s="31">
        <f t="shared" si="3"/>
        <v>10028</v>
      </c>
      <c r="AA44" s="29">
        <f t="shared" si="4"/>
        <v>40548</v>
      </c>
    </row>
    <row r="45" spans="1:27" s="32" customFormat="1" x14ac:dyDescent="0.25">
      <c r="A45" s="18">
        <v>49</v>
      </c>
      <c r="B45" s="19">
        <v>46023</v>
      </c>
      <c r="C45" s="19">
        <v>46024</v>
      </c>
      <c r="D45" s="25">
        <v>260102020</v>
      </c>
      <c r="E45" s="21" t="s">
        <v>112</v>
      </c>
      <c r="F45" s="21"/>
      <c r="G45" s="21"/>
      <c r="H45" s="48">
        <v>53</v>
      </c>
      <c r="I45" s="52" t="s">
        <v>57</v>
      </c>
      <c r="J45" s="49" t="s">
        <v>23</v>
      </c>
      <c r="K45" s="23" t="s">
        <v>31</v>
      </c>
      <c r="L45" s="21" t="s">
        <v>58</v>
      </c>
      <c r="M45" s="21" t="s">
        <v>32</v>
      </c>
      <c r="N45" s="37">
        <v>63.1</v>
      </c>
      <c r="O45" s="21">
        <v>15.62</v>
      </c>
      <c r="P45" s="26">
        <f t="shared" si="0"/>
        <v>47.480000000000004</v>
      </c>
      <c r="Q45" s="27">
        <v>305</v>
      </c>
      <c r="R45" s="28">
        <f t="shared" si="1"/>
        <v>14481.400000000001</v>
      </c>
      <c r="S45" s="27"/>
      <c r="T45" s="29"/>
      <c r="V45" s="29" t="s">
        <v>24</v>
      </c>
      <c r="W45" s="27">
        <v>145</v>
      </c>
      <c r="X45" s="30">
        <f t="shared" si="2"/>
        <v>6884.6</v>
      </c>
      <c r="Y45" s="31">
        <v>210</v>
      </c>
      <c r="Z45" s="31">
        <f t="shared" si="3"/>
        <v>9970.8000000000011</v>
      </c>
      <c r="AA45" s="29">
        <f t="shared" si="4"/>
        <v>31336.800000000003</v>
      </c>
    </row>
    <row r="46" spans="1:27" s="38" customFormat="1" x14ac:dyDescent="0.25">
      <c r="A46" s="18">
        <v>50</v>
      </c>
      <c r="B46" s="19">
        <v>46023</v>
      </c>
      <c r="C46" s="19">
        <v>46024</v>
      </c>
      <c r="D46" s="25">
        <v>260102028</v>
      </c>
      <c r="E46" s="21" t="s">
        <v>113</v>
      </c>
      <c r="F46" s="21"/>
      <c r="G46" s="21"/>
      <c r="H46" s="44">
        <v>115</v>
      </c>
      <c r="I46" s="23" t="s">
        <v>33</v>
      </c>
      <c r="J46" s="24" t="s">
        <v>23</v>
      </c>
      <c r="K46" s="35" t="s">
        <v>31</v>
      </c>
      <c r="L46" s="53" t="s">
        <v>48</v>
      </c>
      <c r="M46" s="21" t="s">
        <v>35</v>
      </c>
      <c r="N46" s="37">
        <v>48.64</v>
      </c>
      <c r="O46" s="37">
        <v>11.4</v>
      </c>
      <c r="P46" s="26">
        <f t="shared" si="0"/>
        <v>37.24</v>
      </c>
      <c r="Q46" s="27">
        <v>445</v>
      </c>
      <c r="R46" s="28">
        <f t="shared" si="1"/>
        <v>16571.8</v>
      </c>
      <c r="S46" s="21"/>
      <c r="T46" s="29"/>
      <c r="V46" s="29" t="s">
        <v>24</v>
      </c>
      <c r="W46" s="27">
        <v>145</v>
      </c>
      <c r="X46" s="30">
        <f t="shared" si="2"/>
        <v>5399.8</v>
      </c>
      <c r="Y46" s="31">
        <v>260</v>
      </c>
      <c r="Z46" s="29">
        <f t="shared" si="3"/>
        <v>9682.4</v>
      </c>
      <c r="AA46" s="29">
        <f t="shared" si="4"/>
        <v>31654</v>
      </c>
    </row>
    <row r="47" spans="1:27" s="32" customFormat="1" x14ac:dyDescent="0.25">
      <c r="A47" s="18">
        <v>51</v>
      </c>
      <c r="B47" s="19">
        <v>46024</v>
      </c>
      <c r="C47" s="19">
        <v>46024</v>
      </c>
      <c r="D47" s="20">
        <v>260102029</v>
      </c>
      <c r="E47" s="21" t="s">
        <v>114</v>
      </c>
      <c r="F47" s="21"/>
      <c r="G47" s="21"/>
      <c r="H47" s="44">
        <v>115</v>
      </c>
      <c r="I47" s="23" t="s">
        <v>33</v>
      </c>
      <c r="J47" s="24" t="s">
        <v>23</v>
      </c>
      <c r="K47" s="35" t="s">
        <v>31</v>
      </c>
      <c r="L47" s="25" t="s">
        <v>115</v>
      </c>
      <c r="M47" s="21" t="s">
        <v>35</v>
      </c>
      <c r="N47" s="21">
        <v>62</v>
      </c>
      <c r="O47" s="21">
        <v>15.42</v>
      </c>
      <c r="P47" s="26">
        <f t="shared" si="0"/>
        <v>46.58</v>
      </c>
      <c r="Q47" s="27">
        <v>445</v>
      </c>
      <c r="R47" s="28">
        <f t="shared" si="1"/>
        <v>20728.099999999999</v>
      </c>
      <c r="S47" s="27"/>
      <c r="T47" s="29"/>
      <c r="V47" s="29" t="s">
        <v>24</v>
      </c>
      <c r="W47" s="27">
        <v>145</v>
      </c>
      <c r="X47" s="30">
        <f t="shared" ref="X47:X94" si="5">W47*P47</f>
        <v>6754.0999999999995</v>
      </c>
      <c r="Y47" s="31">
        <v>260</v>
      </c>
      <c r="Z47" s="31">
        <f t="shared" ref="Z47:Z94" si="6">Y47*P47</f>
        <v>12110.8</v>
      </c>
      <c r="AA47" s="29">
        <f t="shared" ref="AA47:AA78" si="7">R47+X47+Z47</f>
        <v>39593</v>
      </c>
    </row>
    <row r="48" spans="1:27" s="32" customFormat="1" x14ac:dyDescent="0.25">
      <c r="A48" s="18">
        <v>52</v>
      </c>
      <c r="B48" s="19">
        <v>46024</v>
      </c>
      <c r="C48" s="19">
        <v>46024</v>
      </c>
      <c r="D48" s="20">
        <v>260102030</v>
      </c>
      <c r="E48" s="21" t="s">
        <v>116</v>
      </c>
      <c r="F48" s="21"/>
      <c r="G48" s="21"/>
      <c r="H48" s="44">
        <v>115</v>
      </c>
      <c r="I48" s="23" t="s">
        <v>33</v>
      </c>
      <c r="J48" s="24" t="s">
        <v>23</v>
      </c>
      <c r="K48" s="35" t="s">
        <v>31</v>
      </c>
      <c r="L48" s="25" t="s">
        <v>117</v>
      </c>
      <c r="M48" s="21" t="s">
        <v>34</v>
      </c>
      <c r="N48" s="21">
        <v>59.46</v>
      </c>
      <c r="O48" s="21">
        <v>15.6</v>
      </c>
      <c r="P48" s="26">
        <f t="shared" si="0"/>
        <v>43.86</v>
      </c>
      <c r="Q48" s="27">
        <v>545</v>
      </c>
      <c r="R48" s="28">
        <f t="shared" si="1"/>
        <v>23903.7</v>
      </c>
      <c r="S48" s="27"/>
      <c r="T48" s="29"/>
      <c r="V48" s="29" t="s">
        <v>24</v>
      </c>
      <c r="W48" s="27">
        <v>145</v>
      </c>
      <c r="X48" s="30">
        <f t="shared" si="5"/>
        <v>6359.7</v>
      </c>
      <c r="Y48" s="31">
        <v>260</v>
      </c>
      <c r="Z48" s="31">
        <f t="shared" si="6"/>
        <v>11403.6</v>
      </c>
      <c r="AA48" s="29">
        <f t="shared" si="7"/>
        <v>41667</v>
      </c>
    </row>
    <row r="49" spans="1:38" s="32" customFormat="1" x14ac:dyDescent="0.25">
      <c r="A49" s="18">
        <v>53</v>
      </c>
      <c r="B49" s="19">
        <v>46024</v>
      </c>
      <c r="C49" s="19">
        <v>46024</v>
      </c>
      <c r="D49" s="20">
        <v>260102031</v>
      </c>
      <c r="E49" s="21" t="s">
        <v>118</v>
      </c>
      <c r="F49" s="21"/>
      <c r="G49" s="21"/>
      <c r="H49" s="48">
        <v>53</v>
      </c>
      <c r="I49" s="52" t="s">
        <v>57</v>
      </c>
      <c r="J49" s="49" t="s">
        <v>23</v>
      </c>
      <c r="K49" s="23" t="s">
        <v>31</v>
      </c>
      <c r="L49" s="25" t="s">
        <v>52</v>
      </c>
      <c r="M49" s="21" t="s">
        <v>63</v>
      </c>
      <c r="N49" s="21">
        <v>58.6</v>
      </c>
      <c r="O49" s="21">
        <v>15.42</v>
      </c>
      <c r="P49" s="26">
        <f t="shared" si="0"/>
        <v>43.18</v>
      </c>
      <c r="Q49" s="27">
        <v>425</v>
      </c>
      <c r="R49" s="28">
        <f t="shared" si="1"/>
        <v>18351.5</v>
      </c>
      <c r="S49" s="27"/>
      <c r="T49" s="29"/>
      <c r="V49" s="29" t="s">
        <v>24</v>
      </c>
      <c r="W49" s="27">
        <v>145</v>
      </c>
      <c r="X49" s="30">
        <f t="shared" si="5"/>
        <v>6261.1</v>
      </c>
      <c r="Y49" s="31">
        <v>210</v>
      </c>
      <c r="Z49" s="31">
        <f t="shared" si="6"/>
        <v>9067.7999999999993</v>
      </c>
      <c r="AA49" s="29">
        <f t="shared" si="7"/>
        <v>33680.399999999994</v>
      </c>
    </row>
    <row r="50" spans="1:38" s="38" customFormat="1" x14ac:dyDescent="0.25">
      <c r="A50" s="18">
        <v>54</v>
      </c>
      <c r="B50" s="19">
        <v>46024</v>
      </c>
      <c r="C50" s="19">
        <v>46024</v>
      </c>
      <c r="D50" s="20">
        <v>260102032</v>
      </c>
      <c r="E50" s="21" t="s">
        <v>119</v>
      </c>
      <c r="F50" s="21"/>
      <c r="G50" s="21"/>
      <c r="H50" s="44">
        <v>115</v>
      </c>
      <c r="I50" s="23" t="s">
        <v>33</v>
      </c>
      <c r="J50" s="24" t="s">
        <v>23</v>
      </c>
      <c r="K50" s="35" t="s">
        <v>31</v>
      </c>
      <c r="L50" s="25" t="s">
        <v>120</v>
      </c>
      <c r="M50" s="21" t="s">
        <v>34</v>
      </c>
      <c r="N50" s="37">
        <v>63</v>
      </c>
      <c r="O50" s="21">
        <v>18</v>
      </c>
      <c r="P50" s="26">
        <f t="shared" si="0"/>
        <v>45</v>
      </c>
      <c r="Q50" s="27">
        <v>545</v>
      </c>
      <c r="R50" s="28">
        <f t="shared" si="1"/>
        <v>24525</v>
      </c>
      <c r="S50" s="27"/>
      <c r="T50" s="29"/>
      <c r="V50" s="29" t="s">
        <v>24</v>
      </c>
      <c r="W50" s="27">
        <v>145</v>
      </c>
      <c r="X50" s="30">
        <f t="shared" si="5"/>
        <v>6525</v>
      </c>
      <c r="Y50" s="31">
        <v>260</v>
      </c>
      <c r="Z50" s="31">
        <f t="shared" si="6"/>
        <v>11700</v>
      </c>
      <c r="AA50" s="29">
        <f t="shared" si="7"/>
        <v>42750</v>
      </c>
    </row>
    <row r="51" spans="1:38" s="32" customFormat="1" x14ac:dyDescent="0.25">
      <c r="A51" s="18">
        <v>55</v>
      </c>
      <c r="B51" s="19">
        <v>46024</v>
      </c>
      <c r="C51" s="19">
        <v>46024</v>
      </c>
      <c r="D51" s="20">
        <v>260102033</v>
      </c>
      <c r="E51" s="21" t="s">
        <v>121</v>
      </c>
      <c r="F51" s="21"/>
      <c r="G51" s="21"/>
      <c r="H51" s="44">
        <v>115</v>
      </c>
      <c r="I51" s="23" t="s">
        <v>33</v>
      </c>
      <c r="J51" s="24" t="s">
        <v>23</v>
      </c>
      <c r="K51" s="35" t="s">
        <v>31</v>
      </c>
      <c r="L51" s="25" t="s">
        <v>122</v>
      </c>
      <c r="M51" s="21" t="s">
        <v>35</v>
      </c>
      <c r="N51" s="37">
        <v>62.68</v>
      </c>
      <c r="O51" s="21">
        <v>18</v>
      </c>
      <c r="P51" s="26">
        <f t="shared" si="0"/>
        <v>44.68</v>
      </c>
      <c r="Q51" s="27">
        <v>445</v>
      </c>
      <c r="R51" s="28">
        <f t="shared" si="1"/>
        <v>19882.599999999999</v>
      </c>
      <c r="S51" s="27"/>
      <c r="T51" s="29"/>
      <c r="V51" s="29" t="s">
        <v>24</v>
      </c>
      <c r="W51" s="27">
        <v>145</v>
      </c>
      <c r="X51" s="30">
        <f t="shared" si="5"/>
        <v>6478.6</v>
      </c>
      <c r="Y51" s="31">
        <v>260</v>
      </c>
      <c r="Z51" s="31">
        <f t="shared" si="6"/>
        <v>11616.8</v>
      </c>
      <c r="AA51" s="29">
        <f t="shared" si="7"/>
        <v>37978</v>
      </c>
    </row>
    <row r="52" spans="1:38" s="32" customFormat="1" x14ac:dyDescent="0.25">
      <c r="A52" s="18">
        <v>56</v>
      </c>
      <c r="B52" s="19">
        <v>46024</v>
      </c>
      <c r="C52" s="19">
        <v>46024</v>
      </c>
      <c r="D52" s="20">
        <v>260102034</v>
      </c>
      <c r="E52" s="21" t="s">
        <v>123</v>
      </c>
      <c r="F52" s="21"/>
      <c r="G52" s="21"/>
      <c r="H52" s="48">
        <v>42</v>
      </c>
      <c r="I52" s="23" t="s">
        <v>44</v>
      </c>
      <c r="J52" s="49" t="s">
        <v>23</v>
      </c>
      <c r="K52" s="23" t="s">
        <v>31</v>
      </c>
      <c r="L52" s="25" t="s">
        <v>124</v>
      </c>
      <c r="M52" s="21" t="s">
        <v>34</v>
      </c>
      <c r="N52" s="37">
        <v>51.94</v>
      </c>
      <c r="O52" s="37">
        <v>12.58</v>
      </c>
      <c r="P52" s="26">
        <f t="shared" si="0"/>
        <v>39.36</v>
      </c>
      <c r="Q52" s="27">
        <v>545</v>
      </c>
      <c r="R52" s="28">
        <f t="shared" si="1"/>
        <v>21451.200000000001</v>
      </c>
      <c r="S52" s="27"/>
      <c r="T52" s="29"/>
      <c r="V52" s="29" t="s">
        <v>24</v>
      </c>
      <c r="W52" s="27">
        <v>145</v>
      </c>
      <c r="X52" s="30">
        <f t="shared" si="5"/>
        <v>5707.2</v>
      </c>
      <c r="Y52" s="31">
        <v>260</v>
      </c>
      <c r="Z52" s="31">
        <f t="shared" si="6"/>
        <v>10233.6</v>
      </c>
      <c r="AA52" s="29">
        <f t="shared" si="7"/>
        <v>37392</v>
      </c>
    </row>
    <row r="53" spans="1:38" s="32" customFormat="1" x14ac:dyDescent="0.25">
      <c r="A53" s="18">
        <v>57</v>
      </c>
      <c r="B53" s="19">
        <v>46024</v>
      </c>
      <c r="C53" s="19">
        <v>46024</v>
      </c>
      <c r="D53" s="20">
        <v>260102035</v>
      </c>
      <c r="E53" s="21" t="s">
        <v>125</v>
      </c>
      <c r="F53" s="21"/>
      <c r="G53" s="21"/>
      <c r="H53" s="48">
        <v>53</v>
      </c>
      <c r="I53" s="52" t="s">
        <v>57</v>
      </c>
      <c r="J53" s="49" t="s">
        <v>23</v>
      </c>
      <c r="K53" s="23" t="s">
        <v>31</v>
      </c>
      <c r="L53" s="25" t="s">
        <v>37</v>
      </c>
      <c r="M53" s="21" t="s">
        <v>34</v>
      </c>
      <c r="N53" s="37">
        <v>62.38</v>
      </c>
      <c r="O53" s="37">
        <v>15.66</v>
      </c>
      <c r="P53" s="26">
        <f t="shared" si="0"/>
        <v>46.72</v>
      </c>
      <c r="Q53" s="27">
        <v>520</v>
      </c>
      <c r="R53" s="28">
        <f t="shared" si="1"/>
        <v>24294.399999999998</v>
      </c>
      <c r="S53" s="27"/>
      <c r="T53" s="29"/>
      <c r="V53" s="29" t="s">
        <v>24</v>
      </c>
      <c r="W53" s="27">
        <v>145</v>
      </c>
      <c r="X53" s="30">
        <f t="shared" si="5"/>
        <v>6774.4</v>
      </c>
      <c r="Y53" s="31">
        <v>210</v>
      </c>
      <c r="Z53" s="31">
        <f t="shared" si="6"/>
        <v>9811.1999999999989</v>
      </c>
      <c r="AA53" s="29">
        <f t="shared" si="7"/>
        <v>40879.999999999993</v>
      </c>
    </row>
    <row r="54" spans="1:38" s="32" customFormat="1" x14ac:dyDescent="0.25">
      <c r="A54" s="18">
        <v>58</v>
      </c>
      <c r="B54" s="19">
        <v>46024</v>
      </c>
      <c r="C54" s="19">
        <v>46024</v>
      </c>
      <c r="D54" s="20">
        <v>260102036</v>
      </c>
      <c r="E54" s="21" t="s">
        <v>126</v>
      </c>
      <c r="F54" s="21"/>
      <c r="G54" s="21"/>
      <c r="H54" s="44">
        <v>115</v>
      </c>
      <c r="I54" s="23" t="s">
        <v>33</v>
      </c>
      <c r="J54" s="24" t="s">
        <v>23</v>
      </c>
      <c r="K54" s="35" t="s">
        <v>31</v>
      </c>
      <c r="L54" s="25" t="s">
        <v>41</v>
      </c>
      <c r="M54" s="21" t="s">
        <v>34</v>
      </c>
      <c r="N54" s="37">
        <v>61.1</v>
      </c>
      <c r="O54" s="37">
        <v>15.54</v>
      </c>
      <c r="P54" s="26">
        <f t="shared" si="0"/>
        <v>45.56</v>
      </c>
      <c r="Q54" s="27">
        <v>545</v>
      </c>
      <c r="R54" s="28">
        <f t="shared" si="1"/>
        <v>24830.2</v>
      </c>
      <c r="S54" s="27"/>
      <c r="T54" s="29"/>
      <c r="V54" s="29" t="s">
        <v>24</v>
      </c>
      <c r="W54" s="27">
        <v>145</v>
      </c>
      <c r="X54" s="30">
        <f t="shared" si="5"/>
        <v>6606.2000000000007</v>
      </c>
      <c r="Y54" s="31">
        <v>260</v>
      </c>
      <c r="Z54" s="31">
        <f t="shared" si="6"/>
        <v>11845.6</v>
      </c>
      <c r="AA54" s="29">
        <f t="shared" si="7"/>
        <v>43282</v>
      </c>
      <c r="AB54" s="40"/>
      <c r="AC54" s="39"/>
      <c r="AD54" s="41"/>
      <c r="AE54" s="42"/>
      <c r="AF54" s="39"/>
      <c r="AG54" s="42"/>
      <c r="AH54" s="39"/>
      <c r="AI54" s="41"/>
      <c r="AJ54" s="39"/>
      <c r="AK54" s="41"/>
      <c r="AL54" s="41"/>
    </row>
    <row r="55" spans="1:38" s="32" customFormat="1" x14ac:dyDescent="0.25">
      <c r="A55" s="18">
        <v>59</v>
      </c>
      <c r="B55" s="19">
        <v>46024</v>
      </c>
      <c r="C55" s="19">
        <v>46024</v>
      </c>
      <c r="D55" s="20">
        <v>260102037</v>
      </c>
      <c r="E55" s="21" t="s">
        <v>127</v>
      </c>
      <c r="F55" s="21"/>
      <c r="G55" s="21"/>
      <c r="H55" s="44">
        <v>115</v>
      </c>
      <c r="I55" s="23" t="s">
        <v>33</v>
      </c>
      <c r="J55" s="24" t="s">
        <v>23</v>
      </c>
      <c r="K55" s="35" t="s">
        <v>31</v>
      </c>
      <c r="L55" s="25" t="s">
        <v>39</v>
      </c>
      <c r="M55" s="21" t="s">
        <v>35</v>
      </c>
      <c r="N55" s="37">
        <v>51.02</v>
      </c>
      <c r="O55" s="37">
        <v>11.68</v>
      </c>
      <c r="P55" s="26">
        <f t="shared" si="0"/>
        <v>39.340000000000003</v>
      </c>
      <c r="Q55" s="27">
        <v>445</v>
      </c>
      <c r="R55" s="28">
        <f t="shared" si="1"/>
        <v>17506.300000000003</v>
      </c>
      <c r="S55" s="27"/>
      <c r="T55" s="29"/>
      <c r="V55" s="29" t="s">
        <v>24</v>
      </c>
      <c r="W55" s="27">
        <v>145</v>
      </c>
      <c r="X55" s="30">
        <f t="shared" si="5"/>
        <v>5704.3</v>
      </c>
      <c r="Y55" s="31">
        <v>260</v>
      </c>
      <c r="Z55" s="31">
        <f t="shared" si="6"/>
        <v>10228.400000000001</v>
      </c>
      <c r="AA55" s="29">
        <f t="shared" si="7"/>
        <v>33439</v>
      </c>
    </row>
    <row r="56" spans="1:38" s="32" customFormat="1" x14ac:dyDescent="0.25">
      <c r="A56" s="18">
        <v>60</v>
      </c>
      <c r="B56" s="19">
        <v>46024</v>
      </c>
      <c r="C56" s="19">
        <v>46024</v>
      </c>
      <c r="D56" s="20">
        <v>260102038</v>
      </c>
      <c r="E56" s="21" t="s">
        <v>128</v>
      </c>
      <c r="F56" s="21"/>
      <c r="G56" s="21"/>
      <c r="H56" s="48">
        <v>53</v>
      </c>
      <c r="I56" s="52" t="s">
        <v>57</v>
      </c>
      <c r="J56" s="49" t="s">
        <v>23</v>
      </c>
      <c r="K56" s="23" t="s">
        <v>31</v>
      </c>
      <c r="L56" s="25" t="s">
        <v>55</v>
      </c>
      <c r="M56" s="21" t="s">
        <v>63</v>
      </c>
      <c r="N56" s="37">
        <v>65.7</v>
      </c>
      <c r="O56" s="37">
        <v>17.940000000000001</v>
      </c>
      <c r="P56" s="26">
        <f t="shared" si="0"/>
        <v>47.760000000000005</v>
      </c>
      <c r="Q56" s="27">
        <v>425</v>
      </c>
      <c r="R56" s="28">
        <f t="shared" si="1"/>
        <v>20298.000000000004</v>
      </c>
      <c r="S56" s="27"/>
      <c r="T56" s="29"/>
      <c r="V56" s="29" t="s">
        <v>24</v>
      </c>
      <c r="W56" s="27">
        <v>145</v>
      </c>
      <c r="X56" s="30">
        <f t="shared" si="5"/>
        <v>6925.2000000000007</v>
      </c>
      <c r="Y56" s="31">
        <v>210</v>
      </c>
      <c r="Z56" s="31">
        <f t="shared" si="6"/>
        <v>10029.6</v>
      </c>
      <c r="AA56" s="29">
        <f t="shared" si="7"/>
        <v>37252.800000000003</v>
      </c>
    </row>
    <row r="57" spans="1:38" s="32" customFormat="1" x14ac:dyDescent="0.25">
      <c r="A57" s="18">
        <v>61</v>
      </c>
      <c r="B57" s="19">
        <v>46024</v>
      </c>
      <c r="C57" s="19">
        <v>46024</v>
      </c>
      <c r="D57" s="20">
        <v>260102039</v>
      </c>
      <c r="E57" s="21" t="s">
        <v>129</v>
      </c>
      <c r="F57" s="21"/>
      <c r="G57" s="21"/>
      <c r="H57" s="48">
        <v>53</v>
      </c>
      <c r="I57" s="52" t="s">
        <v>57</v>
      </c>
      <c r="J57" s="49" t="s">
        <v>23</v>
      </c>
      <c r="K57" s="23" t="s">
        <v>31</v>
      </c>
      <c r="L57" s="25" t="s">
        <v>46</v>
      </c>
      <c r="M57" s="21" t="s">
        <v>63</v>
      </c>
      <c r="N57" s="37">
        <v>59.24</v>
      </c>
      <c r="O57" s="37">
        <v>14.94</v>
      </c>
      <c r="P57" s="26">
        <f t="shared" si="0"/>
        <v>44.300000000000004</v>
      </c>
      <c r="Q57" s="27">
        <v>425</v>
      </c>
      <c r="R57" s="28">
        <f t="shared" si="1"/>
        <v>18827.5</v>
      </c>
      <c r="S57" s="27"/>
      <c r="T57" s="29"/>
      <c r="V57" s="29" t="s">
        <v>24</v>
      </c>
      <c r="W57" s="27">
        <v>145</v>
      </c>
      <c r="X57" s="30">
        <f t="shared" si="5"/>
        <v>6423.5000000000009</v>
      </c>
      <c r="Y57" s="31">
        <v>210</v>
      </c>
      <c r="Z57" s="31">
        <f t="shared" si="6"/>
        <v>9303</v>
      </c>
      <c r="AA57" s="29">
        <f t="shared" si="7"/>
        <v>34554</v>
      </c>
    </row>
    <row r="58" spans="1:38" s="32" customFormat="1" x14ac:dyDescent="0.25">
      <c r="A58" s="18">
        <v>62</v>
      </c>
      <c r="B58" s="19">
        <v>46024</v>
      </c>
      <c r="C58" s="19">
        <v>46024</v>
      </c>
      <c r="D58" s="20">
        <v>260102040</v>
      </c>
      <c r="E58" s="21" t="s">
        <v>130</v>
      </c>
      <c r="F58" s="21"/>
      <c r="G58" s="21"/>
      <c r="H58" s="44">
        <v>115</v>
      </c>
      <c r="I58" s="23" t="s">
        <v>33</v>
      </c>
      <c r="J58" s="24" t="s">
        <v>23</v>
      </c>
      <c r="K58" s="35" t="s">
        <v>31</v>
      </c>
      <c r="L58" s="25" t="s">
        <v>51</v>
      </c>
      <c r="M58" s="21" t="s">
        <v>35</v>
      </c>
      <c r="N58" s="37">
        <v>52.2</v>
      </c>
      <c r="O58" s="37">
        <v>11.44</v>
      </c>
      <c r="P58" s="26">
        <f t="shared" si="0"/>
        <v>40.760000000000005</v>
      </c>
      <c r="Q58" s="27">
        <v>445</v>
      </c>
      <c r="R58" s="28">
        <f t="shared" si="1"/>
        <v>18138.2</v>
      </c>
      <c r="S58" s="27"/>
      <c r="T58" s="29"/>
      <c r="V58" s="29" t="s">
        <v>24</v>
      </c>
      <c r="W58" s="27">
        <v>145</v>
      </c>
      <c r="X58" s="30">
        <f t="shared" si="5"/>
        <v>5910.2000000000007</v>
      </c>
      <c r="Y58" s="31">
        <v>260</v>
      </c>
      <c r="Z58" s="31">
        <f t="shared" si="6"/>
        <v>10597.600000000002</v>
      </c>
      <c r="AA58" s="29">
        <f t="shared" si="7"/>
        <v>34646</v>
      </c>
    </row>
    <row r="59" spans="1:38" s="38" customFormat="1" x14ac:dyDescent="0.25">
      <c r="A59" s="18">
        <v>63</v>
      </c>
      <c r="B59" s="19">
        <v>46024</v>
      </c>
      <c r="C59" s="19">
        <v>46024</v>
      </c>
      <c r="D59" s="20">
        <v>260102041</v>
      </c>
      <c r="E59" s="21" t="s">
        <v>131</v>
      </c>
      <c r="F59" s="21"/>
      <c r="G59" s="21"/>
      <c r="H59" s="44">
        <v>115</v>
      </c>
      <c r="I59" s="23" t="s">
        <v>33</v>
      </c>
      <c r="J59" s="24" t="s">
        <v>23</v>
      </c>
      <c r="K59" s="35" t="s">
        <v>31</v>
      </c>
      <c r="L59" s="25" t="s">
        <v>40</v>
      </c>
      <c r="M59" s="21" t="s">
        <v>35</v>
      </c>
      <c r="N59" s="37">
        <v>52.36</v>
      </c>
      <c r="O59" s="37">
        <v>11.44</v>
      </c>
      <c r="P59" s="26">
        <f t="shared" si="0"/>
        <v>40.92</v>
      </c>
      <c r="Q59" s="27">
        <v>445</v>
      </c>
      <c r="R59" s="28">
        <f t="shared" si="1"/>
        <v>18209.400000000001</v>
      </c>
      <c r="S59" s="27"/>
      <c r="T59" s="29"/>
      <c r="V59" s="29" t="s">
        <v>24</v>
      </c>
      <c r="W59" s="27">
        <v>145</v>
      </c>
      <c r="X59" s="30">
        <f t="shared" si="5"/>
        <v>5933.4000000000005</v>
      </c>
      <c r="Y59" s="31">
        <v>260</v>
      </c>
      <c r="Z59" s="29">
        <f t="shared" si="6"/>
        <v>10639.2</v>
      </c>
      <c r="AA59" s="29">
        <f t="shared" si="7"/>
        <v>34782</v>
      </c>
    </row>
    <row r="60" spans="1:38" s="38" customFormat="1" x14ac:dyDescent="0.25">
      <c r="A60" s="18">
        <v>64</v>
      </c>
      <c r="B60" s="19">
        <v>46024</v>
      </c>
      <c r="C60" s="19">
        <v>46024</v>
      </c>
      <c r="D60" s="20">
        <v>260102042</v>
      </c>
      <c r="E60" s="21" t="s">
        <v>132</v>
      </c>
      <c r="F60" s="21"/>
      <c r="G60" s="21"/>
      <c r="H60" s="44">
        <v>115</v>
      </c>
      <c r="I60" s="23" t="s">
        <v>33</v>
      </c>
      <c r="J60" s="24" t="s">
        <v>23</v>
      </c>
      <c r="K60" s="35" t="s">
        <v>31</v>
      </c>
      <c r="L60" s="25" t="s">
        <v>56</v>
      </c>
      <c r="M60" s="21" t="s">
        <v>34</v>
      </c>
      <c r="N60" s="37">
        <v>66.02</v>
      </c>
      <c r="O60" s="37">
        <v>18.8</v>
      </c>
      <c r="P60" s="26">
        <f t="shared" si="0"/>
        <v>47.22</v>
      </c>
      <c r="Q60" s="27">
        <v>545</v>
      </c>
      <c r="R60" s="28">
        <f t="shared" si="1"/>
        <v>25734.899999999998</v>
      </c>
      <c r="S60" s="27"/>
      <c r="T60" s="29"/>
      <c r="V60" s="29" t="s">
        <v>24</v>
      </c>
      <c r="W60" s="27">
        <v>145</v>
      </c>
      <c r="X60" s="30">
        <f t="shared" si="5"/>
        <v>6846.9</v>
      </c>
      <c r="Y60" s="31">
        <v>260</v>
      </c>
      <c r="Z60" s="29">
        <f t="shared" si="6"/>
        <v>12277.199999999999</v>
      </c>
      <c r="AA60" s="29">
        <f t="shared" si="7"/>
        <v>44858.999999999993</v>
      </c>
    </row>
    <row r="61" spans="1:38" s="32" customFormat="1" x14ac:dyDescent="0.25">
      <c r="A61" s="18">
        <v>65</v>
      </c>
      <c r="B61" s="19">
        <v>46024</v>
      </c>
      <c r="C61" s="19">
        <v>46024</v>
      </c>
      <c r="D61" s="20">
        <v>260102043</v>
      </c>
      <c r="E61" s="21" t="s">
        <v>133</v>
      </c>
      <c r="F61" s="21"/>
      <c r="G61" s="21"/>
      <c r="H61" s="44">
        <v>115</v>
      </c>
      <c r="I61" s="23" t="s">
        <v>33</v>
      </c>
      <c r="J61" s="24" t="s">
        <v>23</v>
      </c>
      <c r="K61" s="35" t="s">
        <v>31</v>
      </c>
      <c r="L61" s="25" t="s">
        <v>58</v>
      </c>
      <c r="M61" s="21" t="s">
        <v>34</v>
      </c>
      <c r="N61" s="37">
        <v>64.84</v>
      </c>
      <c r="O61" s="37">
        <v>15.48</v>
      </c>
      <c r="P61" s="26">
        <f t="shared" si="0"/>
        <v>49.36</v>
      </c>
      <c r="Q61" s="27">
        <v>545</v>
      </c>
      <c r="R61" s="28">
        <f t="shared" si="1"/>
        <v>26901.200000000001</v>
      </c>
      <c r="S61" s="27"/>
      <c r="T61" s="29"/>
      <c r="V61" s="29" t="s">
        <v>24</v>
      </c>
      <c r="W61" s="27">
        <v>145</v>
      </c>
      <c r="X61" s="30">
        <f t="shared" si="5"/>
        <v>7157.2</v>
      </c>
      <c r="Y61" s="31">
        <v>260</v>
      </c>
      <c r="Z61" s="29">
        <f t="shared" si="6"/>
        <v>12833.6</v>
      </c>
      <c r="AA61" s="29">
        <f t="shared" si="7"/>
        <v>46892</v>
      </c>
    </row>
    <row r="62" spans="1:38" s="32" customFormat="1" x14ac:dyDescent="0.25">
      <c r="A62" s="18">
        <v>66</v>
      </c>
      <c r="B62" s="19">
        <v>46024</v>
      </c>
      <c r="C62" s="19">
        <v>46024</v>
      </c>
      <c r="D62" s="20">
        <v>260102044</v>
      </c>
      <c r="E62" s="21" t="s">
        <v>134</v>
      </c>
      <c r="F62" s="21"/>
      <c r="G62" s="21"/>
      <c r="H62" s="44">
        <v>115</v>
      </c>
      <c r="I62" s="23" t="s">
        <v>33</v>
      </c>
      <c r="J62" s="24" t="s">
        <v>23</v>
      </c>
      <c r="K62" s="35" t="s">
        <v>31</v>
      </c>
      <c r="L62" s="25" t="s">
        <v>62</v>
      </c>
      <c r="M62" s="21" t="s">
        <v>34</v>
      </c>
      <c r="N62" s="37">
        <v>61.58</v>
      </c>
      <c r="O62" s="37">
        <v>15.32</v>
      </c>
      <c r="P62" s="26">
        <f t="shared" si="0"/>
        <v>46.26</v>
      </c>
      <c r="Q62" s="27">
        <v>545</v>
      </c>
      <c r="R62" s="28">
        <f t="shared" si="1"/>
        <v>25211.7</v>
      </c>
      <c r="S62" s="27"/>
      <c r="T62" s="29"/>
      <c r="V62" s="29" t="s">
        <v>24</v>
      </c>
      <c r="W62" s="27">
        <v>145</v>
      </c>
      <c r="X62" s="30">
        <f t="shared" si="5"/>
        <v>6707.7</v>
      </c>
      <c r="Y62" s="31">
        <v>260</v>
      </c>
      <c r="Z62" s="29">
        <f t="shared" si="6"/>
        <v>12027.6</v>
      </c>
      <c r="AA62" s="29">
        <f t="shared" si="7"/>
        <v>43947</v>
      </c>
    </row>
    <row r="63" spans="1:38" s="32" customFormat="1" x14ac:dyDescent="0.25">
      <c r="A63" s="18">
        <v>67</v>
      </c>
      <c r="B63" s="19">
        <v>46024</v>
      </c>
      <c r="C63" s="19">
        <v>46024</v>
      </c>
      <c r="D63" s="20">
        <v>260102045</v>
      </c>
      <c r="E63" s="21" t="s">
        <v>135</v>
      </c>
      <c r="F63" s="38"/>
      <c r="G63" s="21"/>
      <c r="H63" s="44">
        <v>115</v>
      </c>
      <c r="I63" s="23" t="s">
        <v>33</v>
      </c>
      <c r="J63" s="24" t="s">
        <v>23</v>
      </c>
      <c r="K63" s="35" t="s">
        <v>31</v>
      </c>
      <c r="L63" s="25" t="s">
        <v>38</v>
      </c>
      <c r="M63" s="21" t="s">
        <v>34</v>
      </c>
      <c r="N63" s="37">
        <v>61.88</v>
      </c>
      <c r="O63" s="37">
        <v>15</v>
      </c>
      <c r="P63" s="26">
        <f t="shared" si="0"/>
        <v>46.88</v>
      </c>
      <c r="Q63" s="27">
        <v>545</v>
      </c>
      <c r="R63" s="28">
        <f t="shared" si="1"/>
        <v>25549.600000000002</v>
      </c>
      <c r="S63" s="27"/>
      <c r="T63" s="29"/>
      <c r="V63" s="29" t="s">
        <v>24</v>
      </c>
      <c r="W63" s="27">
        <v>145</v>
      </c>
      <c r="X63" s="30">
        <f t="shared" si="5"/>
        <v>6797.6</v>
      </c>
      <c r="Y63" s="31">
        <v>260</v>
      </c>
      <c r="Z63" s="29">
        <f t="shared" si="6"/>
        <v>12188.800000000001</v>
      </c>
      <c r="AA63" s="29">
        <f t="shared" si="7"/>
        <v>44536.000000000007</v>
      </c>
    </row>
    <row r="64" spans="1:38" s="38" customFormat="1" x14ac:dyDescent="0.25">
      <c r="A64" s="18">
        <v>68</v>
      </c>
      <c r="B64" s="19">
        <v>46024</v>
      </c>
      <c r="C64" s="19">
        <v>46024</v>
      </c>
      <c r="D64" s="20">
        <v>260102046</v>
      </c>
      <c r="E64" s="21" t="s">
        <v>136</v>
      </c>
      <c r="F64" s="21"/>
      <c r="G64" s="21"/>
      <c r="H64" s="44">
        <v>115</v>
      </c>
      <c r="I64" s="23" t="s">
        <v>33</v>
      </c>
      <c r="J64" s="24" t="s">
        <v>23</v>
      </c>
      <c r="K64" s="35" t="s">
        <v>31</v>
      </c>
      <c r="L64" s="25" t="s">
        <v>59</v>
      </c>
      <c r="M64" s="21" t="s">
        <v>35</v>
      </c>
      <c r="N64" s="37">
        <v>64.88</v>
      </c>
      <c r="O64" s="37">
        <v>16.32</v>
      </c>
      <c r="P64" s="26">
        <f t="shared" si="0"/>
        <v>48.559999999999995</v>
      </c>
      <c r="Q64" s="27">
        <v>445</v>
      </c>
      <c r="R64" s="28">
        <f t="shared" si="1"/>
        <v>21609.199999999997</v>
      </c>
      <c r="S64" s="27"/>
      <c r="T64" s="29"/>
      <c r="V64" s="29" t="s">
        <v>24</v>
      </c>
      <c r="W64" s="27">
        <v>145</v>
      </c>
      <c r="X64" s="30">
        <f t="shared" si="5"/>
        <v>7041.1999999999989</v>
      </c>
      <c r="Y64" s="31">
        <v>260</v>
      </c>
      <c r="Z64" s="29">
        <f t="shared" si="6"/>
        <v>12625.599999999999</v>
      </c>
      <c r="AA64" s="29">
        <f t="shared" si="7"/>
        <v>41275.999999999993</v>
      </c>
    </row>
    <row r="65" spans="1:27" s="38" customFormat="1" x14ac:dyDescent="0.25">
      <c r="A65" s="18">
        <v>69</v>
      </c>
      <c r="B65" s="19">
        <v>46024</v>
      </c>
      <c r="C65" s="19">
        <v>46024</v>
      </c>
      <c r="D65" s="20">
        <v>260102047</v>
      </c>
      <c r="E65" s="21" t="s">
        <v>137</v>
      </c>
      <c r="F65" s="21"/>
      <c r="G65" s="21"/>
      <c r="H65" s="44">
        <v>115</v>
      </c>
      <c r="I65" s="23" t="s">
        <v>33</v>
      </c>
      <c r="J65" s="24" t="s">
        <v>23</v>
      </c>
      <c r="K65" s="35" t="s">
        <v>31</v>
      </c>
      <c r="L65" s="25" t="s">
        <v>50</v>
      </c>
      <c r="M65" s="21" t="s">
        <v>35</v>
      </c>
      <c r="N65" s="37">
        <v>68.64</v>
      </c>
      <c r="O65" s="37">
        <v>16.920000000000002</v>
      </c>
      <c r="P65" s="26">
        <f t="shared" si="0"/>
        <v>51.72</v>
      </c>
      <c r="Q65" s="27">
        <v>445</v>
      </c>
      <c r="R65" s="28">
        <f t="shared" si="1"/>
        <v>23015.399999999998</v>
      </c>
      <c r="S65" s="27"/>
      <c r="T65" s="29"/>
      <c r="V65" s="29" t="s">
        <v>24</v>
      </c>
      <c r="W65" s="27">
        <v>145</v>
      </c>
      <c r="X65" s="30">
        <f t="shared" si="5"/>
        <v>7499.4</v>
      </c>
      <c r="Y65" s="31">
        <v>260</v>
      </c>
      <c r="Z65" s="29">
        <f t="shared" si="6"/>
        <v>13447.199999999999</v>
      </c>
      <c r="AA65" s="29">
        <f t="shared" si="7"/>
        <v>43961.999999999993</v>
      </c>
    </row>
    <row r="66" spans="1:27" s="32" customFormat="1" x14ac:dyDescent="0.25">
      <c r="A66" s="18">
        <v>70</v>
      </c>
      <c r="B66" s="19">
        <v>46024</v>
      </c>
      <c r="C66" s="19">
        <v>46024</v>
      </c>
      <c r="D66" s="20">
        <v>260102048</v>
      </c>
      <c r="E66" s="21" t="s">
        <v>138</v>
      </c>
      <c r="F66" s="21"/>
      <c r="G66" s="21"/>
      <c r="H66" s="44">
        <v>115</v>
      </c>
      <c r="I66" s="23" t="s">
        <v>33</v>
      </c>
      <c r="J66" s="24" t="s">
        <v>23</v>
      </c>
      <c r="K66" s="35" t="s">
        <v>31</v>
      </c>
      <c r="L66" s="43" t="s">
        <v>42</v>
      </c>
      <c r="M66" s="21" t="s">
        <v>35</v>
      </c>
      <c r="N66" s="37">
        <v>50.94</v>
      </c>
      <c r="O66" s="37">
        <v>11.74</v>
      </c>
      <c r="P66" s="26">
        <f t="shared" si="0"/>
        <v>39.199999999999996</v>
      </c>
      <c r="Q66" s="27">
        <v>445</v>
      </c>
      <c r="R66" s="28">
        <f t="shared" si="1"/>
        <v>17443.999999999996</v>
      </c>
      <c r="S66" s="27"/>
      <c r="T66" s="29"/>
      <c r="V66" s="29" t="s">
        <v>24</v>
      </c>
      <c r="W66" s="27">
        <v>145</v>
      </c>
      <c r="X66" s="30">
        <f t="shared" si="5"/>
        <v>5683.9999999999991</v>
      </c>
      <c r="Y66" s="31">
        <v>260</v>
      </c>
      <c r="Z66" s="29">
        <f t="shared" si="6"/>
        <v>10191.999999999998</v>
      </c>
      <c r="AA66" s="29">
        <f t="shared" si="7"/>
        <v>33319.999999999993</v>
      </c>
    </row>
    <row r="67" spans="1:27" s="32" customFormat="1" x14ac:dyDescent="0.25">
      <c r="A67" s="18">
        <v>71</v>
      </c>
      <c r="B67" s="19">
        <v>46024</v>
      </c>
      <c r="C67" s="19">
        <v>46024</v>
      </c>
      <c r="D67" s="20">
        <v>260102049</v>
      </c>
      <c r="E67" s="21" t="s">
        <v>139</v>
      </c>
      <c r="F67" s="21"/>
      <c r="G67" s="21"/>
      <c r="H67" s="44">
        <v>115</v>
      </c>
      <c r="I67" s="23" t="s">
        <v>33</v>
      </c>
      <c r="J67" s="24" t="s">
        <v>23</v>
      </c>
      <c r="K67" s="35" t="s">
        <v>31</v>
      </c>
      <c r="L67" s="25" t="s">
        <v>140</v>
      </c>
      <c r="M67" s="21" t="s">
        <v>32</v>
      </c>
      <c r="N67" s="37">
        <v>64.36</v>
      </c>
      <c r="O67" s="37">
        <v>17.600000000000001</v>
      </c>
      <c r="P67" s="26">
        <f t="shared" si="0"/>
        <v>46.76</v>
      </c>
      <c r="Q67" s="27">
        <v>315</v>
      </c>
      <c r="R67" s="28">
        <f t="shared" si="1"/>
        <v>14729.4</v>
      </c>
      <c r="S67" s="27"/>
      <c r="T67" s="29"/>
      <c r="V67" s="29" t="s">
        <v>24</v>
      </c>
      <c r="W67" s="27">
        <v>145</v>
      </c>
      <c r="X67" s="30">
        <f t="shared" si="5"/>
        <v>6780.2</v>
      </c>
      <c r="Y67" s="31">
        <v>260</v>
      </c>
      <c r="Z67" s="29">
        <f t="shared" si="6"/>
        <v>12157.6</v>
      </c>
      <c r="AA67" s="29">
        <f t="shared" si="7"/>
        <v>33667.199999999997</v>
      </c>
    </row>
    <row r="68" spans="1:27" s="32" customFormat="1" x14ac:dyDescent="0.25">
      <c r="A68" s="18">
        <v>72</v>
      </c>
      <c r="B68" s="19">
        <v>46024</v>
      </c>
      <c r="C68" s="19">
        <v>46024</v>
      </c>
      <c r="D68" s="20">
        <v>260102050</v>
      </c>
      <c r="E68" s="21" t="s">
        <v>141</v>
      </c>
      <c r="F68" s="21"/>
      <c r="G68" s="21"/>
      <c r="H68" s="44">
        <v>115</v>
      </c>
      <c r="I68" s="23" t="s">
        <v>33</v>
      </c>
      <c r="J68" s="24" t="s">
        <v>23</v>
      </c>
      <c r="K68" s="35" t="s">
        <v>31</v>
      </c>
      <c r="L68" s="20" t="s">
        <v>124</v>
      </c>
      <c r="M68" s="21" t="s">
        <v>34</v>
      </c>
      <c r="N68" s="37">
        <v>51.22</v>
      </c>
      <c r="O68" s="37">
        <v>12.78</v>
      </c>
      <c r="P68" s="26">
        <f t="shared" ref="P68:P114" si="8">N68-O68</f>
        <v>38.44</v>
      </c>
      <c r="Q68" s="27">
        <v>545</v>
      </c>
      <c r="R68" s="28">
        <f t="shared" ref="R68:R113" si="9">Q68*P68</f>
        <v>20949.8</v>
      </c>
      <c r="S68" s="27"/>
      <c r="T68" s="29"/>
      <c r="V68" s="29" t="s">
        <v>24</v>
      </c>
      <c r="W68" s="27">
        <v>145</v>
      </c>
      <c r="X68" s="30">
        <f t="shared" si="5"/>
        <v>5573.7999999999993</v>
      </c>
      <c r="Y68" s="31">
        <v>260</v>
      </c>
      <c r="Z68" s="29">
        <f t="shared" si="6"/>
        <v>9994.4</v>
      </c>
      <c r="AA68" s="29">
        <f t="shared" si="7"/>
        <v>36518</v>
      </c>
    </row>
    <row r="69" spans="1:27" s="32" customFormat="1" x14ac:dyDescent="0.25">
      <c r="A69" s="18">
        <v>73</v>
      </c>
      <c r="B69" s="19">
        <v>46024</v>
      </c>
      <c r="C69" s="19">
        <v>46024</v>
      </c>
      <c r="D69" s="20">
        <v>260102051</v>
      </c>
      <c r="E69" s="21" t="s">
        <v>142</v>
      </c>
      <c r="F69" s="21"/>
      <c r="G69" s="21"/>
      <c r="H69" s="44">
        <v>115</v>
      </c>
      <c r="I69" s="23" t="s">
        <v>33</v>
      </c>
      <c r="J69" s="24" t="s">
        <v>23</v>
      </c>
      <c r="K69" s="35" t="s">
        <v>31</v>
      </c>
      <c r="L69" s="25" t="s">
        <v>46</v>
      </c>
      <c r="M69" s="21" t="s">
        <v>35</v>
      </c>
      <c r="N69" s="37">
        <v>63.02</v>
      </c>
      <c r="O69" s="37">
        <v>14.9</v>
      </c>
      <c r="P69" s="26">
        <f t="shared" si="8"/>
        <v>48.120000000000005</v>
      </c>
      <c r="Q69" s="27">
        <v>445</v>
      </c>
      <c r="R69" s="28">
        <f t="shared" si="9"/>
        <v>21413.4</v>
      </c>
      <c r="S69" s="27"/>
      <c r="T69" s="29"/>
      <c r="V69" s="29" t="s">
        <v>24</v>
      </c>
      <c r="W69" s="27">
        <v>145</v>
      </c>
      <c r="X69" s="30">
        <f t="shared" si="5"/>
        <v>6977.4000000000005</v>
      </c>
      <c r="Y69" s="31">
        <v>260</v>
      </c>
      <c r="Z69" s="29">
        <f t="shared" si="6"/>
        <v>12511.2</v>
      </c>
      <c r="AA69" s="29">
        <f t="shared" si="7"/>
        <v>40902</v>
      </c>
    </row>
    <row r="70" spans="1:27" s="32" customFormat="1" x14ac:dyDescent="0.25">
      <c r="A70" s="18">
        <v>74</v>
      </c>
      <c r="B70" s="19">
        <v>46024</v>
      </c>
      <c r="C70" s="19">
        <v>46024</v>
      </c>
      <c r="D70" s="20">
        <v>260102052</v>
      </c>
      <c r="E70" s="21" t="s">
        <v>143</v>
      </c>
      <c r="F70" s="21"/>
      <c r="G70" s="21"/>
      <c r="H70" s="44">
        <v>115</v>
      </c>
      <c r="I70" s="23" t="s">
        <v>33</v>
      </c>
      <c r="J70" s="24" t="s">
        <v>23</v>
      </c>
      <c r="K70" s="35" t="s">
        <v>31</v>
      </c>
      <c r="L70" s="25" t="s">
        <v>144</v>
      </c>
      <c r="M70" s="21" t="s">
        <v>34</v>
      </c>
      <c r="N70" s="37">
        <v>68.94</v>
      </c>
      <c r="O70" s="37">
        <v>18.16</v>
      </c>
      <c r="P70" s="26">
        <f t="shared" si="8"/>
        <v>50.78</v>
      </c>
      <c r="Q70" s="27">
        <v>545</v>
      </c>
      <c r="R70" s="28">
        <f t="shared" si="9"/>
        <v>27675.100000000002</v>
      </c>
      <c r="S70" s="27"/>
      <c r="T70" s="29"/>
      <c r="V70" s="29" t="s">
        <v>24</v>
      </c>
      <c r="W70" s="27">
        <v>145</v>
      </c>
      <c r="X70" s="30">
        <f t="shared" si="5"/>
        <v>7363.1</v>
      </c>
      <c r="Y70" s="31">
        <v>260</v>
      </c>
      <c r="Z70" s="29">
        <f t="shared" si="6"/>
        <v>13202.800000000001</v>
      </c>
      <c r="AA70" s="29">
        <f t="shared" si="7"/>
        <v>48241.000000000007</v>
      </c>
    </row>
    <row r="71" spans="1:27" s="38" customFormat="1" x14ac:dyDescent="0.25">
      <c r="A71" s="18">
        <v>75</v>
      </c>
      <c r="B71" s="19">
        <v>46024</v>
      </c>
      <c r="C71" s="19">
        <v>46024</v>
      </c>
      <c r="D71" s="20">
        <v>260102053</v>
      </c>
      <c r="E71" s="21" t="s">
        <v>145</v>
      </c>
      <c r="F71" s="21"/>
      <c r="G71" s="21"/>
      <c r="H71" s="44">
        <v>115</v>
      </c>
      <c r="I71" s="23" t="s">
        <v>33</v>
      </c>
      <c r="J71" s="24" t="s">
        <v>23</v>
      </c>
      <c r="K71" s="35" t="s">
        <v>31</v>
      </c>
      <c r="L71" s="25" t="s">
        <v>146</v>
      </c>
      <c r="M71" s="21" t="s">
        <v>35</v>
      </c>
      <c r="N71" s="37">
        <v>56.3</v>
      </c>
      <c r="O71" s="37">
        <v>12.02</v>
      </c>
      <c r="P71" s="26">
        <f t="shared" si="8"/>
        <v>44.28</v>
      </c>
      <c r="Q71" s="27">
        <v>445</v>
      </c>
      <c r="R71" s="28">
        <f t="shared" si="9"/>
        <v>19704.600000000002</v>
      </c>
      <c r="S71" s="21"/>
      <c r="T71" s="29"/>
      <c r="V71" s="29" t="s">
        <v>24</v>
      </c>
      <c r="W71" s="27">
        <v>145</v>
      </c>
      <c r="X71" s="30">
        <f t="shared" si="5"/>
        <v>6420.6</v>
      </c>
      <c r="Y71" s="31">
        <v>260</v>
      </c>
      <c r="Z71" s="29">
        <f t="shared" si="6"/>
        <v>11512.800000000001</v>
      </c>
      <c r="AA71" s="29">
        <f t="shared" si="7"/>
        <v>37638.000000000007</v>
      </c>
    </row>
    <row r="72" spans="1:27" s="38" customFormat="1" x14ac:dyDescent="0.25">
      <c r="A72" s="18">
        <v>76</v>
      </c>
      <c r="B72" s="19">
        <v>46024</v>
      </c>
      <c r="C72" s="19">
        <v>46024</v>
      </c>
      <c r="D72" s="20">
        <v>260102054</v>
      </c>
      <c r="E72" s="21" t="s">
        <v>147</v>
      </c>
      <c r="F72" s="21"/>
      <c r="G72" s="21"/>
      <c r="H72" s="44">
        <v>115</v>
      </c>
      <c r="I72" s="23" t="s">
        <v>33</v>
      </c>
      <c r="J72" s="24" t="s">
        <v>23</v>
      </c>
      <c r="K72" s="35" t="s">
        <v>31</v>
      </c>
      <c r="L72" s="25" t="s">
        <v>148</v>
      </c>
      <c r="M72" s="21" t="s">
        <v>34</v>
      </c>
      <c r="N72" s="37">
        <v>66.260000000000005</v>
      </c>
      <c r="O72" s="37">
        <v>18.22</v>
      </c>
      <c r="P72" s="26">
        <f t="shared" si="8"/>
        <v>48.040000000000006</v>
      </c>
      <c r="Q72" s="27">
        <v>545</v>
      </c>
      <c r="R72" s="28">
        <f t="shared" si="9"/>
        <v>26181.800000000003</v>
      </c>
      <c r="S72" s="21"/>
      <c r="T72" s="29"/>
      <c r="V72" s="29" t="s">
        <v>24</v>
      </c>
      <c r="W72" s="27">
        <v>145</v>
      </c>
      <c r="X72" s="30">
        <f t="shared" si="5"/>
        <v>6965.8000000000011</v>
      </c>
      <c r="Y72" s="31">
        <v>260</v>
      </c>
      <c r="Z72" s="29">
        <f t="shared" si="6"/>
        <v>12490.400000000001</v>
      </c>
      <c r="AA72" s="29">
        <f t="shared" si="7"/>
        <v>45638.000000000007</v>
      </c>
    </row>
    <row r="73" spans="1:27" s="32" customFormat="1" x14ac:dyDescent="0.25">
      <c r="A73" s="18">
        <v>77</v>
      </c>
      <c r="B73" s="19">
        <v>46024</v>
      </c>
      <c r="C73" s="19">
        <v>46024</v>
      </c>
      <c r="D73" s="20">
        <v>260102055</v>
      </c>
      <c r="E73" s="21" t="s">
        <v>149</v>
      </c>
      <c r="F73" s="21"/>
      <c r="G73" s="21"/>
      <c r="H73" s="44">
        <v>115</v>
      </c>
      <c r="I73" s="23" t="s">
        <v>33</v>
      </c>
      <c r="J73" s="24" t="s">
        <v>23</v>
      </c>
      <c r="K73" s="35" t="s">
        <v>31</v>
      </c>
      <c r="L73" s="25" t="s">
        <v>150</v>
      </c>
      <c r="M73" s="21" t="s">
        <v>35</v>
      </c>
      <c r="N73" s="37">
        <v>62.26</v>
      </c>
      <c r="O73" s="37">
        <v>17.78</v>
      </c>
      <c r="P73" s="26">
        <f t="shared" si="8"/>
        <v>44.48</v>
      </c>
      <c r="Q73" s="27">
        <v>445</v>
      </c>
      <c r="R73" s="28">
        <f t="shared" si="9"/>
        <v>19793.599999999999</v>
      </c>
      <c r="S73" s="27"/>
      <c r="T73" s="29"/>
      <c r="V73" s="29" t="s">
        <v>24</v>
      </c>
      <c r="W73" s="27">
        <v>145</v>
      </c>
      <c r="X73" s="30">
        <f t="shared" si="5"/>
        <v>6449.5999999999995</v>
      </c>
      <c r="Y73" s="31">
        <v>260</v>
      </c>
      <c r="Z73" s="29">
        <f t="shared" si="6"/>
        <v>11564.8</v>
      </c>
      <c r="AA73" s="29">
        <f t="shared" si="7"/>
        <v>37808</v>
      </c>
    </row>
    <row r="74" spans="1:27" s="38" customFormat="1" x14ac:dyDescent="0.25">
      <c r="A74" s="18">
        <v>78</v>
      </c>
      <c r="B74" s="19">
        <v>46024</v>
      </c>
      <c r="C74" s="19">
        <v>46024</v>
      </c>
      <c r="D74" s="20">
        <v>260102056</v>
      </c>
      <c r="E74" s="21" t="s">
        <v>151</v>
      </c>
      <c r="F74" s="21"/>
      <c r="G74" s="21"/>
      <c r="H74" s="44">
        <v>115</v>
      </c>
      <c r="I74" s="23" t="s">
        <v>33</v>
      </c>
      <c r="J74" s="24" t="s">
        <v>23</v>
      </c>
      <c r="K74" s="35" t="s">
        <v>31</v>
      </c>
      <c r="L74" s="25" t="s">
        <v>66</v>
      </c>
      <c r="M74" s="21" t="s">
        <v>34</v>
      </c>
      <c r="N74" s="37">
        <v>65.64</v>
      </c>
      <c r="O74" s="37">
        <v>15.5</v>
      </c>
      <c r="P74" s="26">
        <f t="shared" si="8"/>
        <v>50.14</v>
      </c>
      <c r="Q74" s="27">
        <v>545</v>
      </c>
      <c r="R74" s="28">
        <f t="shared" si="9"/>
        <v>27326.3</v>
      </c>
      <c r="S74" s="27"/>
      <c r="T74" s="29"/>
      <c r="V74" s="29" t="s">
        <v>24</v>
      </c>
      <c r="W74" s="27">
        <v>145</v>
      </c>
      <c r="X74" s="30">
        <f t="shared" si="5"/>
        <v>7270.3</v>
      </c>
      <c r="Y74" s="31">
        <v>260</v>
      </c>
      <c r="Z74" s="31">
        <f t="shared" si="6"/>
        <v>13036.4</v>
      </c>
      <c r="AA74" s="29">
        <f t="shared" si="7"/>
        <v>47633</v>
      </c>
    </row>
    <row r="75" spans="1:27" s="32" customFormat="1" x14ac:dyDescent="0.25">
      <c r="A75" s="18">
        <v>79</v>
      </c>
      <c r="B75" s="19">
        <v>46024</v>
      </c>
      <c r="C75" s="19">
        <v>46024</v>
      </c>
      <c r="D75" s="20">
        <v>260102057</v>
      </c>
      <c r="E75" s="21" t="s">
        <v>152</v>
      </c>
      <c r="F75" s="21"/>
      <c r="G75" s="21"/>
      <c r="H75" s="44">
        <v>115</v>
      </c>
      <c r="I75" s="23" t="s">
        <v>33</v>
      </c>
      <c r="J75" s="24" t="s">
        <v>23</v>
      </c>
      <c r="K75" s="35" t="s">
        <v>31</v>
      </c>
      <c r="L75" s="25" t="s">
        <v>153</v>
      </c>
      <c r="M75" s="21" t="s">
        <v>35</v>
      </c>
      <c r="N75" s="37">
        <v>49.18</v>
      </c>
      <c r="O75" s="37">
        <v>12.72</v>
      </c>
      <c r="P75" s="26">
        <f t="shared" si="8"/>
        <v>36.46</v>
      </c>
      <c r="Q75" s="27">
        <v>445</v>
      </c>
      <c r="R75" s="28">
        <f t="shared" si="9"/>
        <v>16224.7</v>
      </c>
      <c r="S75" s="27"/>
      <c r="T75" s="29"/>
      <c r="V75" s="29" t="s">
        <v>24</v>
      </c>
      <c r="W75" s="27">
        <v>145</v>
      </c>
      <c r="X75" s="30">
        <f t="shared" si="5"/>
        <v>5286.7</v>
      </c>
      <c r="Y75" s="31">
        <v>260</v>
      </c>
      <c r="Z75" s="31">
        <f t="shared" si="6"/>
        <v>9479.6</v>
      </c>
      <c r="AA75" s="29">
        <f t="shared" si="7"/>
        <v>30991</v>
      </c>
    </row>
    <row r="76" spans="1:27" s="38" customFormat="1" x14ac:dyDescent="0.25">
      <c r="A76" s="18">
        <v>80</v>
      </c>
      <c r="B76" s="19">
        <v>46024</v>
      </c>
      <c r="C76" s="19">
        <v>46024</v>
      </c>
      <c r="D76" s="20">
        <v>260102058</v>
      </c>
      <c r="E76" s="21" t="s">
        <v>154</v>
      </c>
      <c r="F76" s="21"/>
      <c r="G76" s="21"/>
      <c r="H76" s="44">
        <v>115</v>
      </c>
      <c r="I76" s="23" t="s">
        <v>33</v>
      </c>
      <c r="J76" s="24" t="s">
        <v>23</v>
      </c>
      <c r="K76" s="35" t="s">
        <v>31</v>
      </c>
      <c r="L76" s="25" t="s">
        <v>65</v>
      </c>
      <c r="M76" s="21" t="s">
        <v>35</v>
      </c>
      <c r="N76" s="37">
        <v>50.7</v>
      </c>
      <c r="O76" s="37">
        <v>11.88</v>
      </c>
      <c r="P76" s="26">
        <f t="shared" si="8"/>
        <v>38.82</v>
      </c>
      <c r="Q76" s="27">
        <v>445</v>
      </c>
      <c r="R76" s="28">
        <f t="shared" si="9"/>
        <v>17274.900000000001</v>
      </c>
      <c r="S76" s="21"/>
      <c r="T76" s="29"/>
      <c r="V76" s="29" t="s">
        <v>24</v>
      </c>
      <c r="W76" s="27">
        <v>145</v>
      </c>
      <c r="X76" s="30">
        <f t="shared" si="5"/>
        <v>5628.9</v>
      </c>
      <c r="Y76" s="31">
        <v>260</v>
      </c>
      <c r="Z76" s="29">
        <f t="shared" si="6"/>
        <v>10093.200000000001</v>
      </c>
      <c r="AA76" s="29">
        <f t="shared" si="7"/>
        <v>32997</v>
      </c>
    </row>
    <row r="77" spans="1:27" s="32" customFormat="1" x14ac:dyDescent="0.25">
      <c r="A77" s="18">
        <v>81</v>
      </c>
      <c r="B77" s="19">
        <v>46024</v>
      </c>
      <c r="C77" s="19">
        <v>46024</v>
      </c>
      <c r="D77" s="20">
        <v>260102059</v>
      </c>
      <c r="E77" s="21" t="s">
        <v>155</v>
      </c>
      <c r="F77" s="21"/>
      <c r="G77" s="21"/>
      <c r="H77" s="44">
        <v>115</v>
      </c>
      <c r="I77" s="23" t="s">
        <v>33</v>
      </c>
      <c r="J77" s="24" t="s">
        <v>23</v>
      </c>
      <c r="K77" s="35" t="s">
        <v>31</v>
      </c>
      <c r="L77" s="25" t="s">
        <v>117</v>
      </c>
      <c r="M77" s="21" t="s">
        <v>34</v>
      </c>
      <c r="N77" s="21">
        <v>58.56</v>
      </c>
      <c r="O77" s="37">
        <v>15.62</v>
      </c>
      <c r="P77" s="26">
        <f t="shared" si="8"/>
        <v>42.940000000000005</v>
      </c>
      <c r="Q77" s="27">
        <v>545</v>
      </c>
      <c r="R77" s="28">
        <f t="shared" si="9"/>
        <v>23402.300000000003</v>
      </c>
      <c r="S77" s="27"/>
      <c r="T77" s="29"/>
      <c r="V77" s="29" t="s">
        <v>24</v>
      </c>
      <c r="W77" s="27">
        <v>145</v>
      </c>
      <c r="X77" s="30">
        <f t="shared" si="5"/>
        <v>6226.3000000000011</v>
      </c>
      <c r="Y77" s="31">
        <v>260</v>
      </c>
      <c r="Z77" s="29">
        <f t="shared" si="6"/>
        <v>11164.400000000001</v>
      </c>
      <c r="AA77" s="29">
        <f t="shared" si="7"/>
        <v>40793.000000000007</v>
      </c>
    </row>
    <row r="78" spans="1:27" s="32" customFormat="1" x14ac:dyDescent="0.25">
      <c r="A78" s="18">
        <v>82</v>
      </c>
      <c r="B78" s="19">
        <v>46024</v>
      </c>
      <c r="C78" s="19">
        <v>46024</v>
      </c>
      <c r="D78" s="20">
        <v>260102060</v>
      </c>
      <c r="E78" s="21" t="s">
        <v>156</v>
      </c>
      <c r="F78" s="21"/>
      <c r="G78" s="21"/>
      <c r="H78" s="44">
        <v>115</v>
      </c>
      <c r="I78" s="23" t="s">
        <v>33</v>
      </c>
      <c r="J78" s="24" t="s">
        <v>23</v>
      </c>
      <c r="K78" s="35" t="s">
        <v>31</v>
      </c>
      <c r="L78" s="25" t="s">
        <v>41</v>
      </c>
      <c r="M78" s="21" t="s">
        <v>35</v>
      </c>
      <c r="N78" s="21">
        <v>63.84</v>
      </c>
      <c r="O78" s="37">
        <v>15.96</v>
      </c>
      <c r="P78" s="26">
        <f t="shared" si="8"/>
        <v>47.88</v>
      </c>
      <c r="Q78" s="27">
        <v>445</v>
      </c>
      <c r="R78" s="28">
        <f t="shared" si="9"/>
        <v>21306.600000000002</v>
      </c>
      <c r="S78" s="27"/>
      <c r="T78" s="29"/>
      <c r="V78" s="29" t="s">
        <v>24</v>
      </c>
      <c r="W78" s="27">
        <v>145</v>
      </c>
      <c r="X78" s="30">
        <f t="shared" si="5"/>
        <v>6942.6</v>
      </c>
      <c r="Y78" s="31">
        <v>260</v>
      </c>
      <c r="Z78" s="29">
        <f t="shared" si="6"/>
        <v>12448.800000000001</v>
      </c>
      <c r="AA78" s="29">
        <f t="shared" si="7"/>
        <v>40698.000000000007</v>
      </c>
    </row>
    <row r="79" spans="1:27" s="32" customFormat="1" x14ac:dyDescent="0.25">
      <c r="A79" s="18">
        <v>83</v>
      </c>
      <c r="B79" s="19">
        <v>46024</v>
      </c>
      <c r="C79" s="19">
        <v>46024</v>
      </c>
      <c r="D79" s="20">
        <v>260102061</v>
      </c>
      <c r="E79" s="21" t="s">
        <v>157</v>
      </c>
      <c r="F79" s="21"/>
      <c r="G79" s="21"/>
      <c r="H79" s="44">
        <v>115</v>
      </c>
      <c r="I79" s="23" t="s">
        <v>33</v>
      </c>
      <c r="J79" s="24" t="s">
        <v>23</v>
      </c>
      <c r="K79" s="35" t="s">
        <v>31</v>
      </c>
      <c r="L79" s="25" t="s">
        <v>68</v>
      </c>
      <c r="M79" s="21" t="s">
        <v>34</v>
      </c>
      <c r="N79" s="37">
        <v>61.1</v>
      </c>
      <c r="O79" s="37">
        <v>15.68</v>
      </c>
      <c r="P79" s="26">
        <f t="shared" si="8"/>
        <v>45.42</v>
      </c>
      <c r="Q79" s="27">
        <v>545</v>
      </c>
      <c r="R79" s="28">
        <f t="shared" si="9"/>
        <v>24753.9</v>
      </c>
      <c r="S79" s="27"/>
      <c r="T79" s="29"/>
      <c r="V79" s="29" t="s">
        <v>24</v>
      </c>
      <c r="W79" s="27">
        <v>145</v>
      </c>
      <c r="X79" s="30">
        <f t="shared" si="5"/>
        <v>6585.9000000000005</v>
      </c>
      <c r="Y79" s="31">
        <v>260</v>
      </c>
      <c r="Z79" s="31">
        <f t="shared" si="6"/>
        <v>11809.2</v>
      </c>
      <c r="AA79" s="29">
        <f t="shared" ref="AA79:AA100" si="10">R79+X79+Z79</f>
        <v>43149</v>
      </c>
    </row>
    <row r="80" spans="1:27" s="32" customFormat="1" x14ac:dyDescent="0.25">
      <c r="A80" s="18">
        <v>84</v>
      </c>
      <c r="B80" s="19">
        <v>46024</v>
      </c>
      <c r="C80" s="19">
        <v>46025</v>
      </c>
      <c r="D80" s="20">
        <v>260103001</v>
      </c>
      <c r="E80" s="21" t="s">
        <v>158</v>
      </c>
      <c r="F80" s="21"/>
      <c r="G80" s="21"/>
      <c r="H80" s="44">
        <v>115</v>
      </c>
      <c r="I80" s="23" t="s">
        <v>33</v>
      </c>
      <c r="J80" s="24" t="s">
        <v>23</v>
      </c>
      <c r="K80" s="35" t="s">
        <v>31</v>
      </c>
      <c r="L80" s="25" t="s">
        <v>43</v>
      </c>
      <c r="M80" s="21" t="s">
        <v>35</v>
      </c>
      <c r="N80" s="37">
        <v>52.16</v>
      </c>
      <c r="O80" s="37">
        <v>11.24</v>
      </c>
      <c r="P80" s="26">
        <f t="shared" si="8"/>
        <v>40.919999999999995</v>
      </c>
      <c r="Q80" s="27">
        <v>445</v>
      </c>
      <c r="R80" s="28">
        <f t="shared" si="9"/>
        <v>18209.399999999998</v>
      </c>
      <c r="S80" s="27"/>
      <c r="T80" s="29"/>
      <c r="V80" s="29" t="s">
        <v>24</v>
      </c>
      <c r="W80" s="27">
        <v>145</v>
      </c>
      <c r="X80" s="30">
        <f t="shared" si="5"/>
        <v>5933.4</v>
      </c>
      <c r="Y80" s="31">
        <v>260</v>
      </c>
      <c r="Z80" s="31">
        <f t="shared" si="6"/>
        <v>10639.199999999999</v>
      </c>
      <c r="AA80" s="29">
        <f t="shared" si="10"/>
        <v>34781.999999999993</v>
      </c>
    </row>
    <row r="81" spans="1:27" s="32" customFormat="1" x14ac:dyDescent="0.25">
      <c r="A81" s="18">
        <v>85</v>
      </c>
      <c r="B81" s="19">
        <v>46024</v>
      </c>
      <c r="C81" s="19">
        <v>46025</v>
      </c>
      <c r="D81" s="20">
        <v>260103002</v>
      </c>
      <c r="E81" s="21" t="s">
        <v>159</v>
      </c>
      <c r="F81" s="21"/>
      <c r="G81" s="21"/>
      <c r="H81" s="44">
        <v>115</v>
      </c>
      <c r="I81" s="23" t="s">
        <v>33</v>
      </c>
      <c r="J81" s="24" t="s">
        <v>23</v>
      </c>
      <c r="K81" s="35" t="s">
        <v>31</v>
      </c>
      <c r="L81" s="21" t="s">
        <v>55</v>
      </c>
      <c r="M81" s="21" t="s">
        <v>34</v>
      </c>
      <c r="N81" s="37">
        <v>68.459999999999994</v>
      </c>
      <c r="O81" s="37">
        <v>17.98</v>
      </c>
      <c r="P81" s="26">
        <f t="shared" si="8"/>
        <v>50.47999999999999</v>
      </c>
      <c r="Q81" s="27">
        <v>545</v>
      </c>
      <c r="R81" s="28">
        <f t="shared" si="9"/>
        <v>27511.599999999995</v>
      </c>
      <c r="S81" s="27"/>
      <c r="T81" s="29"/>
      <c r="V81" s="29" t="s">
        <v>24</v>
      </c>
      <c r="W81" s="27">
        <v>145</v>
      </c>
      <c r="X81" s="30">
        <f t="shared" si="5"/>
        <v>7319.5999999999985</v>
      </c>
      <c r="Y81" s="31">
        <v>260</v>
      </c>
      <c r="Z81" s="31">
        <f t="shared" si="6"/>
        <v>13124.799999999997</v>
      </c>
      <c r="AA81" s="29">
        <f t="shared" si="10"/>
        <v>47955.999999999993</v>
      </c>
    </row>
    <row r="82" spans="1:27" s="38" customFormat="1" x14ac:dyDescent="0.25">
      <c r="A82" s="18">
        <v>86</v>
      </c>
      <c r="B82" s="19">
        <v>46024</v>
      </c>
      <c r="C82" s="19">
        <v>46025</v>
      </c>
      <c r="D82" s="20">
        <v>260103003</v>
      </c>
      <c r="E82" s="21" t="s">
        <v>160</v>
      </c>
      <c r="F82" s="21"/>
      <c r="G82" s="21"/>
      <c r="H82" s="48">
        <v>42</v>
      </c>
      <c r="I82" s="23" t="s">
        <v>44</v>
      </c>
      <c r="J82" s="49" t="s">
        <v>23</v>
      </c>
      <c r="K82" s="23" t="s">
        <v>31</v>
      </c>
      <c r="L82" s="21" t="s">
        <v>59</v>
      </c>
      <c r="M82" s="21" t="s">
        <v>35</v>
      </c>
      <c r="N82" s="37">
        <v>66</v>
      </c>
      <c r="O82" s="37">
        <v>16.28</v>
      </c>
      <c r="P82" s="26">
        <f t="shared" si="8"/>
        <v>49.72</v>
      </c>
      <c r="Q82" s="27">
        <v>470</v>
      </c>
      <c r="R82" s="28">
        <f t="shared" si="9"/>
        <v>23368.399999999998</v>
      </c>
      <c r="S82" s="27"/>
      <c r="T82" s="29"/>
      <c r="V82" s="29" t="s">
        <v>24</v>
      </c>
      <c r="W82" s="27">
        <v>145</v>
      </c>
      <c r="X82" s="30">
        <f t="shared" si="5"/>
        <v>7209.4</v>
      </c>
      <c r="Y82" s="31">
        <v>260</v>
      </c>
      <c r="Z82" s="31">
        <f t="shared" si="6"/>
        <v>12927.199999999999</v>
      </c>
      <c r="AA82" s="29">
        <f t="shared" si="10"/>
        <v>43504.999999999993</v>
      </c>
    </row>
    <row r="83" spans="1:27" s="32" customFormat="1" x14ac:dyDescent="0.25">
      <c r="A83" s="18">
        <v>87</v>
      </c>
      <c r="B83" s="19">
        <v>46024</v>
      </c>
      <c r="C83" s="19">
        <v>46025</v>
      </c>
      <c r="D83" s="20">
        <v>260103004</v>
      </c>
      <c r="E83" s="21" t="s">
        <v>161</v>
      </c>
      <c r="F83" s="21"/>
      <c r="G83" s="21"/>
      <c r="H83" s="48">
        <v>42</v>
      </c>
      <c r="I83" s="23" t="s">
        <v>44</v>
      </c>
      <c r="J83" s="49" t="s">
        <v>23</v>
      </c>
      <c r="K83" s="23" t="s">
        <v>31</v>
      </c>
      <c r="L83" s="21" t="s">
        <v>37</v>
      </c>
      <c r="M83" s="21" t="s">
        <v>35</v>
      </c>
      <c r="N83" s="37">
        <v>66.12</v>
      </c>
      <c r="O83" s="37">
        <v>15.74</v>
      </c>
      <c r="P83" s="26">
        <f t="shared" si="8"/>
        <v>50.38</v>
      </c>
      <c r="Q83" s="27">
        <v>470</v>
      </c>
      <c r="R83" s="28">
        <f t="shared" si="9"/>
        <v>23678.600000000002</v>
      </c>
      <c r="S83" s="27"/>
      <c r="T83" s="29"/>
      <c r="V83" s="29" t="s">
        <v>24</v>
      </c>
      <c r="W83" s="27">
        <v>145</v>
      </c>
      <c r="X83" s="30">
        <f t="shared" si="5"/>
        <v>7305.1</v>
      </c>
      <c r="Y83" s="31">
        <v>260</v>
      </c>
      <c r="Z83" s="31">
        <f t="shared" si="6"/>
        <v>13098.800000000001</v>
      </c>
      <c r="AA83" s="29">
        <f t="shared" si="10"/>
        <v>44082.500000000007</v>
      </c>
    </row>
    <row r="84" spans="1:27" s="32" customFormat="1" x14ac:dyDescent="0.25">
      <c r="A84" s="18">
        <v>88</v>
      </c>
      <c r="B84" s="19">
        <v>46024</v>
      </c>
      <c r="C84" s="19">
        <v>46025</v>
      </c>
      <c r="D84" s="20">
        <v>260103005</v>
      </c>
      <c r="E84" s="21" t="s">
        <v>162</v>
      </c>
      <c r="F84" s="21"/>
      <c r="G84" s="21"/>
      <c r="H84" s="48">
        <v>42</v>
      </c>
      <c r="I84" s="23" t="s">
        <v>44</v>
      </c>
      <c r="J84" s="49" t="s">
        <v>23</v>
      </c>
      <c r="K84" s="23" t="s">
        <v>31</v>
      </c>
      <c r="L84" s="25" t="s">
        <v>62</v>
      </c>
      <c r="M84" s="21" t="s">
        <v>34</v>
      </c>
      <c r="N84" s="37">
        <v>59.24</v>
      </c>
      <c r="O84" s="37">
        <v>15.34</v>
      </c>
      <c r="P84" s="26">
        <f t="shared" si="8"/>
        <v>43.900000000000006</v>
      </c>
      <c r="Q84" s="27">
        <v>525</v>
      </c>
      <c r="R84" s="28">
        <f t="shared" si="9"/>
        <v>23047.500000000004</v>
      </c>
      <c r="S84" s="27"/>
      <c r="T84" s="29"/>
      <c r="V84" s="29" t="s">
        <v>24</v>
      </c>
      <c r="W84" s="27">
        <v>145</v>
      </c>
      <c r="X84" s="30">
        <f t="shared" si="5"/>
        <v>6365.5000000000009</v>
      </c>
      <c r="Y84" s="31">
        <v>260</v>
      </c>
      <c r="Z84" s="31">
        <f t="shared" si="6"/>
        <v>11414.000000000002</v>
      </c>
      <c r="AA84" s="29">
        <f t="shared" si="10"/>
        <v>40827.000000000007</v>
      </c>
    </row>
    <row r="85" spans="1:27" s="32" customFormat="1" x14ac:dyDescent="0.25">
      <c r="A85" s="18">
        <v>89</v>
      </c>
      <c r="B85" s="19">
        <v>46024</v>
      </c>
      <c r="C85" s="19">
        <v>46025</v>
      </c>
      <c r="D85" s="20">
        <v>260103006</v>
      </c>
      <c r="E85" s="21" t="s">
        <v>163</v>
      </c>
      <c r="F85" s="21"/>
      <c r="G85" s="21"/>
      <c r="H85" s="48">
        <v>42</v>
      </c>
      <c r="I85" s="23" t="s">
        <v>44</v>
      </c>
      <c r="J85" s="49" t="s">
        <v>23</v>
      </c>
      <c r="K85" s="23" t="s">
        <v>31</v>
      </c>
      <c r="L85" s="21" t="s">
        <v>38</v>
      </c>
      <c r="M85" s="21" t="s">
        <v>34</v>
      </c>
      <c r="N85" s="37">
        <v>61.34</v>
      </c>
      <c r="O85" s="37">
        <v>14.98</v>
      </c>
      <c r="P85" s="26">
        <f t="shared" si="8"/>
        <v>46.36</v>
      </c>
      <c r="Q85" s="27">
        <v>525</v>
      </c>
      <c r="R85" s="28">
        <f t="shared" si="9"/>
        <v>24339</v>
      </c>
      <c r="S85" s="27"/>
      <c r="T85" s="29"/>
      <c r="V85" s="29" t="s">
        <v>24</v>
      </c>
      <c r="W85" s="27">
        <v>145</v>
      </c>
      <c r="X85" s="30">
        <f t="shared" si="5"/>
        <v>6722.2</v>
      </c>
      <c r="Y85" s="31">
        <v>260</v>
      </c>
      <c r="Z85" s="31">
        <f t="shared" si="6"/>
        <v>12053.6</v>
      </c>
      <c r="AA85" s="29">
        <f t="shared" si="10"/>
        <v>43114.8</v>
      </c>
    </row>
    <row r="86" spans="1:27" s="32" customFormat="1" x14ac:dyDescent="0.25">
      <c r="A86" s="18">
        <v>90</v>
      </c>
      <c r="B86" s="19">
        <v>46024</v>
      </c>
      <c r="C86" s="19">
        <v>46025</v>
      </c>
      <c r="D86" s="20">
        <v>260103007</v>
      </c>
      <c r="E86" s="21" t="s">
        <v>164</v>
      </c>
      <c r="F86" s="21"/>
      <c r="G86" s="21"/>
      <c r="H86" s="44">
        <v>115</v>
      </c>
      <c r="I86" s="23" t="s">
        <v>33</v>
      </c>
      <c r="J86" s="24" t="s">
        <v>23</v>
      </c>
      <c r="K86" s="35" t="s">
        <v>31</v>
      </c>
      <c r="L86" s="21" t="s">
        <v>165</v>
      </c>
      <c r="M86" s="21" t="s">
        <v>35</v>
      </c>
      <c r="N86" s="37">
        <v>60.94</v>
      </c>
      <c r="O86" s="21">
        <v>17.940000000000001</v>
      </c>
      <c r="P86" s="26">
        <f t="shared" si="8"/>
        <v>43</v>
      </c>
      <c r="Q86" s="27">
        <v>470</v>
      </c>
      <c r="R86" s="28">
        <f t="shared" si="9"/>
        <v>20210</v>
      </c>
      <c r="S86" s="27"/>
      <c r="T86" s="29"/>
      <c r="V86" s="29" t="s">
        <v>24</v>
      </c>
      <c r="W86" s="27">
        <v>145</v>
      </c>
      <c r="X86" s="30">
        <f t="shared" si="5"/>
        <v>6235</v>
      </c>
      <c r="Y86" s="31">
        <v>260</v>
      </c>
      <c r="Z86" s="31">
        <f t="shared" si="6"/>
        <v>11180</v>
      </c>
      <c r="AA86" s="29">
        <f t="shared" si="10"/>
        <v>37625</v>
      </c>
    </row>
    <row r="87" spans="1:27" s="38" customFormat="1" x14ac:dyDescent="0.25">
      <c r="A87" s="18">
        <v>91</v>
      </c>
      <c r="B87" s="19">
        <v>46024</v>
      </c>
      <c r="C87" s="19">
        <v>46025</v>
      </c>
      <c r="D87" s="20">
        <v>260103008</v>
      </c>
      <c r="E87" s="21" t="s">
        <v>166</v>
      </c>
      <c r="F87" s="21"/>
      <c r="G87" s="21"/>
      <c r="H87" s="48">
        <v>42</v>
      </c>
      <c r="I87" s="23" t="s">
        <v>44</v>
      </c>
      <c r="J87" s="49" t="s">
        <v>23</v>
      </c>
      <c r="K87" s="23" t="s">
        <v>31</v>
      </c>
      <c r="L87" s="21" t="s">
        <v>42</v>
      </c>
      <c r="M87" s="21" t="s">
        <v>35</v>
      </c>
      <c r="N87" s="37">
        <v>51.48</v>
      </c>
      <c r="O87" s="37">
        <v>11.72</v>
      </c>
      <c r="P87" s="26">
        <f t="shared" si="8"/>
        <v>39.76</v>
      </c>
      <c r="Q87" s="27">
        <v>445</v>
      </c>
      <c r="R87" s="28">
        <f t="shared" si="9"/>
        <v>17693.2</v>
      </c>
      <c r="S87" s="27"/>
      <c r="T87" s="29"/>
      <c r="V87" s="29" t="s">
        <v>24</v>
      </c>
      <c r="W87" s="27">
        <v>145</v>
      </c>
      <c r="X87" s="30">
        <f t="shared" si="5"/>
        <v>5765.2</v>
      </c>
      <c r="Y87" s="31">
        <v>260</v>
      </c>
      <c r="Z87" s="31">
        <f t="shared" si="6"/>
        <v>10337.6</v>
      </c>
      <c r="AA87" s="29">
        <f t="shared" si="10"/>
        <v>33796</v>
      </c>
    </row>
    <row r="88" spans="1:27" s="32" customFormat="1" x14ac:dyDescent="0.25">
      <c r="A88" s="18">
        <v>92</v>
      </c>
      <c r="B88" s="19">
        <v>46024</v>
      </c>
      <c r="C88" s="19">
        <v>46025</v>
      </c>
      <c r="D88" s="20">
        <v>260103009</v>
      </c>
      <c r="E88" s="21" t="s">
        <v>167</v>
      </c>
      <c r="F88" s="21"/>
      <c r="G88" s="21"/>
      <c r="H88" s="48">
        <v>42</v>
      </c>
      <c r="I88" s="23" t="s">
        <v>44</v>
      </c>
      <c r="J88" s="49" t="s">
        <v>23</v>
      </c>
      <c r="K88" s="23" t="s">
        <v>31</v>
      </c>
      <c r="L88" s="21" t="s">
        <v>50</v>
      </c>
      <c r="M88" s="21" t="s">
        <v>32</v>
      </c>
      <c r="N88" s="37">
        <v>63.14</v>
      </c>
      <c r="O88" s="21">
        <v>16.82</v>
      </c>
      <c r="P88" s="26">
        <f t="shared" si="8"/>
        <v>46.32</v>
      </c>
      <c r="Q88" s="27">
        <v>285</v>
      </c>
      <c r="R88" s="28">
        <f t="shared" si="9"/>
        <v>13201.2</v>
      </c>
      <c r="S88" s="27"/>
      <c r="T88" s="29"/>
      <c r="V88" s="29" t="s">
        <v>24</v>
      </c>
      <c r="W88" s="27">
        <v>145</v>
      </c>
      <c r="X88" s="30">
        <f t="shared" si="5"/>
        <v>6716.4</v>
      </c>
      <c r="Y88" s="31">
        <v>260</v>
      </c>
      <c r="Z88" s="31">
        <f t="shared" si="6"/>
        <v>12043.2</v>
      </c>
      <c r="AA88" s="29">
        <f t="shared" si="10"/>
        <v>31960.799999999999</v>
      </c>
    </row>
    <row r="89" spans="1:27" s="38" customFormat="1" x14ac:dyDescent="0.25">
      <c r="A89" s="18">
        <v>93</v>
      </c>
      <c r="B89" s="19">
        <v>46024</v>
      </c>
      <c r="C89" s="19">
        <v>46025</v>
      </c>
      <c r="D89" s="20">
        <v>260103010</v>
      </c>
      <c r="E89" s="21" t="s">
        <v>168</v>
      </c>
      <c r="F89" s="21"/>
      <c r="G89" s="21"/>
      <c r="H89" s="48">
        <v>42</v>
      </c>
      <c r="I89" s="23" t="s">
        <v>44</v>
      </c>
      <c r="J89" s="49" t="s">
        <v>23</v>
      </c>
      <c r="K89" s="23" t="s">
        <v>31</v>
      </c>
      <c r="L89" s="53" t="s">
        <v>51</v>
      </c>
      <c r="M89" s="21" t="s">
        <v>35</v>
      </c>
      <c r="N89" s="37">
        <v>50.1</v>
      </c>
      <c r="O89" s="37">
        <v>11.5</v>
      </c>
      <c r="P89" s="26">
        <f t="shared" si="8"/>
        <v>38.6</v>
      </c>
      <c r="Q89" s="27">
        <v>445</v>
      </c>
      <c r="R89" s="28">
        <f t="shared" si="9"/>
        <v>17177</v>
      </c>
      <c r="S89" s="21"/>
      <c r="T89" s="29"/>
      <c r="V89" s="29" t="s">
        <v>24</v>
      </c>
      <c r="W89" s="27">
        <v>145</v>
      </c>
      <c r="X89" s="30">
        <f t="shared" si="5"/>
        <v>5597</v>
      </c>
      <c r="Y89" s="31">
        <v>260</v>
      </c>
      <c r="Z89" s="29">
        <f t="shared" si="6"/>
        <v>10036</v>
      </c>
      <c r="AA89" s="29">
        <f t="shared" si="10"/>
        <v>32810</v>
      </c>
    </row>
    <row r="90" spans="1:27" s="32" customFormat="1" x14ac:dyDescent="0.25">
      <c r="A90" s="18">
        <v>94</v>
      </c>
      <c r="B90" s="19">
        <v>46024</v>
      </c>
      <c r="C90" s="19">
        <v>46025</v>
      </c>
      <c r="D90" s="20">
        <v>260103011</v>
      </c>
      <c r="E90" s="21" t="s">
        <v>169</v>
      </c>
      <c r="F90" s="21"/>
      <c r="G90" s="21"/>
      <c r="H90" s="48">
        <v>42</v>
      </c>
      <c r="I90" s="23" t="s">
        <v>44</v>
      </c>
      <c r="J90" s="49" t="s">
        <v>23</v>
      </c>
      <c r="K90" s="23" t="s">
        <v>31</v>
      </c>
      <c r="L90" s="21" t="s">
        <v>39</v>
      </c>
      <c r="M90" s="21" t="s">
        <v>35</v>
      </c>
      <c r="N90" s="37">
        <v>50.06</v>
      </c>
      <c r="O90" s="21">
        <v>11.86</v>
      </c>
      <c r="P90" s="26">
        <f t="shared" si="8"/>
        <v>38.200000000000003</v>
      </c>
      <c r="Q90" s="27">
        <v>445</v>
      </c>
      <c r="R90" s="28">
        <f t="shared" si="9"/>
        <v>16999</v>
      </c>
      <c r="S90" s="27"/>
      <c r="T90" s="29"/>
      <c r="V90" s="29" t="s">
        <v>24</v>
      </c>
      <c r="W90" s="27">
        <v>145</v>
      </c>
      <c r="X90" s="30">
        <f t="shared" si="5"/>
        <v>5539</v>
      </c>
      <c r="Y90" s="31">
        <v>260</v>
      </c>
      <c r="Z90" s="31">
        <f t="shared" si="6"/>
        <v>9932</v>
      </c>
      <c r="AA90" s="29">
        <f t="shared" si="10"/>
        <v>32470</v>
      </c>
    </row>
    <row r="91" spans="1:27" s="32" customFormat="1" x14ac:dyDescent="0.25">
      <c r="A91" s="18">
        <v>95</v>
      </c>
      <c r="B91" s="19">
        <v>46024</v>
      </c>
      <c r="C91" s="19">
        <v>46025</v>
      </c>
      <c r="D91" s="20">
        <v>260103012</v>
      </c>
      <c r="E91" s="21" t="s">
        <v>170</v>
      </c>
      <c r="F91" s="21"/>
      <c r="G91" s="21"/>
      <c r="H91" s="48">
        <v>42</v>
      </c>
      <c r="I91" s="23" t="s">
        <v>44</v>
      </c>
      <c r="J91" s="49" t="s">
        <v>23</v>
      </c>
      <c r="K91" s="23" t="s">
        <v>31</v>
      </c>
      <c r="L91" s="21" t="s">
        <v>40</v>
      </c>
      <c r="M91" s="21" t="s">
        <v>35</v>
      </c>
      <c r="N91" s="21">
        <v>49.34</v>
      </c>
      <c r="O91" s="37">
        <v>11.42</v>
      </c>
      <c r="P91" s="26">
        <f t="shared" si="8"/>
        <v>37.92</v>
      </c>
      <c r="Q91" s="27">
        <v>445</v>
      </c>
      <c r="R91" s="28">
        <f t="shared" si="9"/>
        <v>16874.400000000001</v>
      </c>
      <c r="S91" s="27"/>
      <c r="T91" s="29"/>
      <c r="V91" s="29" t="s">
        <v>24</v>
      </c>
      <c r="W91" s="27">
        <v>145</v>
      </c>
      <c r="X91" s="30">
        <f t="shared" si="5"/>
        <v>5498.4000000000005</v>
      </c>
      <c r="Y91" s="31">
        <v>260</v>
      </c>
      <c r="Z91" s="31">
        <f t="shared" si="6"/>
        <v>9859.2000000000007</v>
      </c>
      <c r="AA91" s="29">
        <f t="shared" si="10"/>
        <v>32232.000000000004</v>
      </c>
    </row>
    <row r="92" spans="1:27" s="32" customFormat="1" x14ac:dyDescent="0.25">
      <c r="A92" s="18">
        <v>96</v>
      </c>
      <c r="B92" s="19">
        <v>46024</v>
      </c>
      <c r="C92" s="19">
        <v>46025</v>
      </c>
      <c r="D92" s="20">
        <v>260103013</v>
      </c>
      <c r="E92" s="21" t="s">
        <v>171</v>
      </c>
      <c r="F92" s="21"/>
      <c r="G92" s="21"/>
      <c r="H92" s="48">
        <v>42</v>
      </c>
      <c r="I92" s="23" t="s">
        <v>44</v>
      </c>
      <c r="J92" s="49" t="s">
        <v>23</v>
      </c>
      <c r="K92" s="23" t="s">
        <v>31</v>
      </c>
      <c r="L92" s="21" t="s">
        <v>140</v>
      </c>
      <c r="M92" s="21" t="s">
        <v>32</v>
      </c>
      <c r="N92" s="21">
        <v>66.16</v>
      </c>
      <c r="O92" s="21">
        <v>17.66</v>
      </c>
      <c r="P92" s="26">
        <f t="shared" si="8"/>
        <v>48.5</v>
      </c>
      <c r="Q92" s="27">
        <v>285</v>
      </c>
      <c r="R92" s="28">
        <f t="shared" si="9"/>
        <v>13822.5</v>
      </c>
      <c r="S92" s="27"/>
      <c r="T92" s="29"/>
      <c r="V92" s="29" t="s">
        <v>24</v>
      </c>
      <c r="W92" s="27">
        <v>145</v>
      </c>
      <c r="X92" s="30">
        <f t="shared" si="5"/>
        <v>7032.5</v>
      </c>
      <c r="Y92" s="31">
        <v>260</v>
      </c>
      <c r="Z92" s="31">
        <f t="shared" si="6"/>
        <v>12610</v>
      </c>
      <c r="AA92" s="29">
        <f t="shared" si="10"/>
        <v>33465</v>
      </c>
    </row>
    <row r="93" spans="1:27" s="32" customFormat="1" x14ac:dyDescent="0.25">
      <c r="A93" s="18">
        <v>97</v>
      </c>
      <c r="B93" s="19">
        <v>46024</v>
      </c>
      <c r="C93" s="19">
        <v>46025</v>
      </c>
      <c r="D93" s="20">
        <v>260103014</v>
      </c>
      <c r="E93" s="21" t="s">
        <v>172</v>
      </c>
      <c r="F93" s="21"/>
      <c r="G93" s="21"/>
      <c r="H93" s="48">
        <v>42</v>
      </c>
      <c r="I93" s="23" t="s">
        <v>44</v>
      </c>
      <c r="J93" s="49" t="s">
        <v>23</v>
      </c>
      <c r="K93" s="23" t="s">
        <v>31</v>
      </c>
      <c r="L93" s="21" t="s">
        <v>173</v>
      </c>
      <c r="M93" s="21" t="s">
        <v>34</v>
      </c>
      <c r="N93" s="21">
        <v>50.38</v>
      </c>
      <c r="O93" s="21">
        <v>11.64</v>
      </c>
      <c r="P93" s="26">
        <f t="shared" si="8"/>
        <v>38.74</v>
      </c>
      <c r="Q93" s="27">
        <v>525</v>
      </c>
      <c r="R93" s="28">
        <f t="shared" si="9"/>
        <v>20338.5</v>
      </c>
      <c r="S93" s="27"/>
      <c r="T93" s="29"/>
      <c r="V93" s="29" t="s">
        <v>24</v>
      </c>
      <c r="W93" s="27">
        <v>145</v>
      </c>
      <c r="X93" s="54">
        <f t="shared" si="5"/>
        <v>5617.3</v>
      </c>
      <c r="Y93" s="31">
        <v>260</v>
      </c>
      <c r="Z93" s="29">
        <f t="shared" si="6"/>
        <v>10072.4</v>
      </c>
      <c r="AA93" s="29">
        <f t="shared" si="10"/>
        <v>36028.199999999997</v>
      </c>
    </row>
    <row r="94" spans="1:27" s="32" customFormat="1" x14ac:dyDescent="0.25">
      <c r="A94" s="18">
        <v>98</v>
      </c>
      <c r="B94" s="19">
        <v>46024</v>
      </c>
      <c r="C94" s="19">
        <v>46025</v>
      </c>
      <c r="D94" s="20">
        <v>260103015</v>
      </c>
      <c r="E94" s="21" t="s">
        <v>174</v>
      </c>
      <c r="F94" s="21"/>
      <c r="G94" s="21"/>
      <c r="H94" s="48">
        <v>42</v>
      </c>
      <c r="I94" s="23" t="s">
        <v>44</v>
      </c>
      <c r="J94" s="49" t="s">
        <v>23</v>
      </c>
      <c r="K94" s="23" t="s">
        <v>31</v>
      </c>
      <c r="L94" s="21" t="s">
        <v>124</v>
      </c>
      <c r="M94" s="21" t="s">
        <v>34</v>
      </c>
      <c r="N94" s="21">
        <v>51.62</v>
      </c>
      <c r="O94" s="21">
        <v>12.72</v>
      </c>
      <c r="P94" s="26">
        <f t="shared" si="8"/>
        <v>38.9</v>
      </c>
      <c r="Q94" s="27">
        <v>525</v>
      </c>
      <c r="R94" s="28">
        <f t="shared" si="9"/>
        <v>20422.5</v>
      </c>
      <c r="S94" s="27"/>
      <c r="T94" s="29"/>
      <c r="V94" s="29" t="s">
        <v>24</v>
      </c>
      <c r="W94" s="27">
        <v>145</v>
      </c>
      <c r="X94" s="30">
        <f t="shared" si="5"/>
        <v>5640.5</v>
      </c>
      <c r="Y94" s="31">
        <v>260</v>
      </c>
      <c r="Z94" s="31">
        <f t="shared" si="6"/>
        <v>10114</v>
      </c>
      <c r="AA94" s="29">
        <f t="shared" si="10"/>
        <v>36177</v>
      </c>
    </row>
    <row r="95" spans="1:27" s="32" customFormat="1" x14ac:dyDescent="0.25">
      <c r="A95" s="18">
        <v>99</v>
      </c>
      <c r="B95" s="19">
        <v>46024</v>
      </c>
      <c r="C95" s="19">
        <v>46025</v>
      </c>
      <c r="D95" s="20">
        <v>260103017</v>
      </c>
      <c r="E95" s="21" t="s">
        <v>175</v>
      </c>
      <c r="F95" s="21"/>
      <c r="G95" s="21"/>
      <c r="H95" s="44">
        <v>115</v>
      </c>
      <c r="I95" s="23" t="s">
        <v>33</v>
      </c>
      <c r="J95" s="24" t="s">
        <v>23</v>
      </c>
      <c r="K95" s="35" t="s">
        <v>31</v>
      </c>
      <c r="L95" s="21" t="s">
        <v>144</v>
      </c>
      <c r="M95" s="21" t="s">
        <v>34</v>
      </c>
      <c r="N95" s="21">
        <v>69.34</v>
      </c>
      <c r="O95" s="37">
        <v>18.04</v>
      </c>
      <c r="P95" s="26">
        <f t="shared" si="8"/>
        <v>51.300000000000004</v>
      </c>
      <c r="Q95" s="27">
        <v>545</v>
      </c>
      <c r="R95" s="28">
        <f t="shared" si="9"/>
        <v>27958.500000000004</v>
      </c>
      <c r="S95" s="27"/>
      <c r="T95" s="29"/>
      <c r="V95" s="29" t="s">
        <v>24</v>
      </c>
      <c r="W95" s="27">
        <v>145</v>
      </c>
      <c r="X95" s="30">
        <f t="shared" ref="X95:X100" si="11">P95*W95</f>
        <v>7438.5000000000009</v>
      </c>
      <c r="Y95" s="31">
        <v>260</v>
      </c>
      <c r="Z95" s="31">
        <f t="shared" ref="Z95:Z100" si="12">P95*Y95</f>
        <v>13338.000000000002</v>
      </c>
      <c r="AA95" s="29">
        <f t="shared" si="10"/>
        <v>48735.000000000007</v>
      </c>
    </row>
    <row r="96" spans="1:27" s="32" customFormat="1" x14ac:dyDescent="0.25">
      <c r="A96" s="18">
        <v>100</v>
      </c>
      <c r="B96" s="19">
        <v>46024</v>
      </c>
      <c r="C96" s="19">
        <v>46025</v>
      </c>
      <c r="D96" s="20">
        <v>260103018</v>
      </c>
      <c r="E96" s="21" t="s">
        <v>176</v>
      </c>
      <c r="F96" s="21"/>
      <c r="G96" s="21"/>
      <c r="H96" s="44">
        <v>115</v>
      </c>
      <c r="I96" s="23" t="s">
        <v>33</v>
      </c>
      <c r="J96" s="24" t="s">
        <v>23</v>
      </c>
      <c r="K96" s="35" t="s">
        <v>31</v>
      </c>
      <c r="L96" s="25" t="s">
        <v>55</v>
      </c>
      <c r="M96" s="21" t="s">
        <v>35</v>
      </c>
      <c r="N96" s="21">
        <v>70.62</v>
      </c>
      <c r="O96" s="21">
        <v>17.96</v>
      </c>
      <c r="P96" s="26">
        <f t="shared" si="8"/>
        <v>52.660000000000004</v>
      </c>
      <c r="Q96" s="27">
        <v>470</v>
      </c>
      <c r="R96" s="28">
        <f t="shared" si="9"/>
        <v>24750.2</v>
      </c>
      <c r="S96" s="27"/>
      <c r="T96" s="29"/>
      <c r="V96" s="29" t="s">
        <v>24</v>
      </c>
      <c r="W96" s="27">
        <v>145</v>
      </c>
      <c r="X96" s="30">
        <f t="shared" si="11"/>
        <v>7635.7000000000007</v>
      </c>
      <c r="Y96" s="31">
        <v>260</v>
      </c>
      <c r="Z96" s="31">
        <f t="shared" si="12"/>
        <v>13691.6</v>
      </c>
      <c r="AA96" s="29">
        <f t="shared" si="10"/>
        <v>46077.5</v>
      </c>
    </row>
    <row r="97" spans="1:38" s="32" customFormat="1" x14ac:dyDescent="0.25">
      <c r="A97" s="18">
        <v>101</v>
      </c>
      <c r="B97" s="19">
        <v>46024</v>
      </c>
      <c r="C97" s="19">
        <v>46025</v>
      </c>
      <c r="D97" s="20">
        <v>260103019</v>
      </c>
      <c r="E97" s="21" t="s">
        <v>177</v>
      </c>
      <c r="F97" s="55"/>
      <c r="G97" s="21"/>
      <c r="H97" s="44">
        <v>115</v>
      </c>
      <c r="I97" s="23" t="s">
        <v>33</v>
      </c>
      <c r="J97" s="24" t="s">
        <v>23</v>
      </c>
      <c r="K97" s="35" t="s">
        <v>31</v>
      </c>
      <c r="L97" s="21" t="s">
        <v>68</v>
      </c>
      <c r="M97" s="21" t="s">
        <v>35</v>
      </c>
      <c r="N97" s="55">
        <v>66.86</v>
      </c>
      <c r="O97" s="55">
        <v>15.58</v>
      </c>
      <c r="P97" s="26">
        <f t="shared" si="8"/>
        <v>51.28</v>
      </c>
      <c r="Q97" s="27">
        <v>470</v>
      </c>
      <c r="R97" s="28">
        <f t="shared" si="9"/>
        <v>24101.600000000002</v>
      </c>
      <c r="S97" s="27"/>
      <c r="T97" s="29"/>
      <c r="V97" s="29" t="s">
        <v>24</v>
      </c>
      <c r="W97" s="27">
        <v>145</v>
      </c>
      <c r="X97" s="30">
        <f t="shared" si="11"/>
        <v>7435.6</v>
      </c>
      <c r="Y97" s="31">
        <v>260</v>
      </c>
      <c r="Z97" s="31">
        <f t="shared" si="12"/>
        <v>13332.800000000001</v>
      </c>
      <c r="AA97" s="29">
        <f t="shared" si="10"/>
        <v>44870.000000000007</v>
      </c>
    </row>
    <row r="98" spans="1:38" s="32" customFormat="1" x14ac:dyDescent="0.25">
      <c r="A98" s="18">
        <v>102</v>
      </c>
      <c r="B98" s="19">
        <v>46024</v>
      </c>
      <c r="C98" s="19">
        <v>46025</v>
      </c>
      <c r="D98" s="20">
        <v>260103021</v>
      </c>
      <c r="E98" s="21" t="s">
        <v>178</v>
      </c>
      <c r="F98" s="55"/>
      <c r="G98" s="55"/>
      <c r="H98" s="44">
        <v>117</v>
      </c>
      <c r="I98" s="45" t="s">
        <v>47</v>
      </c>
      <c r="J98" s="24" t="s">
        <v>23</v>
      </c>
      <c r="K98" s="23" t="s">
        <v>31</v>
      </c>
      <c r="L98" s="21" t="s">
        <v>153</v>
      </c>
      <c r="M98" s="21" t="s">
        <v>32</v>
      </c>
      <c r="N98" s="56">
        <v>48.8</v>
      </c>
      <c r="O98" s="56">
        <v>12.8</v>
      </c>
      <c r="P98" s="26">
        <f t="shared" si="8"/>
        <v>36</v>
      </c>
      <c r="Q98" s="27">
        <v>335</v>
      </c>
      <c r="R98" s="28">
        <f t="shared" si="9"/>
        <v>12060</v>
      </c>
      <c r="S98" s="27"/>
      <c r="T98" s="29"/>
      <c r="V98" s="29" t="s">
        <v>24</v>
      </c>
      <c r="W98" s="27">
        <v>145</v>
      </c>
      <c r="X98" s="30">
        <f t="shared" si="11"/>
        <v>5220</v>
      </c>
      <c r="Y98" s="29">
        <v>230</v>
      </c>
      <c r="Z98" s="31">
        <f t="shared" si="12"/>
        <v>8280</v>
      </c>
      <c r="AA98" s="29">
        <f t="shared" si="10"/>
        <v>25560</v>
      </c>
    </row>
    <row r="99" spans="1:38" s="32" customFormat="1" x14ac:dyDescent="0.25">
      <c r="A99" s="18">
        <v>103</v>
      </c>
      <c r="B99" s="19">
        <v>46024</v>
      </c>
      <c r="C99" s="19">
        <v>46025</v>
      </c>
      <c r="D99" s="57">
        <v>260103022</v>
      </c>
      <c r="E99" s="21" t="s">
        <v>179</v>
      </c>
      <c r="F99" s="58"/>
      <c r="G99" s="21"/>
      <c r="H99" s="44">
        <v>117</v>
      </c>
      <c r="I99" s="45" t="s">
        <v>47</v>
      </c>
      <c r="J99" s="24" t="s">
        <v>23</v>
      </c>
      <c r="K99" s="23" t="s">
        <v>31</v>
      </c>
      <c r="L99" s="21" t="s">
        <v>54</v>
      </c>
      <c r="M99" s="21" t="s">
        <v>32</v>
      </c>
      <c r="N99" s="21">
        <v>59.56</v>
      </c>
      <c r="O99" s="21">
        <v>15.66</v>
      </c>
      <c r="P99" s="26">
        <f t="shared" si="8"/>
        <v>43.900000000000006</v>
      </c>
      <c r="Q99" s="21">
        <v>335</v>
      </c>
      <c r="R99" s="28">
        <f t="shared" si="9"/>
        <v>14706.500000000002</v>
      </c>
      <c r="S99" s="21"/>
      <c r="T99" s="29"/>
      <c r="V99" s="29" t="s">
        <v>24</v>
      </c>
      <c r="W99" s="27">
        <v>145</v>
      </c>
      <c r="X99" s="30">
        <f t="shared" si="11"/>
        <v>6365.5000000000009</v>
      </c>
      <c r="Y99" s="31">
        <v>230</v>
      </c>
      <c r="Z99" s="31">
        <f t="shared" si="12"/>
        <v>10097.000000000002</v>
      </c>
      <c r="AA99" s="29">
        <f t="shared" si="10"/>
        <v>31169.000000000007</v>
      </c>
    </row>
    <row r="100" spans="1:38" s="32" customFormat="1" x14ac:dyDescent="0.25">
      <c r="A100" s="18">
        <v>104</v>
      </c>
      <c r="B100" s="19">
        <v>46024</v>
      </c>
      <c r="C100" s="19">
        <v>46025</v>
      </c>
      <c r="D100" s="57">
        <v>260103020</v>
      </c>
      <c r="E100" s="21" t="s">
        <v>180</v>
      </c>
      <c r="F100" s="21"/>
      <c r="G100" s="21"/>
      <c r="H100" s="48">
        <v>53</v>
      </c>
      <c r="I100" s="52" t="s">
        <v>57</v>
      </c>
      <c r="J100" s="49" t="s">
        <v>23</v>
      </c>
      <c r="K100" s="23" t="s">
        <v>31</v>
      </c>
      <c r="L100" s="21" t="s">
        <v>67</v>
      </c>
      <c r="M100" s="21" t="s">
        <v>34</v>
      </c>
      <c r="N100" s="21">
        <v>57.3</v>
      </c>
      <c r="O100" s="21">
        <v>13.28</v>
      </c>
      <c r="P100" s="26">
        <f t="shared" si="8"/>
        <v>44.019999999999996</v>
      </c>
      <c r="Q100" s="21">
        <v>530</v>
      </c>
      <c r="R100" s="28">
        <f t="shared" si="9"/>
        <v>23330.6</v>
      </c>
      <c r="S100" s="21"/>
      <c r="T100" s="29"/>
      <c r="V100" s="29" t="s">
        <v>24</v>
      </c>
      <c r="W100" s="27">
        <v>145</v>
      </c>
      <c r="X100" s="30">
        <f t="shared" si="11"/>
        <v>6382.9</v>
      </c>
      <c r="Y100" s="31">
        <v>210</v>
      </c>
      <c r="Z100" s="31">
        <f t="shared" si="12"/>
        <v>9244.1999999999989</v>
      </c>
      <c r="AA100" s="29">
        <f t="shared" si="10"/>
        <v>38957.699999999997</v>
      </c>
    </row>
    <row r="101" spans="1:38" s="32" customFormat="1" x14ac:dyDescent="0.25">
      <c r="A101" s="18">
        <v>105</v>
      </c>
      <c r="B101" s="19">
        <v>46025</v>
      </c>
      <c r="C101" s="19">
        <v>46025</v>
      </c>
      <c r="D101" s="20">
        <v>260103016</v>
      </c>
      <c r="E101" s="21" t="s">
        <v>181</v>
      </c>
      <c r="F101" s="21"/>
      <c r="G101" s="21"/>
      <c r="H101" s="44">
        <v>115</v>
      </c>
      <c r="I101" s="23" t="s">
        <v>33</v>
      </c>
      <c r="J101" s="24" t="s">
        <v>23</v>
      </c>
      <c r="K101" s="35" t="s">
        <v>31</v>
      </c>
      <c r="L101" s="25" t="s">
        <v>46</v>
      </c>
      <c r="M101" s="21" t="s">
        <v>34</v>
      </c>
      <c r="N101" s="21">
        <v>62.14</v>
      </c>
      <c r="O101" s="21">
        <v>15.06</v>
      </c>
      <c r="P101" s="26">
        <f t="shared" si="8"/>
        <v>47.08</v>
      </c>
      <c r="Q101" s="27">
        <v>545</v>
      </c>
      <c r="R101" s="28">
        <f t="shared" si="9"/>
        <v>25658.6</v>
      </c>
      <c r="S101" s="27"/>
      <c r="T101" s="29"/>
      <c r="V101" s="29" t="s">
        <v>24</v>
      </c>
      <c r="W101" s="27">
        <v>145</v>
      </c>
      <c r="X101" s="30">
        <f t="shared" ref="X101:X132" si="13">W101*P101</f>
        <v>6826.5999999999995</v>
      </c>
      <c r="Y101" s="31">
        <v>260</v>
      </c>
      <c r="Z101" s="31">
        <f t="shared" ref="Z101:Z132" si="14">Y101*P101</f>
        <v>12240.8</v>
      </c>
      <c r="AA101" s="29">
        <f t="shared" ref="AA101:AA132" si="15">R101+X101+Z101</f>
        <v>44726</v>
      </c>
    </row>
    <row r="102" spans="1:38" s="32" customFormat="1" x14ac:dyDescent="0.25">
      <c r="A102" s="18">
        <v>106</v>
      </c>
      <c r="B102" s="19">
        <v>46025</v>
      </c>
      <c r="C102" s="19">
        <v>46025</v>
      </c>
      <c r="D102" s="20">
        <v>260103023</v>
      </c>
      <c r="E102" s="21" t="s">
        <v>182</v>
      </c>
      <c r="F102" s="21" t="s">
        <v>183</v>
      </c>
      <c r="G102" s="21">
        <v>46</v>
      </c>
      <c r="H102" s="44">
        <v>115</v>
      </c>
      <c r="I102" s="23" t="s">
        <v>33</v>
      </c>
      <c r="J102" s="24" t="s">
        <v>23</v>
      </c>
      <c r="K102" s="35" t="s">
        <v>31</v>
      </c>
      <c r="L102" s="25" t="s">
        <v>148</v>
      </c>
      <c r="M102" s="21" t="s">
        <v>34</v>
      </c>
      <c r="N102" s="21">
        <v>64.62</v>
      </c>
      <c r="O102" s="21">
        <v>17.98</v>
      </c>
      <c r="P102" s="26">
        <f t="shared" si="8"/>
        <v>46.64</v>
      </c>
      <c r="Q102" s="27">
        <v>545</v>
      </c>
      <c r="R102" s="28">
        <f t="shared" si="9"/>
        <v>25418.799999999999</v>
      </c>
      <c r="S102" s="27"/>
      <c r="T102" s="29"/>
      <c r="V102" s="29" t="s">
        <v>24</v>
      </c>
      <c r="W102" s="27">
        <v>145</v>
      </c>
      <c r="X102" s="30">
        <f t="shared" si="13"/>
        <v>6762.8</v>
      </c>
      <c r="Y102" s="31">
        <v>260</v>
      </c>
      <c r="Z102" s="31">
        <f t="shared" si="14"/>
        <v>12126.4</v>
      </c>
      <c r="AA102" s="29">
        <f t="shared" si="15"/>
        <v>44308</v>
      </c>
    </row>
    <row r="103" spans="1:38" s="32" customFormat="1" x14ac:dyDescent="0.25">
      <c r="A103" s="18">
        <v>107</v>
      </c>
      <c r="B103" s="19">
        <v>46025</v>
      </c>
      <c r="C103" s="19">
        <v>46025</v>
      </c>
      <c r="D103" s="20">
        <v>260103024</v>
      </c>
      <c r="E103" s="21" t="s">
        <v>184</v>
      </c>
      <c r="F103" s="21" t="s">
        <v>185</v>
      </c>
      <c r="G103" s="21">
        <v>48</v>
      </c>
      <c r="H103" s="44">
        <v>115</v>
      </c>
      <c r="I103" s="23" t="s">
        <v>33</v>
      </c>
      <c r="J103" s="24" t="s">
        <v>23</v>
      </c>
      <c r="K103" s="35" t="s">
        <v>31</v>
      </c>
      <c r="L103" s="25" t="s">
        <v>150</v>
      </c>
      <c r="M103" s="21" t="s">
        <v>34</v>
      </c>
      <c r="N103" s="21">
        <v>66.38</v>
      </c>
      <c r="O103" s="21">
        <v>17.600000000000001</v>
      </c>
      <c r="P103" s="26">
        <f t="shared" si="8"/>
        <v>48.779999999999994</v>
      </c>
      <c r="Q103" s="27">
        <v>545</v>
      </c>
      <c r="R103" s="28">
        <f t="shared" si="9"/>
        <v>26585.1</v>
      </c>
      <c r="S103" s="27"/>
      <c r="T103" s="29"/>
      <c r="V103" s="29" t="s">
        <v>24</v>
      </c>
      <c r="W103" s="27">
        <v>145</v>
      </c>
      <c r="X103" s="30">
        <f t="shared" si="13"/>
        <v>7073.0999999999995</v>
      </c>
      <c r="Y103" s="31">
        <v>260</v>
      </c>
      <c r="Z103" s="31">
        <f t="shared" si="14"/>
        <v>12682.8</v>
      </c>
      <c r="AA103" s="29">
        <f t="shared" si="15"/>
        <v>46341</v>
      </c>
    </row>
    <row r="104" spans="1:38" s="38" customFormat="1" x14ac:dyDescent="0.25">
      <c r="A104" s="18">
        <v>108</v>
      </c>
      <c r="B104" s="19">
        <v>46025</v>
      </c>
      <c r="C104" s="19">
        <v>46025</v>
      </c>
      <c r="D104" s="20">
        <v>260103025</v>
      </c>
      <c r="E104" s="21" t="s">
        <v>186</v>
      </c>
      <c r="F104" s="21" t="s">
        <v>187</v>
      </c>
      <c r="G104" s="21">
        <v>52</v>
      </c>
      <c r="H104" s="44">
        <v>115</v>
      </c>
      <c r="I104" s="23" t="s">
        <v>33</v>
      </c>
      <c r="J104" s="24" t="s">
        <v>23</v>
      </c>
      <c r="K104" s="35" t="s">
        <v>31</v>
      </c>
      <c r="L104" s="25" t="s">
        <v>66</v>
      </c>
      <c r="M104" s="21" t="s">
        <v>34</v>
      </c>
      <c r="N104" s="37">
        <v>67.599999999999994</v>
      </c>
      <c r="O104" s="21">
        <v>15.26</v>
      </c>
      <c r="P104" s="26">
        <f t="shared" si="8"/>
        <v>52.339999999999996</v>
      </c>
      <c r="Q104" s="27">
        <v>545</v>
      </c>
      <c r="R104" s="28">
        <f t="shared" si="9"/>
        <v>28525.3</v>
      </c>
      <c r="S104" s="27"/>
      <c r="T104" s="29"/>
      <c r="V104" s="29" t="s">
        <v>24</v>
      </c>
      <c r="W104" s="27">
        <v>145</v>
      </c>
      <c r="X104" s="30">
        <f t="shared" si="13"/>
        <v>7589.2999999999993</v>
      </c>
      <c r="Y104" s="31">
        <v>260</v>
      </c>
      <c r="Z104" s="31">
        <f t="shared" si="14"/>
        <v>13608.4</v>
      </c>
      <c r="AA104" s="29">
        <f t="shared" si="15"/>
        <v>49723</v>
      </c>
    </row>
    <row r="105" spans="1:38" s="32" customFormat="1" x14ac:dyDescent="0.25">
      <c r="A105" s="18">
        <v>109</v>
      </c>
      <c r="B105" s="19">
        <v>46025</v>
      </c>
      <c r="C105" s="19">
        <v>46025</v>
      </c>
      <c r="D105" s="20" t="s">
        <v>188</v>
      </c>
      <c r="E105" s="21"/>
      <c r="F105" s="21"/>
      <c r="G105" s="21"/>
      <c r="H105" s="59"/>
      <c r="I105" s="60" t="s">
        <v>189</v>
      </c>
      <c r="J105" s="61" t="s">
        <v>23</v>
      </c>
      <c r="K105" s="62" t="s">
        <v>31</v>
      </c>
      <c r="L105" s="25" t="s">
        <v>190</v>
      </c>
      <c r="M105" s="21" t="s">
        <v>34</v>
      </c>
      <c r="N105" s="37">
        <v>19.98</v>
      </c>
      <c r="O105" s="21">
        <v>7.9</v>
      </c>
      <c r="P105" s="26">
        <f t="shared" si="8"/>
        <v>12.08</v>
      </c>
      <c r="Q105" s="27">
        <v>0</v>
      </c>
      <c r="R105" s="28">
        <f t="shared" si="9"/>
        <v>0</v>
      </c>
      <c r="S105" s="27"/>
      <c r="T105" s="29"/>
      <c r="V105" s="29" t="s">
        <v>45</v>
      </c>
      <c r="W105" s="27"/>
      <c r="X105" s="30">
        <f t="shared" si="13"/>
        <v>0</v>
      </c>
      <c r="Y105" s="31"/>
      <c r="Z105" s="31">
        <f t="shared" si="14"/>
        <v>0</v>
      </c>
      <c r="AA105" s="29">
        <f t="shared" si="15"/>
        <v>0</v>
      </c>
    </row>
    <row r="106" spans="1:38" s="32" customFormat="1" x14ac:dyDescent="0.25">
      <c r="A106" s="18">
        <v>110</v>
      </c>
      <c r="B106" s="19">
        <v>46025</v>
      </c>
      <c r="C106" s="19">
        <v>46025</v>
      </c>
      <c r="D106" s="20">
        <v>260103026</v>
      </c>
      <c r="E106" s="21" t="s">
        <v>191</v>
      </c>
      <c r="F106" s="21" t="s">
        <v>192</v>
      </c>
      <c r="G106" s="21">
        <v>48</v>
      </c>
      <c r="H106" s="48">
        <v>42</v>
      </c>
      <c r="I106" s="23" t="s">
        <v>44</v>
      </c>
      <c r="J106" s="49" t="s">
        <v>23</v>
      </c>
      <c r="K106" s="23" t="s">
        <v>31</v>
      </c>
      <c r="L106" s="25" t="s">
        <v>55</v>
      </c>
      <c r="M106" s="21" t="s">
        <v>32</v>
      </c>
      <c r="N106" s="37">
        <v>67.48</v>
      </c>
      <c r="O106" s="37">
        <v>18.5</v>
      </c>
      <c r="P106" s="26">
        <f t="shared" si="8"/>
        <v>48.980000000000004</v>
      </c>
      <c r="Q106" s="27">
        <v>285</v>
      </c>
      <c r="R106" s="28">
        <f t="shared" si="9"/>
        <v>13959.300000000001</v>
      </c>
      <c r="S106" s="27"/>
      <c r="T106" s="29"/>
      <c r="V106" s="29" t="s">
        <v>24</v>
      </c>
      <c r="W106" s="27">
        <v>145</v>
      </c>
      <c r="X106" s="30">
        <f t="shared" si="13"/>
        <v>7102.1</v>
      </c>
      <c r="Y106" s="31">
        <v>260</v>
      </c>
      <c r="Z106" s="31">
        <f t="shared" si="14"/>
        <v>12734.800000000001</v>
      </c>
      <c r="AA106" s="29">
        <f t="shared" si="15"/>
        <v>33796.200000000004</v>
      </c>
    </row>
    <row r="107" spans="1:38" s="32" customFormat="1" x14ac:dyDescent="0.25">
      <c r="A107" s="18">
        <v>111</v>
      </c>
      <c r="B107" s="19">
        <v>46025</v>
      </c>
      <c r="C107" s="19">
        <v>46025</v>
      </c>
      <c r="D107" s="20">
        <v>260103027</v>
      </c>
      <c r="E107" s="21" t="s">
        <v>193</v>
      </c>
      <c r="F107" s="21" t="s">
        <v>194</v>
      </c>
      <c r="G107" s="21">
        <v>22</v>
      </c>
      <c r="H107" s="48">
        <v>18</v>
      </c>
      <c r="I107" s="23" t="s">
        <v>195</v>
      </c>
      <c r="J107" s="49" t="s">
        <v>23</v>
      </c>
      <c r="K107" s="23" t="s">
        <v>31</v>
      </c>
      <c r="L107" s="25" t="s">
        <v>196</v>
      </c>
      <c r="M107" s="21" t="s">
        <v>32</v>
      </c>
      <c r="N107" s="37">
        <v>36.380000000000003</v>
      </c>
      <c r="O107" s="37">
        <v>14.26</v>
      </c>
      <c r="P107" s="26">
        <f t="shared" si="8"/>
        <v>22.120000000000005</v>
      </c>
      <c r="Q107" s="27">
        <v>420</v>
      </c>
      <c r="R107" s="28">
        <f t="shared" si="9"/>
        <v>9290.4000000000015</v>
      </c>
      <c r="S107" s="27"/>
      <c r="T107" s="29"/>
      <c r="V107" s="29" t="s">
        <v>24</v>
      </c>
      <c r="W107" s="27">
        <v>145</v>
      </c>
      <c r="X107" s="30">
        <f t="shared" si="13"/>
        <v>3207.4000000000005</v>
      </c>
      <c r="Y107" s="31"/>
      <c r="Z107" s="31">
        <f t="shared" si="14"/>
        <v>0</v>
      </c>
      <c r="AA107" s="29">
        <f t="shared" si="15"/>
        <v>12497.800000000003</v>
      </c>
    </row>
    <row r="108" spans="1:38" s="32" customFormat="1" ht="20.100000000000001" customHeight="1" x14ac:dyDescent="0.25">
      <c r="A108" s="18">
        <v>112</v>
      </c>
      <c r="B108" s="19">
        <v>46025</v>
      </c>
      <c r="C108" s="19">
        <v>46025</v>
      </c>
      <c r="D108" s="20">
        <v>260103028</v>
      </c>
      <c r="E108" s="21" t="s">
        <v>197</v>
      </c>
      <c r="F108" s="21" t="s">
        <v>198</v>
      </c>
      <c r="G108" s="21">
        <v>22</v>
      </c>
      <c r="H108" s="48">
        <v>18</v>
      </c>
      <c r="I108" s="23" t="s">
        <v>195</v>
      </c>
      <c r="J108" s="49" t="s">
        <v>23</v>
      </c>
      <c r="K108" s="23" t="s">
        <v>31</v>
      </c>
      <c r="L108" s="25" t="s">
        <v>199</v>
      </c>
      <c r="M108" s="21" t="s">
        <v>32</v>
      </c>
      <c r="N108" s="37">
        <v>36.380000000000003</v>
      </c>
      <c r="O108" s="37">
        <v>14.34</v>
      </c>
      <c r="P108" s="26">
        <f t="shared" si="8"/>
        <v>22.040000000000003</v>
      </c>
      <c r="Q108" s="27">
        <v>420</v>
      </c>
      <c r="R108" s="28">
        <f t="shared" si="9"/>
        <v>9256.8000000000011</v>
      </c>
      <c r="S108" s="27"/>
      <c r="T108" s="29"/>
      <c r="V108" s="29" t="s">
        <v>24</v>
      </c>
      <c r="W108" s="27">
        <v>145</v>
      </c>
      <c r="X108" s="30">
        <f t="shared" si="13"/>
        <v>3195.8</v>
      </c>
      <c r="Y108" s="31"/>
      <c r="Z108" s="31">
        <f t="shared" si="14"/>
        <v>0</v>
      </c>
      <c r="AA108" s="29">
        <f t="shared" si="15"/>
        <v>12452.600000000002</v>
      </c>
      <c r="AB108" s="40"/>
      <c r="AC108" s="39"/>
      <c r="AD108" s="41"/>
      <c r="AE108" s="42"/>
      <c r="AF108" s="39"/>
      <c r="AG108" s="42"/>
      <c r="AH108" s="39"/>
      <c r="AI108" s="41"/>
      <c r="AJ108" s="39"/>
      <c r="AK108" s="41"/>
      <c r="AL108" s="41"/>
    </row>
    <row r="109" spans="1:38" s="32" customFormat="1" x14ac:dyDescent="0.25">
      <c r="A109" s="18">
        <v>113</v>
      </c>
      <c r="B109" s="19">
        <v>46025</v>
      </c>
      <c r="C109" s="19">
        <v>46025</v>
      </c>
      <c r="D109" s="20" t="s">
        <v>200</v>
      </c>
      <c r="E109" s="21"/>
      <c r="F109" s="21"/>
      <c r="G109" s="21"/>
      <c r="H109" s="59"/>
      <c r="I109" s="60" t="s">
        <v>201</v>
      </c>
      <c r="J109" s="61" t="s">
        <v>23</v>
      </c>
      <c r="K109" s="62" t="s">
        <v>31</v>
      </c>
      <c r="L109" s="25" t="s">
        <v>202</v>
      </c>
      <c r="M109" s="21" t="s">
        <v>203</v>
      </c>
      <c r="N109" s="37">
        <v>23.62</v>
      </c>
      <c r="O109" s="37">
        <v>14.02</v>
      </c>
      <c r="P109" s="26">
        <f t="shared" si="8"/>
        <v>9.6000000000000014</v>
      </c>
      <c r="Q109" s="27">
        <v>0</v>
      </c>
      <c r="R109" s="28">
        <f t="shared" si="9"/>
        <v>0</v>
      </c>
      <c r="S109" s="27"/>
      <c r="T109" s="29"/>
      <c r="V109" s="29" t="s">
        <v>24</v>
      </c>
      <c r="W109" s="27"/>
      <c r="X109" s="30">
        <f t="shared" si="13"/>
        <v>0</v>
      </c>
      <c r="Y109" s="31"/>
      <c r="Z109" s="31">
        <f t="shared" si="14"/>
        <v>0</v>
      </c>
      <c r="AA109" s="29">
        <f t="shared" si="15"/>
        <v>0</v>
      </c>
    </row>
    <row r="110" spans="1:38" s="32" customFormat="1" x14ac:dyDescent="0.25">
      <c r="A110" s="18">
        <v>114</v>
      </c>
      <c r="B110" s="19">
        <v>46025</v>
      </c>
      <c r="C110" s="19">
        <v>46025</v>
      </c>
      <c r="D110" s="20">
        <v>260103029</v>
      </c>
      <c r="E110" s="21" t="s">
        <v>204</v>
      </c>
      <c r="F110" s="21" t="s">
        <v>205</v>
      </c>
      <c r="G110" s="21">
        <v>58</v>
      </c>
      <c r="H110" s="48">
        <v>42</v>
      </c>
      <c r="I110" s="23" t="s">
        <v>44</v>
      </c>
      <c r="J110" s="49" t="s">
        <v>23</v>
      </c>
      <c r="K110" s="23" t="s">
        <v>31</v>
      </c>
      <c r="L110" s="25" t="s">
        <v>206</v>
      </c>
      <c r="M110" s="21" t="s">
        <v>34</v>
      </c>
      <c r="N110" s="37">
        <v>75.760000000000005</v>
      </c>
      <c r="O110" s="37">
        <v>17.100000000000001</v>
      </c>
      <c r="P110" s="26">
        <f t="shared" si="8"/>
        <v>58.660000000000004</v>
      </c>
      <c r="Q110" s="27">
        <v>525</v>
      </c>
      <c r="R110" s="28">
        <f t="shared" si="9"/>
        <v>30796.500000000004</v>
      </c>
      <c r="S110" s="27"/>
      <c r="T110" s="29"/>
      <c r="V110" s="29" t="s">
        <v>24</v>
      </c>
      <c r="W110" s="27">
        <v>145</v>
      </c>
      <c r="X110" s="30">
        <f t="shared" si="13"/>
        <v>8505.7000000000007</v>
      </c>
      <c r="Y110" s="31">
        <v>260</v>
      </c>
      <c r="Z110" s="31">
        <f t="shared" si="14"/>
        <v>15251.6</v>
      </c>
      <c r="AA110" s="29">
        <f t="shared" si="15"/>
        <v>54553.8</v>
      </c>
    </row>
    <row r="111" spans="1:38" s="32" customFormat="1" x14ac:dyDescent="0.25">
      <c r="A111" s="18">
        <v>115</v>
      </c>
      <c r="B111" s="19">
        <v>46025</v>
      </c>
      <c r="C111" s="19">
        <v>46025</v>
      </c>
      <c r="D111" s="20">
        <v>260103030</v>
      </c>
      <c r="E111" s="21" t="s">
        <v>207</v>
      </c>
      <c r="F111" s="21" t="s">
        <v>208</v>
      </c>
      <c r="G111" s="21">
        <v>37</v>
      </c>
      <c r="H111" s="48">
        <v>42</v>
      </c>
      <c r="I111" s="23" t="s">
        <v>44</v>
      </c>
      <c r="J111" s="49" t="s">
        <v>23</v>
      </c>
      <c r="K111" s="23" t="s">
        <v>31</v>
      </c>
      <c r="L111" s="25" t="s">
        <v>39</v>
      </c>
      <c r="M111" s="21" t="s">
        <v>35</v>
      </c>
      <c r="N111" s="37">
        <v>49.38</v>
      </c>
      <c r="O111" s="37">
        <v>11.76</v>
      </c>
      <c r="P111" s="26">
        <f t="shared" si="8"/>
        <v>37.620000000000005</v>
      </c>
      <c r="Q111" s="27">
        <v>470</v>
      </c>
      <c r="R111" s="28">
        <f t="shared" si="9"/>
        <v>17681.400000000001</v>
      </c>
      <c r="S111" s="27"/>
      <c r="T111" s="29"/>
      <c r="V111" s="29" t="s">
        <v>24</v>
      </c>
      <c r="W111" s="27">
        <v>145</v>
      </c>
      <c r="X111" s="30">
        <f t="shared" si="13"/>
        <v>5454.9000000000005</v>
      </c>
      <c r="Y111" s="31">
        <v>260</v>
      </c>
      <c r="Z111" s="31">
        <f t="shared" si="14"/>
        <v>9781.2000000000007</v>
      </c>
      <c r="AA111" s="29">
        <f t="shared" si="15"/>
        <v>32917.5</v>
      </c>
    </row>
    <row r="112" spans="1:38" s="32" customFormat="1" x14ac:dyDescent="0.25">
      <c r="A112" s="18">
        <v>116</v>
      </c>
      <c r="B112" s="19">
        <v>46025</v>
      </c>
      <c r="C112" s="19">
        <v>46025</v>
      </c>
      <c r="D112" s="20">
        <v>260103031</v>
      </c>
      <c r="E112" s="21" t="s">
        <v>209</v>
      </c>
      <c r="F112" s="21" t="s">
        <v>210</v>
      </c>
      <c r="G112" s="21">
        <v>37</v>
      </c>
      <c r="H112" s="48">
        <v>42</v>
      </c>
      <c r="I112" s="23" t="s">
        <v>44</v>
      </c>
      <c r="J112" s="49" t="s">
        <v>23</v>
      </c>
      <c r="K112" s="23" t="s">
        <v>31</v>
      </c>
      <c r="L112" s="25" t="s">
        <v>51</v>
      </c>
      <c r="M112" s="21" t="s">
        <v>35</v>
      </c>
      <c r="N112" s="37">
        <v>48.64</v>
      </c>
      <c r="O112" s="37">
        <v>11.38</v>
      </c>
      <c r="P112" s="26">
        <f t="shared" si="8"/>
        <v>37.26</v>
      </c>
      <c r="Q112" s="27">
        <v>470</v>
      </c>
      <c r="R112" s="28">
        <f t="shared" si="9"/>
        <v>17512.2</v>
      </c>
      <c r="S112" s="27"/>
      <c r="T112" s="29"/>
      <c r="V112" s="29" t="s">
        <v>24</v>
      </c>
      <c r="W112" s="27">
        <v>145</v>
      </c>
      <c r="X112" s="30">
        <f t="shared" si="13"/>
        <v>5402.7</v>
      </c>
      <c r="Y112" s="31">
        <v>260</v>
      </c>
      <c r="Z112" s="31">
        <f t="shared" si="14"/>
        <v>9687.6</v>
      </c>
      <c r="AA112" s="29">
        <f t="shared" si="15"/>
        <v>32602.5</v>
      </c>
    </row>
    <row r="113" spans="1:27" s="38" customFormat="1" x14ac:dyDescent="0.25">
      <c r="A113" s="18">
        <v>117</v>
      </c>
      <c r="B113" s="19">
        <v>46025</v>
      </c>
      <c r="C113" s="19">
        <v>46025</v>
      </c>
      <c r="D113" s="20" t="s">
        <v>211</v>
      </c>
      <c r="E113" s="21"/>
      <c r="F113" s="21"/>
      <c r="G113" s="21"/>
      <c r="H113" s="59"/>
      <c r="I113" s="60" t="s">
        <v>201</v>
      </c>
      <c r="J113" s="61" t="s">
        <v>23</v>
      </c>
      <c r="K113" s="62" t="s">
        <v>31</v>
      </c>
      <c r="L113" s="25" t="s">
        <v>212</v>
      </c>
      <c r="M113" s="21" t="s">
        <v>203</v>
      </c>
      <c r="N113" s="37">
        <v>25.94</v>
      </c>
      <c r="O113" s="37">
        <v>14.88</v>
      </c>
      <c r="P113" s="26">
        <f t="shared" si="8"/>
        <v>11.06</v>
      </c>
      <c r="Q113" s="27">
        <v>0</v>
      </c>
      <c r="R113" s="28">
        <f t="shared" si="9"/>
        <v>0</v>
      </c>
      <c r="S113" s="27"/>
      <c r="T113" s="29"/>
      <c r="V113" s="29" t="s">
        <v>24</v>
      </c>
      <c r="W113" s="27"/>
      <c r="X113" s="30">
        <f t="shared" si="13"/>
        <v>0</v>
      </c>
      <c r="Y113" s="31"/>
      <c r="Z113" s="29">
        <f t="shared" si="14"/>
        <v>0</v>
      </c>
      <c r="AA113" s="29">
        <f t="shared" si="15"/>
        <v>0</v>
      </c>
    </row>
    <row r="114" spans="1:27" s="38" customFormat="1" x14ac:dyDescent="0.25">
      <c r="A114" s="18">
        <v>118</v>
      </c>
      <c r="B114" s="19">
        <v>46025</v>
      </c>
      <c r="C114" s="19">
        <v>46025</v>
      </c>
      <c r="D114" s="20">
        <v>260103032</v>
      </c>
      <c r="E114" s="21" t="s">
        <v>213</v>
      </c>
      <c r="F114" s="21" t="s">
        <v>214</v>
      </c>
      <c r="G114" s="21">
        <v>46</v>
      </c>
      <c r="H114" s="48">
        <v>42</v>
      </c>
      <c r="I114" s="23" t="s">
        <v>44</v>
      </c>
      <c r="J114" s="49" t="s">
        <v>23</v>
      </c>
      <c r="K114" s="23" t="s">
        <v>31</v>
      </c>
      <c r="L114" s="25" t="s">
        <v>50</v>
      </c>
      <c r="M114" s="21" t="s">
        <v>34</v>
      </c>
      <c r="N114" s="37">
        <v>63.62</v>
      </c>
      <c r="O114" s="37">
        <v>16.66</v>
      </c>
      <c r="P114" s="26">
        <f t="shared" si="8"/>
        <v>46.959999999999994</v>
      </c>
      <c r="Q114" s="27">
        <v>525</v>
      </c>
      <c r="R114" s="28">
        <f>Q114*P114</f>
        <v>24653.999999999996</v>
      </c>
      <c r="S114" s="27"/>
      <c r="T114" s="29"/>
      <c r="V114" s="29" t="s">
        <v>24</v>
      </c>
      <c r="W114" s="27">
        <v>145</v>
      </c>
      <c r="X114" s="30">
        <f t="shared" si="13"/>
        <v>6809.1999999999989</v>
      </c>
      <c r="Y114" s="31">
        <v>260</v>
      </c>
      <c r="Z114" s="29">
        <f t="shared" si="14"/>
        <v>12209.599999999999</v>
      </c>
      <c r="AA114" s="29">
        <f t="shared" si="15"/>
        <v>43672.799999999996</v>
      </c>
    </row>
    <row r="115" spans="1:27" s="32" customFormat="1" x14ac:dyDescent="0.25">
      <c r="A115" s="18">
        <v>119</v>
      </c>
      <c r="B115" s="19">
        <v>46025</v>
      </c>
      <c r="C115" s="19">
        <v>46025</v>
      </c>
      <c r="D115" s="20">
        <v>260103033</v>
      </c>
      <c r="E115" s="21" t="s">
        <v>215</v>
      </c>
      <c r="F115" s="21" t="s">
        <v>216</v>
      </c>
      <c r="G115" s="21">
        <v>43</v>
      </c>
      <c r="H115" s="44">
        <v>115</v>
      </c>
      <c r="I115" s="23" t="s">
        <v>33</v>
      </c>
      <c r="J115" s="24" t="s">
        <v>23</v>
      </c>
      <c r="K115" s="35" t="s">
        <v>31</v>
      </c>
      <c r="L115" s="25" t="s">
        <v>41</v>
      </c>
      <c r="M115" s="21" t="s">
        <v>32</v>
      </c>
      <c r="N115" s="37">
        <v>59.04</v>
      </c>
      <c r="O115" s="37">
        <v>15.84</v>
      </c>
      <c r="P115" s="26">
        <f>N115-O115</f>
        <v>43.2</v>
      </c>
      <c r="Q115" s="27">
        <v>315</v>
      </c>
      <c r="R115" s="28">
        <f>Q115*P115</f>
        <v>13608</v>
      </c>
      <c r="S115" s="27"/>
      <c r="T115" s="29"/>
      <c r="V115" s="29" t="s">
        <v>24</v>
      </c>
      <c r="W115" s="27">
        <v>145</v>
      </c>
      <c r="X115" s="30">
        <f t="shared" si="13"/>
        <v>6264</v>
      </c>
      <c r="Y115" s="31">
        <v>260</v>
      </c>
      <c r="Z115" s="29">
        <f t="shared" si="14"/>
        <v>11232</v>
      </c>
      <c r="AA115" s="29">
        <f t="shared" si="15"/>
        <v>31104</v>
      </c>
    </row>
    <row r="116" spans="1:27" s="32" customFormat="1" x14ac:dyDescent="0.25">
      <c r="A116" s="18">
        <v>120</v>
      </c>
      <c r="B116" s="19">
        <v>46025</v>
      </c>
      <c r="C116" s="19">
        <v>46025</v>
      </c>
      <c r="D116" s="63" t="s">
        <v>217</v>
      </c>
      <c r="E116" s="21"/>
      <c r="F116" s="21"/>
      <c r="G116" s="21"/>
      <c r="H116" s="33">
        <v>95</v>
      </c>
      <c r="I116" s="23" t="s">
        <v>218</v>
      </c>
      <c r="J116" s="34" t="s">
        <v>23</v>
      </c>
      <c r="K116" s="35" t="s">
        <v>31</v>
      </c>
      <c r="L116" s="25" t="s">
        <v>219</v>
      </c>
      <c r="M116" s="21" t="s">
        <v>34</v>
      </c>
      <c r="N116" s="37">
        <v>57.34</v>
      </c>
      <c r="O116" s="37">
        <v>15.48</v>
      </c>
      <c r="P116" s="26">
        <f>N116-O116</f>
        <v>41.86</v>
      </c>
      <c r="Q116" s="27">
        <v>540</v>
      </c>
      <c r="R116" s="28">
        <f>Q116*P116</f>
        <v>22604.400000000001</v>
      </c>
      <c r="S116" s="27"/>
      <c r="T116" s="29"/>
      <c r="V116" s="29" t="s">
        <v>45</v>
      </c>
      <c r="W116" s="27"/>
      <c r="X116" s="30">
        <f t="shared" si="13"/>
        <v>0</v>
      </c>
      <c r="Y116" s="31"/>
      <c r="Z116" s="29">
        <f t="shared" si="14"/>
        <v>0</v>
      </c>
      <c r="AA116" s="29">
        <f t="shared" si="15"/>
        <v>22604.400000000001</v>
      </c>
    </row>
    <row r="117" spans="1:27" s="32" customFormat="1" x14ac:dyDescent="0.25">
      <c r="A117" s="18">
        <v>121</v>
      </c>
      <c r="B117" s="19">
        <v>46025</v>
      </c>
      <c r="C117" s="19">
        <v>46025</v>
      </c>
      <c r="D117" s="20">
        <v>260103034</v>
      </c>
      <c r="E117" s="21" t="s">
        <v>220</v>
      </c>
      <c r="F117" s="38" t="s">
        <v>221</v>
      </c>
      <c r="G117" s="21">
        <v>22</v>
      </c>
      <c r="H117" s="48">
        <v>18</v>
      </c>
      <c r="I117" s="23" t="s">
        <v>195</v>
      </c>
      <c r="J117" s="49" t="s">
        <v>23</v>
      </c>
      <c r="K117" s="23" t="s">
        <v>31</v>
      </c>
      <c r="L117" s="25" t="s">
        <v>196</v>
      </c>
      <c r="M117" s="21" t="s">
        <v>32</v>
      </c>
      <c r="N117" s="37">
        <v>36.200000000000003</v>
      </c>
      <c r="O117" s="37">
        <v>14.2</v>
      </c>
      <c r="P117" s="26">
        <f t="shared" ref="P117:P157" si="16">N117-O117</f>
        <v>22.000000000000004</v>
      </c>
      <c r="Q117" s="27">
        <v>420</v>
      </c>
      <c r="R117" s="28">
        <f t="shared" ref="R117:R157" si="17">Q117*P117</f>
        <v>9240.0000000000018</v>
      </c>
      <c r="S117" s="27"/>
      <c r="T117" s="29"/>
      <c r="V117" s="29" t="s">
        <v>24</v>
      </c>
      <c r="W117" s="27">
        <v>145</v>
      </c>
      <c r="X117" s="30">
        <f t="shared" si="13"/>
        <v>3190.0000000000005</v>
      </c>
      <c r="Y117" s="31"/>
      <c r="Z117" s="29">
        <f t="shared" si="14"/>
        <v>0</v>
      </c>
      <c r="AA117" s="29">
        <f t="shared" si="15"/>
        <v>12430.000000000002</v>
      </c>
    </row>
    <row r="118" spans="1:27" s="38" customFormat="1" x14ac:dyDescent="0.25">
      <c r="A118" s="18">
        <v>122</v>
      </c>
      <c r="B118" s="19">
        <v>46025</v>
      </c>
      <c r="C118" s="19">
        <v>46025</v>
      </c>
      <c r="D118" s="20">
        <v>260103035</v>
      </c>
      <c r="E118" s="21" t="s">
        <v>222</v>
      </c>
      <c r="F118" s="21" t="s">
        <v>223</v>
      </c>
      <c r="G118" s="21">
        <v>21</v>
      </c>
      <c r="H118" s="48">
        <v>18</v>
      </c>
      <c r="I118" s="23" t="s">
        <v>195</v>
      </c>
      <c r="J118" s="49" t="s">
        <v>23</v>
      </c>
      <c r="K118" s="23" t="s">
        <v>31</v>
      </c>
      <c r="L118" s="25" t="s">
        <v>199</v>
      </c>
      <c r="M118" s="21" t="s">
        <v>34</v>
      </c>
      <c r="N118" s="37">
        <v>36.14</v>
      </c>
      <c r="O118" s="37">
        <v>14.36</v>
      </c>
      <c r="P118" s="26">
        <f t="shared" si="16"/>
        <v>21.78</v>
      </c>
      <c r="Q118" s="27">
        <v>620</v>
      </c>
      <c r="R118" s="28">
        <f t="shared" si="17"/>
        <v>13503.6</v>
      </c>
      <c r="S118" s="27"/>
      <c r="T118" s="29"/>
      <c r="V118" s="29" t="s">
        <v>24</v>
      </c>
      <c r="W118" s="27">
        <v>145</v>
      </c>
      <c r="X118" s="30">
        <f t="shared" si="13"/>
        <v>3158.1000000000004</v>
      </c>
      <c r="Y118" s="31"/>
      <c r="Z118" s="29">
        <f t="shared" si="14"/>
        <v>0</v>
      </c>
      <c r="AA118" s="29">
        <f t="shared" si="15"/>
        <v>16661.7</v>
      </c>
    </row>
    <row r="119" spans="1:27" s="38" customFormat="1" x14ac:dyDescent="0.25">
      <c r="A119" s="18">
        <v>123</v>
      </c>
      <c r="B119" s="19">
        <v>46025</v>
      </c>
      <c r="C119" s="19">
        <v>46025</v>
      </c>
      <c r="D119" s="20">
        <v>260103036</v>
      </c>
      <c r="E119" s="21" t="s">
        <v>220</v>
      </c>
      <c r="F119" s="21" t="s">
        <v>224</v>
      </c>
      <c r="G119" s="21">
        <v>39</v>
      </c>
      <c r="H119" s="44">
        <v>115</v>
      </c>
      <c r="I119" s="23" t="s">
        <v>33</v>
      </c>
      <c r="J119" s="24" t="s">
        <v>23</v>
      </c>
      <c r="K119" s="35" t="s">
        <v>31</v>
      </c>
      <c r="L119" s="25" t="s">
        <v>40</v>
      </c>
      <c r="M119" s="21" t="s">
        <v>35</v>
      </c>
      <c r="N119" s="37">
        <v>50.76</v>
      </c>
      <c r="O119" s="37">
        <v>11.36</v>
      </c>
      <c r="P119" s="26">
        <f t="shared" si="16"/>
        <v>39.4</v>
      </c>
      <c r="Q119" s="27">
        <v>445</v>
      </c>
      <c r="R119" s="28">
        <f t="shared" si="17"/>
        <v>17533</v>
      </c>
      <c r="S119" s="27"/>
      <c r="T119" s="29"/>
      <c r="V119" s="29" t="s">
        <v>24</v>
      </c>
      <c r="W119" s="27">
        <v>145</v>
      </c>
      <c r="X119" s="30">
        <f t="shared" si="13"/>
        <v>5713</v>
      </c>
      <c r="Y119" s="31">
        <v>260</v>
      </c>
      <c r="Z119" s="29">
        <f t="shared" si="14"/>
        <v>10244</v>
      </c>
      <c r="AA119" s="29">
        <f t="shared" si="15"/>
        <v>33490</v>
      </c>
    </row>
    <row r="120" spans="1:27" s="32" customFormat="1" x14ac:dyDescent="0.25">
      <c r="A120" s="18">
        <v>124</v>
      </c>
      <c r="B120" s="19">
        <v>46025</v>
      </c>
      <c r="C120" s="19">
        <v>46025</v>
      </c>
      <c r="D120" s="20">
        <v>260103037</v>
      </c>
      <c r="E120" s="21" t="s">
        <v>225</v>
      </c>
      <c r="F120" s="21" t="s">
        <v>226</v>
      </c>
      <c r="G120" s="21">
        <v>34</v>
      </c>
      <c r="H120" s="44">
        <v>115</v>
      </c>
      <c r="I120" s="23" t="s">
        <v>33</v>
      </c>
      <c r="J120" s="24" t="s">
        <v>23</v>
      </c>
      <c r="K120" s="35" t="s">
        <v>31</v>
      </c>
      <c r="L120" s="43" t="s">
        <v>153</v>
      </c>
      <c r="M120" s="21" t="s">
        <v>32</v>
      </c>
      <c r="N120" s="37">
        <v>47.16</v>
      </c>
      <c r="O120" s="37">
        <v>12.74</v>
      </c>
      <c r="P120" s="26">
        <f t="shared" si="16"/>
        <v>34.419999999999995</v>
      </c>
      <c r="Q120" s="27">
        <v>315</v>
      </c>
      <c r="R120" s="28">
        <f t="shared" si="17"/>
        <v>10842.299999999997</v>
      </c>
      <c r="S120" s="27"/>
      <c r="T120" s="29"/>
      <c r="V120" s="29" t="s">
        <v>24</v>
      </c>
      <c r="W120" s="27">
        <v>145</v>
      </c>
      <c r="X120" s="30">
        <f t="shared" si="13"/>
        <v>4990.8999999999996</v>
      </c>
      <c r="Y120" s="31">
        <v>260</v>
      </c>
      <c r="Z120" s="29">
        <f t="shared" si="14"/>
        <v>8949.1999999999989</v>
      </c>
      <c r="AA120" s="29">
        <f t="shared" si="15"/>
        <v>24782.399999999994</v>
      </c>
    </row>
    <row r="121" spans="1:27" s="32" customFormat="1" x14ac:dyDescent="0.25">
      <c r="A121" s="18">
        <v>125</v>
      </c>
      <c r="B121" s="19">
        <v>46025</v>
      </c>
      <c r="C121" s="19">
        <v>46025</v>
      </c>
      <c r="D121" s="20">
        <v>260103038</v>
      </c>
      <c r="E121" s="21" t="s">
        <v>227</v>
      </c>
      <c r="F121" s="21" t="s">
        <v>228</v>
      </c>
      <c r="G121" s="21">
        <v>44</v>
      </c>
      <c r="H121" s="44">
        <v>115</v>
      </c>
      <c r="I121" s="23" t="s">
        <v>33</v>
      </c>
      <c r="J121" s="24" t="s">
        <v>23</v>
      </c>
      <c r="K121" s="35" t="s">
        <v>31</v>
      </c>
      <c r="L121" s="25" t="s">
        <v>62</v>
      </c>
      <c r="M121" s="21" t="s">
        <v>32</v>
      </c>
      <c r="N121" s="37">
        <v>59.5</v>
      </c>
      <c r="O121" s="37">
        <v>15.42</v>
      </c>
      <c r="P121" s="26">
        <f t="shared" si="16"/>
        <v>44.08</v>
      </c>
      <c r="Q121" s="27">
        <v>315</v>
      </c>
      <c r="R121" s="28">
        <f t="shared" si="17"/>
        <v>13885.199999999999</v>
      </c>
      <c r="S121" s="27"/>
      <c r="T121" s="29"/>
      <c r="V121" s="29" t="s">
        <v>24</v>
      </c>
      <c r="W121" s="27">
        <v>145</v>
      </c>
      <c r="X121" s="30">
        <f t="shared" si="13"/>
        <v>6391.5999999999995</v>
      </c>
      <c r="Y121" s="31">
        <v>260</v>
      </c>
      <c r="Z121" s="29">
        <f t="shared" si="14"/>
        <v>11460.8</v>
      </c>
      <c r="AA121" s="29">
        <f t="shared" si="15"/>
        <v>31737.599999999999</v>
      </c>
    </row>
    <row r="122" spans="1:27" s="32" customFormat="1" x14ac:dyDescent="0.25">
      <c r="A122" s="18">
        <v>126</v>
      </c>
      <c r="B122" s="19">
        <v>46025</v>
      </c>
      <c r="C122" s="19">
        <v>46025</v>
      </c>
      <c r="D122" s="20">
        <v>260103039</v>
      </c>
      <c r="E122" s="21" t="s">
        <v>229</v>
      </c>
      <c r="F122" s="21" t="s">
        <v>230</v>
      </c>
      <c r="G122" s="21">
        <v>38</v>
      </c>
      <c r="H122" s="44">
        <v>115</v>
      </c>
      <c r="I122" s="23" t="s">
        <v>33</v>
      </c>
      <c r="J122" s="24" t="s">
        <v>23</v>
      </c>
      <c r="K122" s="35" t="s">
        <v>31</v>
      </c>
      <c r="L122" s="20" t="s">
        <v>42</v>
      </c>
      <c r="M122" s="21" t="s">
        <v>35</v>
      </c>
      <c r="N122" s="37">
        <v>50.64</v>
      </c>
      <c r="O122" s="37">
        <v>11.72</v>
      </c>
      <c r="P122" s="26">
        <f t="shared" si="16"/>
        <v>38.92</v>
      </c>
      <c r="Q122" s="27">
        <v>445</v>
      </c>
      <c r="R122" s="28">
        <f t="shared" si="17"/>
        <v>17319.400000000001</v>
      </c>
      <c r="S122" s="27"/>
      <c r="T122" s="29"/>
      <c r="V122" s="29" t="s">
        <v>24</v>
      </c>
      <c r="W122" s="27">
        <v>145</v>
      </c>
      <c r="X122" s="30">
        <f t="shared" si="13"/>
        <v>5643.4000000000005</v>
      </c>
      <c r="Y122" s="31">
        <v>260</v>
      </c>
      <c r="Z122" s="29">
        <f t="shared" si="14"/>
        <v>10119.200000000001</v>
      </c>
      <c r="AA122" s="29">
        <f t="shared" si="15"/>
        <v>33082</v>
      </c>
    </row>
    <row r="123" spans="1:27" s="32" customFormat="1" x14ac:dyDescent="0.25">
      <c r="A123" s="18">
        <v>127</v>
      </c>
      <c r="B123" s="19">
        <v>46025</v>
      </c>
      <c r="C123" s="19">
        <v>46025</v>
      </c>
      <c r="D123" s="20">
        <v>260103040</v>
      </c>
      <c r="E123" s="21" t="s">
        <v>231</v>
      </c>
      <c r="F123" s="21" t="s">
        <v>232</v>
      </c>
      <c r="G123" s="21">
        <v>34</v>
      </c>
      <c r="H123" s="44">
        <v>115</v>
      </c>
      <c r="I123" s="23" t="s">
        <v>33</v>
      </c>
      <c r="J123" s="24" t="s">
        <v>23</v>
      </c>
      <c r="K123" s="35" t="s">
        <v>31</v>
      </c>
      <c r="L123" s="20" t="s">
        <v>51</v>
      </c>
      <c r="M123" s="21" t="s">
        <v>34</v>
      </c>
      <c r="N123" s="37">
        <v>45.54</v>
      </c>
      <c r="O123" s="37">
        <v>11.46</v>
      </c>
      <c r="P123" s="26">
        <f t="shared" si="16"/>
        <v>34.08</v>
      </c>
      <c r="Q123" s="27">
        <v>545</v>
      </c>
      <c r="R123" s="28">
        <f t="shared" si="17"/>
        <v>18573.599999999999</v>
      </c>
      <c r="S123" s="27"/>
      <c r="T123" s="29"/>
      <c r="V123" s="29" t="s">
        <v>24</v>
      </c>
      <c r="W123" s="27">
        <v>145</v>
      </c>
      <c r="X123" s="30">
        <f t="shared" si="13"/>
        <v>4941.5999999999995</v>
      </c>
      <c r="Y123" s="31">
        <v>2660</v>
      </c>
      <c r="Z123" s="29">
        <f t="shared" si="14"/>
        <v>90652.799999999988</v>
      </c>
      <c r="AA123" s="29">
        <f t="shared" si="15"/>
        <v>114167.99999999999</v>
      </c>
    </row>
    <row r="124" spans="1:27" s="32" customFormat="1" x14ac:dyDescent="0.25">
      <c r="A124" s="18">
        <v>128</v>
      </c>
      <c r="B124" s="19">
        <v>46025</v>
      </c>
      <c r="C124" s="19">
        <v>46025</v>
      </c>
      <c r="D124" s="20">
        <v>260103041</v>
      </c>
      <c r="E124" s="21" t="s">
        <v>233</v>
      </c>
      <c r="F124" s="21" t="s">
        <v>234</v>
      </c>
      <c r="G124" s="21">
        <v>33</v>
      </c>
      <c r="H124" s="44">
        <v>115</v>
      </c>
      <c r="I124" s="23" t="s">
        <v>33</v>
      </c>
      <c r="J124" s="24" t="s">
        <v>23</v>
      </c>
      <c r="K124" s="35" t="s">
        <v>31</v>
      </c>
      <c r="L124" s="25" t="s">
        <v>39</v>
      </c>
      <c r="M124" s="21" t="s">
        <v>34</v>
      </c>
      <c r="N124" s="37">
        <v>45.4</v>
      </c>
      <c r="O124" s="37">
        <v>11.84</v>
      </c>
      <c r="P124" s="26">
        <f t="shared" si="16"/>
        <v>33.56</v>
      </c>
      <c r="Q124" s="27">
        <v>545</v>
      </c>
      <c r="R124" s="28">
        <f t="shared" si="17"/>
        <v>18290.2</v>
      </c>
      <c r="S124" s="27"/>
      <c r="T124" s="29"/>
      <c r="V124" s="29" t="s">
        <v>24</v>
      </c>
      <c r="W124" s="27">
        <v>145</v>
      </c>
      <c r="X124" s="30">
        <f t="shared" si="13"/>
        <v>4866.2000000000007</v>
      </c>
      <c r="Y124" s="31">
        <v>260</v>
      </c>
      <c r="Z124" s="29">
        <f t="shared" si="14"/>
        <v>8725.6</v>
      </c>
      <c r="AA124" s="29">
        <f t="shared" si="15"/>
        <v>31882</v>
      </c>
    </row>
    <row r="125" spans="1:27" s="38" customFormat="1" x14ac:dyDescent="0.25">
      <c r="A125" s="18">
        <v>129</v>
      </c>
      <c r="B125" s="19">
        <v>46025</v>
      </c>
      <c r="C125" s="19">
        <v>46025</v>
      </c>
      <c r="D125" s="20">
        <v>260103042</v>
      </c>
      <c r="E125" s="21" t="s">
        <v>235</v>
      </c>
      <c r="F125" s="21" t="s">
        <v>236</v>
      </c>
      <c r="G125" s="21">
        <v>49</v>
      </c>
      <c r="H125" s="48">
        <v>76</v>
      </c>
      <c r="I125" s="23" t="s">
        <v>237</v>
      </c>
      <c r="J125" s="49" t="s">
        <v>23</v>
      </c>
      <c r="K125" s="23" t="s">
        <v>31</v>
      </c>
      <c r="L125" s="25" t="s">
        <v>55</v>
      </c>
      <c r="M125" s="21" t="s">
        <v>34</v>
      </c>
      <c r="N125" s="37">
        <v>67.5</v>
      </c>
      <c r="O125" s="37">
        <v>18.2</v>
      </c>
      <c r="P125" s="26">
        <f t="shared" si="16"/>
        <v>49.3</v>
      </c>
      <c r="Q125" s="27">
        <v>515</v>
      </c>
      <c r="R125" s="28">
        <f t="shared" si="17"/>
        <v>25389.5</v>
      </c>
      <c r="S125" s="21"/>
      <c r="T125" s="29"/>
      <c r="V125" s="29" t="s">
        <v>24</v>
      </c>
      <c r="W125" s="27">
        <v>145</v>
      </c>
      <c r="X125" s="30">
        <f t="shared" si="13"/>
        <v>7148.5</v>
      </c>
      <c r="Y125" s="31">
        <v>180</v>
      </c>
      <c r="Z125" s="29">
        <f t="shared" si="14"/>
        <v>8874</v>
      </c>
      <c r="AA125" s="29">
        <f t="shared" si="15"/>
        <v>41412</v>
      </c>
    </row>
    <row r="126" spans="1:27" s="38" customFormat="1" x14ac:dyDescent="0.25">
      <c r="A126" s="18">
        <v>130</v>
      </c>
      <c r="B126" s="19">
        <v>46025</v>
      </c>
      <c r="C126" s="19">
        <v>46025</v>
      </c>
      <c r="D126" s="20">
        <v>260103043</v>
      </c>
      <c r="E126" s="21" t="s">
        <v>238</v>
      </c>
      <c r="F126" s="21" t="s">
        <v>239</v>
      </c>
      <c r="G126" s="21">
        <v>50</v>
      </c>
      <c r="H126" s="44">
        <v>115</v>
      </c>
      <c r="I126" s="23" t="s">
        <v>33</v>
      </c>
      <c r="J126" s="24" t="s">
        <v>23</v>
      </c>
      <c r="K126" s="35" t="s">
        <v>31</v>
      </c>
      <c r="L126" s="25" t="s">
        <v>66</v>
      </c>
      <c r="M126" s="21" t="s">
        <v>35</v>
      </c>
      <c r="N126" s="37">
        <v>66.42</v>
      </c>
      <c r="O126" s="37">
        <v>15.52</v>
      </c>
      <c r="P126" s="26">
        <f t="shared" si="16"/>
        <v>50.900000000000006</v>
      </c>
      <c r="Q126" s="27">
        <v>445</v>
      </c>
      <c r="R126" s="28">
        <f t="shared" si="17"/>
        <v>22650.500000000004</v>
      </c>
      <c r="S126" s="21"/>
      <c r="T126" s="29"/>
      <c r="V126" s="29" t="s">
        <v>24</v>
      </c>
      <c r="W126" s="27">
        <v>145</v>
      </c>
      <c r="X126" s="30">
        <f t="shared" si="13"/>
        <v>7380.5000000000009</v>
      </c>
      <c r="Y126" s="31">
        <v>260</v>
      </c>
      <c r="Z126" s="29">
        <f t="shared" si="14"/>
        <v>13234.000000000002</v>
      </c>
      <c r="AA126" s="29">
        <f t="shared" si="15"/>
        <v>43265.000000000007</v>
      </c>
    </row>
    <row r="127" spans="1:27" s="32" customFormat="1" x14ac:dyDescent="0.25">
      <c r="A127" s="18">
        <v>131</v>
      </c>
      <c r="B127" s="19">
        <v>46025</v>
      </c>
      <c r="C127" s="19">
        <v>46025</v>
      </c>
      <c r="D127" s="20">
        <v>260103044</v>
      </c>
      <c r="E127" s="21" t="s">
        <v>240</v>
      </c>
      <c r="F127" s="21" t="s">
        <v>241</v>
      </c>
      <c r="G127" s="21">
        <v>50</v>
      </c>
      <c r="H127" s="44">
        <v>115</v>
      </c>
      <c r="I127" s="23" t="s">
        <v>33</v>
      </c>
      <c r="J127" s="24" t="s">
        <v>23</v>
      </c>
      <c r="K127" s="35" t="s">
        <v>31</v>
      </c>
      <c r="L127" s="25" t="s">
        <v>140</v>
      </c>
      <c r="M127" s="21" t="s">
        <v>34</v>
      </c>
      <c r="N127" s="37">
        <v>68.319999999999993</v>
      </c>
      <c r="O127" s="37">
        <v>17.579999999999998</v>
      </c>
      <c r="P127" s="26">
        <f t="shared" si="16"/>
        <v>50.739999999999995</v>
      </c>
      <c r="Q127" s="27">
        <v>545</v>
      </c>
      <c r="R127" s="28">
        <f t="shared" si="17"/>
        <v>27653.299999999996</v>
      </c>
      <c r="S127" s="27"/>
      <c r="T127" s="29"/>
      <c r="V127" s="29" t="s">
        <v>24</v>
      </c>
      <c r="W127" s="27">
        <v>145</v>
      </c>
      <c r="X127" s="30">
        <f t="shared" si="13"/>
        <v>7357.2999999999993</v>
      </c>
      <c r="Y127" s="31">
        <v>260</v>
      </c>
      <c r="Z127" s="29">
        <f t="shared" si="14"/>
        <v>13192.399999999998</v>
      </c>
      <c r="AA127" s="29">
        <f t="shared" si="15"/>
        <v>48202.999999999985</v>
      </c>
    </row>
    <row r="128" spans="1:27" s="38" customFormat="1" x14ac:dyDescent="0.25">
      <c r="A128" s="18">
        <v>132</v>
      </c>
      <c r="B128" s="19">
        <v>46025</v>
      </c>
      <c r="C128" s="19">
        <v>46026</v>
      </c>
      <c r="D128" s="20">
        <v>260104001</v>
      </c>
      <c r="E128" s="21" t="s">
        <v>242</v>
      </c>
      <c r="F128" s="21" t="s">
        <v>243</v>
      </c>
      <c r="G128" s="21">
        <v>45</v>
      </c>
      <c r="H128" s="48">
        <v>76</v>
      </c>
      <c r="I128" s="23" t="s">
        <v>237</v>
      </c>
      <c r="J128" s="49" t="s">
        <v>23</v>
      </c>
      <c r="K128" s="23" t="s">
        <v>31</v>
      </c>
      <c r="L128" s="25" t="s">
        <v>244</v>
      </c>
      <c r="M128" s="21" t="s">
        <v>32</v>
      </c>
      <c r="N128" s="37">
        <v>60.42</v>
      </c>
      <c r="O128" s="37">
        <v>15.06</v>
      </c>
      <c r="P128" s="26">
        <f t="shared" si="16"/>
        <v>45.36</v>
      </c>
      <c r="Q128" s="27">
        <v>285</v>
      </c>
      <c r="R128" s="28">
        <f t="shared" si="17"/>
        <v>12927.6</v>
      </c>
      <c r="S128" s="27"/>
      <c r="T128" s="29"/>
      <c r="V128" s="29" t="s">
        <v>24</v>
      </c>
      <c r="W128" s="27">
        <v>145</v>
      </c>
      <c r="X128" s="30">
        <f t="shared" si="13"/>
        <v>6577.2</v>
      </c>
      <c r="Y128" s="31">
        <v>180</v>
      </c>
      <c r="Z128" s="31">
        <f t="shared" si="14"/>
        <v>8164.8</v>
      </c>
      <c r="AA128" s="29">
        <f t="shared" si="15"/>
        <v>27669.599999999999</v>
      </c>
    </row>
    <row r="129" spans="1:27" s="32" customFormat="1" x14ac:dyDescent="0.25">
      <c r="A129" s="18">
        <v>133</v>
      </c>
      <c r="B129" s="19">
        <v>46025</v>
      </c>
      <c r="C129" s="19">
        <v>46026</v>
      </c>
      <c r="D129" s="20">
        <v>260104002</v>
      </c>
      <c r="E129" s="21" t="s">
        <v>245</v>
      </c>
      <c r="F129" s="21" t="s">
        <v>246</v>
      </c>
      <c r="G129" s="21">
        <v>46</v>
      </c>
      <c r="H129" s="48">
        <v>76</v>
      </c>
      <c r="I129" s="23" t="s">
        <v>237</v>
      </c>
      <c r="J129" s="49" t="s">
        <v>23</v>
      </c>
      <c r="K129" s="23" t="s">
        <v>31</v>
      </c>
      <c r="L129" s="25" t="s">
        <v>55</v>
      </c>
      <c r="M129" s="21" t="s">
        <v>34</v>
      </c>
      <c r="N129" s="37">
        <v>62.7</v>
      </c>
      <c r="O129" s="37">
        <v>16.64</v>
      </c>
      <c r="P129" s="26">
        <f t="shared" si="16"/>
        <v>46.06</v>
      </c>
      <c r="Q129" s="27">
        <v>515</v>
      </c>
      <c r="R129" s="28">
        <f t="shared" si="17"/>
        <v>23720.9</v>
      </c>
      <c r="S129" s="27"/>
      <c r="T129" s="29"/>
      <c r="V129" s="29" t="s">
        <v>24</v>
      </c>
      <c r="W129" s="27">
        <v>145</v>
      </c>
      <c r="X129" s="30">
        <f t="shared" si="13"/>
        <v>6678.7000000000007</v>
      </c>
      <c r="Y129" s="31">
        <v>180</v>
      </c>
      <c r="Z129" s="31">
        <f t="shared" si="14"/>
        <v>8290.8000000000011</v>
      </c>
      <c r="AA129" s="29">
        <f t="shared" si="15"/>
        <v>38690.400000000001</v>
      </c>
    </row>
    <row r="130" spans="1:27" s="38" customFormat="1" x14ac:dyDescent="0.25">
      <c r="A130" s="18">
        <v>134</v>
      </c>
      <c r="B130" s="19">
        <v>46025</v>
      </c>
      <c r="C130" s="19">
        <v>46026</v>
      </c>
      <c r="D130" s="47" t="s">
        <v>247</v>
      </c>
      <c r="E130" s="21"/>
      <c r="F130" s="21"/>
      <c r="G130" s="21"/>
      <c r="H130" s="33">
        <v>241</v>
      </c>
      <c r="I130" s="23" t="s">
        <v>248</v>
      </c>
      <c r="J130" s="24" t="s">
        <v>23</v>
      </c>
      <c r="K130" s="23" t="s">
        <v>30</v>
      </c>
      <c r="L130" s="46" t="s">
        <v>249</v>
      </c>
      <c r="M130" s="21" t="s">
        <v>34</v>
      </c>
      <c r="N130" s="37">
        <v>19.239999999999998</v>
      </c>
      <c r="O130" s="37">
        <v>7.4</v>
      </c>
      <c r="P130" s="26">
        <f t="shared" si="16"/>
        <v>11.839999999999998</v>
      </c>
      <c r="Q130" s="27">
        <v>530</v>
      </c>
      <c r="R130" s="28">
        <f t="shared" si="17"/>
        <v>6275.1999999999989</v>
      </c>
      <c r="S130" s="21"/>
      <c r="T130" s="29"/>
      <c r="V130" s="29" t="s">
        <v>45</v>
      </c>
      <c r="W130" s="27"/>
      <c r="X130" s="30">
        <f t="shared" si="13"/>
        <v>0</v>
      </c>
      <c r="Y130" s="31"/>
      <c r="Z130" s="29">
        <f t="shared" si="14"/>
        <v>0</v>
      </c>
      <c r="AA130" s="29">
        <f t="shared" si="15"/>
        <v>6275.1999999999989</v>
      </c>
    </row>
    <row r="131" spans="1:27" s="32" customFormat="1" x14ac:dyDescent="0.25">
      <c r="A131" s="18">
        <v>135</v>
      </c>
      <c r="B131" s="19">
        <v>46025</v>
      </c>
      <c r="C131" s="19">
        <v>46026</v>
      </c>
      <c r="D131" s="47" t="s">
        <v>250</v>
      </c>
      <c r="E131" s="21"/>
      <c r="F131" s="21"/>
      <c r="G131" s="21"/>
      <c r="H131" s="59"/>
      <c r="I131" s="60" t="s">
        <v>251</v>
      </c>
      <c r="J131" s="61" t="s">
        <v>23</v>
      </c>
      <c r="K131" s="62" t="s">
        <v>30</v>
      </c>
      <c r="L131" s="25" t="s">
        <v>252</v>
      </c>
      <c r="M131" s="21" t="s">
        <v>34</v>
      </c>
      <c r="N131" s="21">
        <v>7.52</v>
      </c>
      <c r="O131" s="37">
        <v>3.58</v>
      </c>
      <c r="P131" s="26">
        <f t="shared" si="16"/>
        <v>3.9399999999999995</v>
      </c>
      <c r="Q131" s="27">
        <v>540</v>
      </c>
      <c r="R131" s="28">
        <f t="shared" si="17"/>
        <v>2127.6</v>
      </c>
      <c r="S131" s="27">
        <v>2128</v>
      </c>
      <c r="T131" s="29"/>
      <c r="V131" s="29" t="s">
        <v>253</v>
      </c>
      <c r="W131" s="27"/>
      <c r="X131" s="30">
        <f t="shared" si="13"/>
        <v>0</v>
      </c>
      <c r="Y131" s="31"/>
      <c r="Z131" s="29">
        <f t="shared" si="14"/>
        <v>0</v>
      </c>
      <c r="AA131" s="29">
        <f t="shared" si="15"/>
        <v>2127.6</v>
      </c>
    </row>
    <row r="132" spans="1:27" s="32" customFormat="1" x14ac:dyDescent="0.25">
      <c r="A132" s="18">
        <v>136</v>
      </c>
      <c r="B132" s="19">
        <v>46025</v>
      </c>
      <c r="C132" s="19">
        <v>46026</v>
      </c>
      <c r="D132" s="20">
        <v>260104003</v>
      </c>
      <c r="E132" s="21" t="s">
        <v>254</v>
      </c>
      <c r="F132" s="21" t="s">
        <v>255</v>
      </c>
      <c r="G132" s="21">
        <v>33</v>
      </c>
      <c r="H132" s="64">
        <v>132</v>
      </c>
      <c r="I132" s="23" t="s">
        <v>256</v>
      </c>
      <c r="J132" s="24" t="s">
        <v>23</v>
      </c>
      <c r="K132" s="23" t="s">
        <v>31</v>
      </c>
      <c r="L132" s="25" t="s">
        <v>65</v>
      </c>
      <c r="M132" s="21" t="s">
        <v>34</v>
      </c>
      <c r="N132" s="21">
        <v>45.02</v>
      </c>
      <c r="O132" s="37">
        <v>11.92</v>
      </c>
      <c r="P132" s="26">
        <f t="shared" si="16"/>
        <v>33.1</v>
      </c>
      <c r="Q132" s="27">
        <v>560</v>
      </c>
      <c r="R132" s="28">
        <f t="shared" si="17"/>
        <v>18536</v>
      </c>
      <c r="S132" s="27"/>
      <c r="T132" s="29"/>
      <c r="V132" s="29" t="s">
        <v>253</v>
      </c>
      <c r="W132" s="27">
        <v>170</v>
      </c>
      <c r="X132" s="30">
        <f t="shared" si="13"/>
        <v>5627</v>
      </c>
      <c r="Y132" s="31">
        <v>250</v>
      </c>
      <c r="Z132" s="29">
        <f t="shared" si="14"/>
        <v>8275</v>
      </c>
      <c r="AA132" s="29">
        <f t="shared" si="15"/>
        <v>32438</v>
      </c>
    </row>
    <row r="133" spans="1:27" s="32" customFormat="1" x14ac:dyDescent="0.25">
      <c r="A133" s="18">
        <v>137</v>
      </c>
      <c r="B133" s="19">
        <v>46025</v>
      </c>
      <c r="C133" s="19">
        <v>46026</v>
      </c>
      <c r="D133" s="20">
        <v>260104006</v>
      </c>
      <c r="E133" s="21" t="s">
        <v>257</v>
      </c>
      <c r="F133" s="21" t="s">
        <v>258</v>
      </c>
      <c r="G133" s="21">
        <v>46</v>
      </c>
      <c r="H133" s="48">
        <v>53</v>
      </c>
      <c r="I133" s="52" t="s">
        <v>57</v>
      </c>
      <c r="J133" s="49" t="s">
        <v>23</v>
      </c>
      <c r="K133" s="23" t="s">
        <v>31</v>
      </c>
      <c r="L133" s="25" t="s">
        <v>59</v>
      </c>
      <c r="M133" s="21" t="s">
        <v>32</v>
      </c>
      <c r="N133" s="37">
        <v>62.42</v>
      </c>
      <c r="O133" s="37">
        <v>16.18</v>
      </c>
      <c r="P133" s="26">
        <f t="shared" si="16"/>
        <v>46.24</v>
      </c>
      <c r="Q133" s="27">
        <v>305</v>
      </c>
      <c r="R133" s="28">
        <f t="shared" si="17"/>
        <v>14103.2</v>
      </c>
      <c r="S133" s="27"/>
      <c r="T133" s="29"/>
      <c r="V133" s="29" t="s">
        <v>24</v>
      </c>
      <c r="W133" s="27">
        <v>145</v>
      </c>
      <c r="X133" s="30">
        <f t="shared" ref="X133:X164" si="18">W133*P133</f>
        <v>6704.8</v>
      </c>
      <c r="Y133" s="31">
        <v>210</v>
      </c>
      <c r="Z133" s="31">
        <f t="shared" ref="Z133:Z164" si="19">Y133*P133</f>
        <v>9710.4</v>
      </c>
      <c r="AA133" s="29">
        <f t="shared" ref="AA133:AA164" si="20">R133+X133+Z133</f>
        <v>30518.400000000001</v>
      </c>
    </row>
    <row r="134" spans="1:27" s="32" customFormat="1" x14ac:dyDescent="0.25">
      <c r="A134" s="18">
        <v>138</v>
      </c>
      <c r="B134" s="19">
        <v>46025</v>
      </c>
      <c r="C134" s="19">
        <v>46026</v>
      </c>
      <c r="D134" s="20">
        <v>260404004</v>
      </c>
      <c r="E134" s="21" t="s">
        <v>259</v>
      </c>
      <c r="F134" s="21" t="s">
        <v>260</v>
      </c>
      <c r="G134" s="21">
        <v>43</v>
      </c>
      <c r="H134" s="48">
        <v>53</v>
      </c>
      <c r="I134" s="52" t="s">
        <v>57</v>
      </c>
      <c r="J134" s="49" t="s">
        <v>23</v>
      </c>
      <c r="K134" s="23" t="s">
        <v>31</v>
      </c>
      <c r="L134" s="25" t="s">
        <v>41</v>
      </c>
      <c r="M134" s="21" t="s">
        <v>63</v>
      </c>
      <c r="N134" s="37">
        <v>59.26</v>
      </c>
      <c r="O134" s="37">
        <v>15.78</v>
      </c>
      <c r="P134" s="26">
        <f t="shared" si="16"/>
        <v>43.48</v>
      </c>
      <c r="Q134" s="27">
        <v>425</v>
      </c>
      <c r="R134" s="28">
        <f t="shared" si="17"/>
        <v>18479</v>
      </c>
      <c r="S134" s="27"/>
      <c r="T134" s="29"/>
      <c r="V134" s="29" t="s">
        <v>24</v>
      </c>
      <c r="W134" s="27">
        <v>145</v>
      </c>
      <c r="X134" s="30">
        <f t="shared" si="18"/>
        <v>6304.5999999999995</v>
      </c>
      <c r="Y134" s="31">
        <v>210</v>
      </c>
      <c r="Z134" s="31">
        <f t="shared" si="19"/>
        <v>9130.7999999999993</v>
      </c>
      <c r="AA134" s="29">
        <f t="shared" si="20"/>
        <v>33914.399999999994</v>
      </c>
    </row>
    <row r="135" spans="1:27" s="32" customFormat="1" x14ac:dyDescent="0.25">
      <c r="A135" s="18">
        <v>139</v>
      </c>
      <c r="B135" s="19">
        <v>46025</v>
      </c>
      <c r="C135" s="19">
        <v>46026</v>
      </c>
      <c r="D135" s="20">
        <v>260104007</v>
      </c>
      <c r="E135" s="21" t="s">
        <v>261</v>
      </c>
      <c r="F135" s="21" t="s">
        <v>262</v>
      </c>
      <c r="G135" s="21">
        <v>34</v>
      </c>
      <c r="H135" s="48">
        <v>53</v>
      </c>
      <c r="I135" s="52" t="s">
        <v>57</v>
      </c>
      <c r="J135" s="49" t="s">
        <v>23</v>
      </c>
      <c r="K135" s="23" t="s">
        <v>31</v>
      </c>
      <c r="L135" s="21" t="s">
        <v>43</v>
      </c>
      <c r="M135" s="21" t="s">
        <v>63</v>
      </c>
      <c r="N135" s="37">
        <v>45.78</v>
      </c>
      <c r="O135" s="37">
        <v>11.26</v>
      </c>
      <c r="P135" s="26">
        <f t="shared" si="16"/>
        <v>34.520000000000003</v>
      </c>
      <c r="Q135" s="27">
        <v>425</v>
      </c>
      <c r="R135" s="28">
        <f t="shared" si="17"/>
        <v>14671.000000000002</v>
      </c>
      <c r="S135" s="27"/>
      <c r="T135" s="29"/>
      <c r="V135" s="29" t="s">
        <v>24</v>
      </c>
      <c r="W135" s="27">
        <v>145</v>
      </c>
      <c r="X135" s="30">
        <f t="shared" si="18"/>
        <v>5005.4000000000005</v>
      </c>
      <c r="Y135" s="31">
        <v>210</v>
      </c>
      <c r="Z135" s="31">
        <f t="shared" si="19"/>
        <v>7249.2000000000007</v>
      </c>
      <c r="AA135" s="29">
        <f t="shared" si="20"/>
        <v>26925.600000000002</v>
      </c>
    </row>
    <row r="136" spans="1:27" s="38" customFormat="1" x14ac:dyDescent="0.25">
      <c r="A136" s="18">
        <v>140</v>
      </c>
      <c r="B136" s="19">
        <v>46025</v>
      </c>
      <c r="C136" s="19">
        <v>46026</v>
      </c>
      <c r="D136" s="20">
        <v>260104008</v>
      </c>
      <c r="E136" s="21" t="s">
        <v>263</v>
      </c>
      <c r="F136" s="21" t="s">
        <v>264</v>
      </c>
      <c r="G136" s="21">
        <v>49</v>
      </c>
      <c r="H136" s="48">
        <v>53</v>
      </c>
      <c r="I136" s="52" t="s">
        <v>57</v>
      </c>
      <c r="J136" s="49" t="s">
        <v>23</v>
      </c>
      <c r="K136" s="23" t="s">
        <v>31</v>
      </c>
      <c r="L136" s="21" t="s">
        <v>55</v>
      </c>
      <c r="M136" s="21" t="s">
        <v>63</v>
      </c>
      <c r="N136" s="37">
        <v>67.7</v>
      </c>
      <c r="O136" s="37">
        <v>18.18</v>
      </c>
      <c r="P136" s="26">
        <f t="shared" si="16"/>
        <v>49.52</v>
      </c>
      <c r="Q136" s="27">
        <v>425</v>
      </c>
      <c r="R136" s="28">
        <f t="shared" si="17"/>
        <v>21046</v>
      </c>
      <c r="S136" s="27"/>
      <c r="T136" s="29"/>
      <c r="V136" s="29" t="s">
        <v>24</v>
      </c>
      <c r="W136" s="27">
        <v>145</v>
      </c>
      <c r="X136" s="30">
        <f t="shared" si="18"/>
        <v>7180.4000000000005</v>
      </c>
      <c r="Y136" s="31">
        <v>210</v>
      </c>
      <c r="Z136" s="31">
        <f t="shared" si="19"/>
        <v>10399.200000000001</v>
      </c>
      <c r="AA136" s="29">
        <f t="shared" si="20"/>
        <v>38625.600000000006</v>
      </c>
    </row>
    <row r="137" spans="1:27" s="32" customFormat="1" x14ac:dyDescent="0.25">
      <c r="A137" s="18">
        <v>141</v>
      </c>
      <c r="B137" s="19">
        <v>46025</v>
      </c>
      <c r="C137" s="19">
        <v>46026</v>
      </c>
      <c r="D137" s="20">
        <v>260104009</v>
      </c>
      <c r="E137" s="21" t="s">
        <v>265</v>
      </c>
      <c r="F137" s="21" t="s">
        <v>266</v>
      </c>
      <c r="G137" s="21">
        <v>45</v>
      </c>
      <c r="H137" s="48">
        <v>53</v>
      </c>
      <c r="I137" s="52" t="s">
        <v>57</v>
      </c>
      <c r="J137" s="49" t="s">
        <v>23</v>
      </c>
      <c r="K137" s="23" t="s">
        <v>31</v>
      </c>
      <c r="L137" s="21" t="s">
        <v>38</v>
      </c>
      <c r="M137" s="21" t="s">
        <v>63</v>
      </c>
      <c r="N137" s="37">
        <v>60.28</v>
      </c>
      <c r="O137" s="37">
        <v>15.06</v>
      </c>
      <c r="P137" s="26">
        <f t="shared" si="16"/>
        <v>45.22</v>
      </c>
      <c r="Q137" s="27">
        <v>425</v>
      </c>
      <c r="R137" s="28">
        <f t="shared" si="17"/>
        <v>19218.5</v>
      </c>
      <c r="S137" s="27"/>
      <c r="T137" s="29"/>
      <c r="V137" s="29" t="s">
        <v>24</v>
      </c>
      <c r="W137" s="27">
        <v>145</v>
      </c>
      <c r="X137" s="30">
        <f t="shared" si="18"/>
        <v>6556.9</v>
      </c>
      <c r="Y137" s="31">
        <v>210</v>
      </c>
      <c r="Z137" s="31">
        <f t="shared" si="19"/>
        <v>9496.1999999999989</v>
      </c>
      <c r="AA137" s="29">
        <f t="shared" si="20"/>
        <v>35271.599999999999</v>
      </c>
    </row>
    <row r="138" spans="1:27" s="32" customFormat="1" x14ac:dyDescent="0.25">
      <c r="A138" s="18">
        <v>142</v>
      </c>
      <c r="B138" s="19">
        <v>46025</v>
      </c>
      <c r="C138" s="19">
        <v>46026</v>
      </c>
      <c r="D138" s="20">
        <v>260104010</v>
      </c>
      <c r="E138" s="21" t="s">
        <v>267</v>
      </c>
      <c r="F138" s="21" t="s">
        <v>268</v>
      </c>
      <c r="G138" s="21">
        <v>46</v>
      </c>
      <c r="H138" s="48">
        <v>53</v>
      </c>
      <c r="I138" s="52" t="s">
        <v>57</v>
      </c>
      <c r="J138" s="49" t="s">
        <v>23</v>
      </c>
      <c r="K138" s="23" t="s">
        <v>31</v>
      </c>
      <c r="L138" s="25" t="s">
        <v>56</v>
      </c>
      <c r="M138" s="21" t="s">
        <v>63</v>
      </c>
      <c r="N138" s="37">
        <v>65.22</v>
      </c>
      <c r="O138" s="37">
        <v>18.940000000000001</v>
      </c>
      <c r="P138" s="26">
        <f t="shared" si="16"/>
        <v>46.28</v>
      </c>
      <c r="Q138" s="27">
        <v>425</v>
      </c>
      <c r="R138" s="28">
        <f t="shared" si="17"/>
        <v>19669</v>
      </c>
      <c r="S138" s="27"/>
      <c r="T138" s="29"/>
      <c r="V138" s="29" t="s">
        <v>24</v>
      </c>
      <c r="W138" s="27">
        <v>145</v>
      </c>
      <c r="X138" s="30">
        <f t="shared" si="18"/>
        <v>6710.6</v>
      </c>
      <c r="Y138" s="31">
        <v>210</v>
      </c>
      <c r="Z138" s="31">
        <f t="shared" si="19"/>
        <v>9718.8000000000011</v>
      </c>
      <c r="AA138" s="29">
        <f t="shared" si="20"/>
        <v>36098.400000000001</v>
      </c>
    </row>
    <row r="139" spans="1:27" s="32" customFormat="1" x14ac:dyDescent="0.25">
      <c r="A139" s="18">
        <v>143</v>
      </c>
      <c r="B139" s="19">
        <v>46025</v>
      </c>
      <c r="C139" s="19">
        <v>46026</v>
      </c>
      <c r="D139" s="20">
        <v>260104011</v>
      </c>
      <c r="E139" s="21" t="s">
        <v>269</v>
      </c>
      <c r="F139" s="21" t="s">
        <v>270</v>
      </c>
      <c r="G139" s="21">
        <v>43</v>
      </c>
      <c r="H139" s="48">
        <v>53</v>
      </c>
      <c r="I139" s="52" t="s">
        <v>57</v>
      </c>
      <c r="J139" s="49" t="s">
        <v>23</v>
      </c>
      <c r="K139" s="23" t="s">
        <v>31</v>
      </c>
      <c r="L139" s="21" t="s">
        <v>37</v>
      </c>
      <c r="M139" s="21" t="s">
        <v>63</v>
      </c>
      <c r="N139" s="37">
        <v>58.84</v>
      </c>
      <c r="O139" s="37">
        <v>15.84</v>
      </c>
      <c r="P139" s="26">
        <f t="shared" si="16"/>
        <v>43</v>
      </c>
      <c r="Q139" s="27">
        <v>425</v>
      </c>
      <c r="R139" s="28">
        <f t="shared" si="17"/>
        <v>18275</v>
      </c>
      <c r="S139" s="27"/>
      <c r="T139" s="29"/>
      <c r="V139" s="29" t="s">
        <v>24</v>
      </c>
      <c r="W139" s="27">
        <v>145</v>
      </c>
      <c r="X139" s="30">
        <f t="shared" si="18"/>
        <v>6235</v>
      </c>
      <c r="Y139" s="31">
        <v>210</v>
      </c>
      <c r="Z139" s="31">
        <f t="shared" si="19"/>
        <v>9030</v>
      </c>
      <c r="AA139" s="29">
        <f t="shared" si="20"/>
        <v>33540</v>
      </c>
    </row>
    <row r="140" spans="1:27" s="32" customFormat="1" x14ac:dyDescent="0.25">
      <c r="A140" s="18">
        <v>144</v>
      </c>
      <c r="B140" s="19">
        <v>46025</v>
      </c>
      <c r="C140" s="19">
        <v>46026</v>
      </c>
      <c r="D140" s="20" t="s">
        <v>271</v>
      </c>
      <c r="E140" s="21"/>
      <c r="F140" s="21"/>
      <c r="G140" s="21"/>
      <c r="H140" s="59"/>
      <c r="I140" s="60" t="s">
        <v>201</v>
      </c>
      <c r="J140" s="49" t="s">
        <v>23</v>
      </c>
      <c r="K140" s="23" t="s">
        <v>31</v>
      </c>
      <c r="L140" s="21" t="s">
        <v>272</v>
      </c>
      <c r="M140" s="21" t="s">
        <v>203</v>
      </c>
      <c r="N140" s="37">
        <v>27.89</v>
      </c>
      <c r="O140" s="21">
        <v>14.65</v>
      </c>
      <c r="P140" s="26">
        <f t="shared" si="16"/>
        <v>13.24</v>
      </c>
      <c r="Q140" s="27">
        <v>0</v>
      </c>
      <c r="R140" s="28">
        <f t="shared" si="17"/>
        <v>0</v>
      </c>
      <c r="S140" s="27"/>
      <c r="T140" s="29"/>
      <c r="V140" s="29" t="s">
        <v>24</v>
      </c>
      <c r="W140" s="27"/>
      <c r="X140" s="30">
        <f t="shared" si="18"/>
        <v>0</v>
      </c>
      <c r="Y140" s="31"/>
      <c r="Z140" s="31">
        <f t="shared" si="19"/>
        <v>0</v>
      </c>
      <c r="AA140" s="29">
        <f t="shared" si="20"/>
        <v>0</v>
      </c>
    </row>
    <row r="141" spans="1:27" s="38" customFormat="1" x14ac:dyDescent="0.25">
      <c r="A141" s="18">
        <v>145</v>
      </c>
      <c r="B141" s="19">
        <v>46025</v>
      </c>
      <c r="C141" s="19">
        <v>46026</v>
      </c>
      <c r="D141" s="20">
        <v>260104013</v>
      </c>
      <c r="E141" s="21" t="s">
        <v>273</v>
      </c>
      <c r="F141" s="21" t="s">
        <v>274</v>
      </c>
      <c r="G141" s="21">
        <v>33</v>
      </c>
      <c r="H141" s="48">
        <v>53</v>
      </c>
      <c r="I141" s="52" t="s">
        <v>57</v>
      </c>
      <c r="J141" s="49" t="s">
        <v>23</v>
      </c>
      <c r="K141" s="23" t="s">
        <v>31</v>
      </c>
      <c r="L141" s="21" t="s">
        <v>39</v>
      </c>
      <c r="M141" s="21" t="s">
        <v>63</v>
      </c>
      <c r="N141" s="37">
        <v>45.26</v>
      </c>
      <c r="O141" s="37">
        <v>11.8</v>
      </c>
      <c r="P141" s="26">
        <f t="shared" si="16"/>
        <v>33.459999999999994</v>
      </c>
      <c r="Q141" s="27">
        <v>425</v>
      </c>
      <c r="R141" s="28">
        <f t="shared" si="17"/>
        <v>14220.499999999998</v>
      </c>
      <c r="S141" s="27"/>
      <c r="T141" s="29"/>
      <c r="V141" s="29" t="s">
        <v>24</v>
      </c>
      <c r="W141" s="27">
        <v>145</v>
      </c>
      <c r="X141" s="30">
        <f t="shared" si="18"/>
        <v>4851.6999999999989</v>
      </c>
      <c r="Y141" s="31">
        <v>210</v>
      </c>
      <c r="Z141" s="31">
        <f t="shared" si="19"/>
        <v>7026.5999999999985</v>
      </c>
      <c r="AA141" s="29">
        <f t="shared" si="20"/>
        <v>26098.799999999996</v>
      </c>
    </row>
    <row r="142" spans="1:27" s="38" customFormat="1" x14ac:dyDescent="0.25">
      <c r="A142" s="18">
        <v>146</v>
      </c>
      <c r="B142" s="19">
        <v>46025</v>
      </c>
      <c r="C142" s="19">
        <v>46026</v>
      </c>
      <c r="D142" s="20">
        <v>260104012</v>
      </c>
      <c r="E142" s="21" t="s">
        <v>275</v>
      </c>
      <c r="F142" s="21" t="s">
        <v>276</v>
      </c>
      <c r="G142" s="21">
        <v>33</v>
      </c>
      <c r="H142" s="48">
        <v>76</v>
      </c>
      <c r="I142" s="23" t="s">
        <v>237</v>
      </c>
      <c r="J142" s="49" t="s">
        <v>23</v>
      </c>
      <c r="K142" s="23" t="s">
        <v>31</v>
      </c>
      <c r="L142" s="53" t="s">
        <v>48</v>
      </c>
      <c r="M142" s="21" t="s">
        <v>32</v>
      </c>
      <c r="N142" s="37">
        <v>45.02</v>
      </c>
      <c r="O142" s="37">
        <v>11.34</v>
      </c>
      <c r="P142" s="26">
        <f t="shared" si="16"/>
        <v>33.680000000000007</v>
      </c>
      <c r="Q142" s="27">
        <v>285</v>
      </c>
      <c r="R142" s="28">
        <f t="shared" si="17"/>
        <v>9598.8000000000011</v>
      </c>
      <c r="S142" s="21"/>
      <c r="T142" s="29"/>
      <c r="V142" s="29" t="s">
        <v>24</v>
      </c>
      <c r="W142" s="27">
        <v>145</v>
      </c>
      <c r="X142" s="30">
        <f t="shared" si="18"/>
        <v>4883.6000000000013</v>
      </c>
      <c r="Y142" s="31">
        <v>180</v>
      </c>
      <c r="Z142" s="29">
        <f t="shared" si="19"/>
        <v>6062.4000000000015</v>
      </c>
      <c r="AA142" s="29">
        <f t="shared" si="20"/>
        <v>20544.800000000003</v>
      </c>
    </row>
    <row r="143" spans="1:27" s="32" customFormat="1" x14ac:dyDescent="0.25">
      <c r="A143" s="18">
        <v>147</v>
      </c>
      <c r="B143" s="19">
        <v>46025</v>
      </c>
      <c r="C143" s="19">
        <v>46026</v>
      </c>
      <c r="D143" s="20">
        <v>260104014</v>
      </c>
      <c r="E143" s="21" t="s">
        <v>277</v>
      </c>
      <c r="F143" s="21" t="s">
        <v>278</v>
      </c>
      <c r="G143" s="21">
        <v>34</v>
      </c>
      <c r="H143" s="48">
        <v>53</v>
      </c>
      <c r="I143" s="52" t="s">
        <v>57</v>
      </c>
      <c r="J143" s="49" t="s">
        <v>23</v>
      </c>
      <c r="K143" s="23" t="s">
        <v>31</v>
      </c>
      <c r="L143" s="21" t="s">
        <v>51</v>
      </c>
      <c r="M143" s="21" t="s">
        <v>63</v>
      </c>
      <c r="N143" s="37">
        <v>45.48</v>
      </c>
      <c r="O143" s="21">
        <v>11.42</v>
      </c>
      <c r="P143" s="26">
        <f t="shared" si="16"/>
        <v>34.059999999999995</v>
      </c>
      <c r="Q143" s="27">
        <v>425</v>
      </c>
      <c r="R143" s="28">
        <f t="shared" si="17"/>
        <v>14475.499999999998</v>
      </c>
      <c r="S143" s="27"/>
      <c r="T143" s="29"/>
      <c r="V143" s="29" t="s">
        <v>24</v>
      </c>
      <c r="W143" s="27">
        <v>145</v>
      </c>
      <c r="X143" s="30">
        <f t="shared" si="18"/>
        <v>4938.6999999999989</v>
      </c>
      <c r="Y143" s="31">
        <v>210</v>
      </c>
      <c r="Z143" s="31">
        <f t="shared" si="19"/>
        <v>7152.5999999999985</v>
      </c>
      <c r="AA143" s="29">
        <f t="shared" si="20"/>
        <v>26566.799999999996</v>
      </c>
    </row>
    <row r="144" spans="1:27" s="32" customFormat="1" x14ac:dyDescent="0.25">
      <c r="A144" s="18">
        <v>148</v>
      </c>
      <c r="B144" s="19">
        <v>46026</v>
      </c>
      <c r="C144" s="19">
        <v>46026</v>
      </c>
      <c r="D144" s="20">
        <v>260104015</v>
      </c>
      <c r="E144" s="21" t="s">
        <v>279</v>
      </c>
      <c r="F144" s="21" t="s">
        <v>280</v>
      </c>
      <c r="G144" s="21">
        <v>43</v>
      </c>
      <c r="H144" s="48">
        <v>53</v>
      </c>
      <c r="I144" s="52" t="s">
        <v>57</v>
      </c>
      <c r="J144" s="49" t="s">
        <v>23</v>
      </c>
      <c r="K144" s="23" t="s">
        <v>31</v>
      </c>
      <c r="L144" s="25" t="s">
        <v>54</v>
      </c>
      <c r="M144" s="21" t="s">
        <v>63</v>
      </c>
      <c r="N144" s="21">
        <v>59.18</v>
      </c>
      <c r="O144" s="21">
        <v>15.78</v>
      </c>
      <c r="P144" s="26">
        <f t="shared" si="16"/>
        <v>43.4</v>
      </c>
      <c r="Q144" s="27">
        <v>425</v>
      </c>
      <c r="R144" s="28">
        <f t="shared" si="17"/>
        <v>18445</v>
      </c>
      <c r="S144" s="27"/>
      <c r="T144" s="29"/>
      <c r="V144" s="29" t="s">
        <v>24</v>
      </c>
      <c r="W144" s="27">
        <v>145</v>
      </c>
      <c r="X144" s="30">
        <f t="shared" si="18"/>
        <v>6293</v>
      </c>
      <c r="Y144" s="31">
        <v>210</v>
      </c>
      <c r="Z144" s="31">
        <f t="shared" si="19"/>
        <v>9114</v>
      </c>
      <c r="AA144" s="29">
        <f t="shared" si="20"/>
        <v>33852</v>
      </c>
    </row>
    <row r="145" spans="1:38" s="32" customFormat="1" x14ac:dyDescent="0.25">
      <c r="A145" s="18">
        <v>149</v>
      </c>
      <c r="B145" s="19">
        <v>46026</v>
      </c>
      <c r="C145" s="19">
        <v>46026</v>
      </c>
      <c r="D145" s="20">
        <v>260104016</v>
      </c>
      <c r="E145" s="21" t="s">
        <v>281</v>
      </c>
      <c r="F145" s="21" t="s">
        <v>282</v>
      </c>
      <c r="G145" s="21">
        <v>46</v>
      </c>
      <c r="H145" s="48">
        <v>53</v>
      </c>
      <c r="I145" s="52" t="s">
        <v>57</v>
      </c>
      <c r="J145" s="49" t="s">
        <v>23</v>
      </c>
      <c r="K145" s="23" t="s">
        <v>31</v>
      </c>
      <c r="L145" s="25" t="s">
        <v>58</v>
      </c>
      <c r="M145" s="21" t="s">
        <v>63</v>
      </c>
      <c r="N145" s="21">
        <v>61.6</v>
      </c>
      <c r="O145" s="21">
        <v>15.52</v>
      </c>
      <c r="P145" s="26">
        <f t="shared" si="16"/>
        <v>46.08</v>
      </c>
      <c r="Q145" s="27">
        <v>425</v>
      </c>
      <c r="R145" s="28">
        <f t="shared" si="17"/>
        <v>19584</v>
      </c>
      <c r="S145" s="27"/>
      <c r="T145" s="29"/>
      <c r="V145" s="29" t="s">
        <v>24</v>
      </c>
      <c r="W145" s="27">
        <v>145</v>
      </c>
      <c r="X145" s="30">
        <f t="shared" si="18"/>
        <v>6681.5999999999995</v>
      </c>
      <c r="Y145" s="31">
        <v>210</v>
      </c>
      <c r="Z145" s="31">
        <f t="shared" si="19"/>
        <v>9676.7999999999993</v>
      </c>
      <c r="AA145" s="29">
        <f t="shared" si="20"/>
        <v>35942.399999999994</v>
      </c>
    </row>
    <row r="146" spans="1:38" s="32" customFormat="1" x14ac:dyDescent="0.25">
      <c r="A146" s="18">
        <v>150</v>
      </c>
      <c r="B146" s="19">
        <v>46026</v>
      </c>
      <c r="C146" s="19">
        <v>46026</v>
      </c>
      <c r="D146" s="20">
        <v>260104017</v>
      </c>
      <c r="E146" s="21" t="s">
        <v>283</v>
      </c>
      <c r="F146" s="21" t="s">
        <v>284</v>
      </c>
      <c r="G146" s="21">
        <v>44</v>
      </c>
      <c r="H146" s="48">
        <v>53</v>
      </c>
      <c r="I146" s="52" t="s">
        <v>57</v>
      </c>
      <c r="J146" s="49" t="s">
        <v>23</v>
      </c>
      <c r="K146" s="23" t="s">
        <v>31</v>
      </c>
      <c r="L146" s="25" t="s">
        <v>285</v>
      </c>
      <c r="M146" s="21" t="s">
        <v>63</v>
      </c>
      <c r="N146" s="21">
        <v>60.74</v>
      </c>
      <c r="O146" s="21">
        <v>15.74</v>
      </c>
      <c r="P146" s="26">
        <f t="shared" si="16"/>
        <v>45</v>
      </c>
      <c r="Q146" s="27">
        <v>425</v>
      </c>
      <c r="R146" s="28">
        <f t="shared" si="17"/>
        <v>19125</v>
      </c>
      <c r="S146" s="27"/>
      <c r="T146" s="29"/>
      <c r="V146" s="29" t="s">
        <v>24</v>
      </c>
      <c r="W146" s="27">
        <v>145</v>
      </c>
      <c r="X146" s="30">
        <f t="shared" si="18"/>
        <v>6525</v>
      </c>
      <c r="Y146" s="31">
        <v>210</v>
      </c>
      <c r="Z146" s="31">
        <f t="shared" si="19"/>
        <v>9450</v>
      </c>
      <c r="AA146" s="29">
        <f t="shared" si="20"/>
        <v>35100</v>
      </c>
    </row>
    <row r="147" spans="1:38" s="38" customFormat="1" x14ac:dyDescent="0.25">
      <c r="A147" s="18">
        <v>151</v>
      </c>
      <c r="B147" s="19">
        <v>46026</v>
      </c>
      <c r="C147" s="19">
        <v>46026</v>
      </c>
      <c r="D147" s="20" t="s">
        <v>286</v>
      </c>
      <c r="E147" s="21"/>
      <c r="F147" s="21"/>
      <c r="G147" s="21"/>
      <c r="H147" s="33">
        <v>102</v>
      </c>
      <c r="I147" s="60" t="s">
        <v>287</v>
      </c>
      <c r="J147" s="34" t="s">
        <v>23</v>
      </c>
      <c r="K147" s="35" t="s">
        <v>30</v>
      </c>
      <c r="L147" s="25" t="s">
        <v>288</v>
      </c>
      <c r="M147" s="21" t="s">
        <v>289</v>
      </c>
      <c r="N147" s="21">
        <v>8.52</v>
      </c>
      <c r="O147" s="37">
        <v>3.54</v>
      </c>
      <c r="P147" s="26">
        <f t="shared" si="16"/>
        <v>4.9799999999999995</v>
      </c>
      <c r="Q147" s="27">
        <v>140</v>
      </c>
      <c r="R147" s="28">
        <f t="shared" si="17"/>
        <v>697.19999999999993</v>
      </c>
      <c r="S147" s="27">
        <v>5000</v>
      </c>
      <c r="T147" s="29"/>
      <c r="V147" s="29" t="s">
        <v>253</v>
      </c>
      <c r="W147" s="27"/>
      <c r="X147" s="30">
        <f t="shared" si="18"/>
        <v>0</v>
      </c>
      <c r="Y147" s="31"/>
      <c r="Z147" s="31">
        <f t="shared" si="19"/>
        <v>0</v>
      </c>
      <c r="AA147" s="29">
        <f t="shared" si="20"/>
        <v>697.19999999999993</v>
      </c>
    </row>
    <row r="148" spans="1:38" s="32" customFormat="1" x14ac:dyDescent="0.25">
      <c r="A148" s="18">
        <v>152</v>
      </c>
      <c r="B148" s="19">
        <v>46026</v>
      </c>
      <c r="C148" s="19">
        <v>46026</v>
      </c>
      <c r="D148" s="20">
        <v>260104018</v>
      </c>
      <c r="E148" s="21" t="s">
        <v>290</v>
      </c>
      <c r="F148" s="21" t="s">
        <v>291</v>
      </c>
      <c r="G148" s="21">
        <v>35</v>
      </c>
      <c r="H148" s="48">
        <v>53</v>
      </c>
      <c r="I148" s="52" t="s">
        <v>57</v>
      </c>
      <c r="J148" s="49" t="s">
        <v>23</v>
      </c>
      <c r="K148" s="23" t="s">
        <v>31</v>
      </c>
      <c r="L148" s="25" t="s">
        <v>153</v>
      </c>
      <c r="M148" s="21" t="s">
        <v>32</v>
      </c>
      <c r="N148" s="37">
        <v>48.14</v>
      </c>
      <c r="O148" s="21">
        <v>12.64</v>
      </c>
      <c r="P148" s="26">
        <f t="shared" si="16"/>
        <v>35.5</v>
      </c>
      <c r="Q148" s="27">
        <v>295</v>
      </c>
      <c r="R148" s="28">
        <f t="shared" si="17"/>
        <v>10472.5</v>
      </c>
      <c r="S148" s="27"/>
      <c r="T148" s="29"/>
      <c r="V148" s="29" t="s">
        <v>24</v>
      </c>
      <c r="W148" s="27">
        <v>145</v>
      </c>
      <c r="X148" s="30">
        <f t="shared" si="18"/>
        <v>5147.5</v>
      </c>
      <c r="Y148" s="31">
        <v>210</v>
      </c>
      <c r="Z148" s="31">
        <f t="shared" si="19"/>
        <v>7455</v>
      </c>
      <c r="AA148" s="29">
        <f t="shared" si="20"/>
        <v>23075</v>
      </c>
    </row>
    <row r="149" spans="1:38" s="32" customFormat="1" x14ac:dyDescent="0.25">
      <c r="A149" s="18">
        <v>153</v>
      </c>
      <c r="B149" s="19">
        <v>46026</v>
      </c>
      <c r="C149" s="19">
        <v>46026</v>
      </c>
      <c r="D149" s="20">
        <v>260104019</v>
      </c>
      <c r="E149" s="21" t="s">
        <v>292</v>
      </c>
      <c r="F149" s="21" t="s">
        <v>293</v>
      </c>
      <c r="G149" s="21">
        <v>22</v>
      </c>
      <c r="H149" s="44">
        <v>108</v>
      </c>
      <c r="I149" s="23" t="s">
        <v>294</v>
      </c>
      <c r="J149" s="65" t="s">
        <v>23</v>
      </c>
      <c r="K149" s="35" t="s">
        <v>31</v>
      </c>
      <c r="L149" s="25" t="s">
        <v>196</v>
      </c>
      <c r="M149" s="21" t="s">
        <v>32</v>
      </c>
      <c r="N149" s="37">
        <v>36.520000000000003</v>
      </c>
      <c r="O149" s="37">
        <v>14.2</v>
      </c>
      <c r="P149" s="26">
        <f t="shared" si="16"/>
        <v>22.320000000000004</v>
      </c>
      <c r="Q149" s="27">
        <v>420</v>
      </c>
      <c r="R149" s="28">
        <f t="shared" si="17"/>
        <v>9374.4000000000015</v>
      </c>
      <c r="S149" s="27"/>
      <c r="T149" s="29"/>
      <c r="V149" s="29" t="s">
        <v>24</v>
      </c>
      <c r="W149" s="27">
        <v>145</v>
      </c>
      <c r="X149" s="30">
        <f t="shared" si="18"/>
        <v>3236.4000000000005</v>
      </c>
      <c r="Y149" s="31"/>
      <c r="Z149" s="31">
        <f t="shared" si="19"/>
        <v>0</v>
      </c>
      <c r="AA149" s="29">
        <f t="shared" si="20"/>
        <v>12610.800000000003</v>
      </c>
    </row>
    <row r="150" spans="1:38" s="32" customFormat="1" x14ac:dyDescent="0.25">
      <c r="A150" s="18">
        <v>154</v>
      </c>
      <c r="B150" s="19">
        <v>46026</v>
      </c>
      <c r="C150" s="19">
        <v>46026</v>
      </c>
      <c r="D150" s="20">
        <v>260104020</v>
      </c>
      <c r="E150" s="21" t="s">
        <v>295</v>
      </c>
      <c r="F150" s="21" t="s">
        <v>296</v>
      </c>
      <c r="G150" s="21">
        <v>46</v>
      </c>
      <c r="H150" s="48">
        <v>53</v>
      </c>
      <c r="I150" s="52" t="s">
        <v>57</v>
      </c>
      <c r="J150" s="49" t="s">
        <v>23</v>
      </c>
      <c r="K150" s="23" t="s">
        <v>31</v>
      </c>
      <c r="L150" s="25" t="s">
        <v>59</v>
      </c>
      <c r="M150" s="21" t="s">
        <v>63</v>
      </c>
      <c r="N150" s="37">
        <v>62.72</v>
      </c>
      <c r="O150" s="37">
        <v>16.12</v>
      </c>
      <c r="P150" s="26">
        <f t="shared" si="16"/>
        <v>46.599999999999994</v>
      </c>
      <c r="Q150" s="27">
        <v>425</v>
      </c>
      <c r="R150" s="28">
        <f t="shared" si="17"/>
        <v>19804.999999999996</v>
      </c>
      <c r="S150" s="27"/>
      <c r="T150" s="29"/>
      <c r="V150" s="29" t="s">
        <v>24</v>
      </c>
      <c r="W150" s="27">
        <v>145</v>
      </c>
      <c r="X150" s="30">
        <f t="shared" si="18"/>
        <v>6756.9999999999991</v>
      </c>
      <c r="Y150" s="31">
        <v>210</v>
      </c>
      <c r="Z150" s="31">
        <f t="shared" si="19"/>
        <v>9785.9999999999982</v>
      </c>
      <c r="AA150" s="29">
        <f t="shared" si="20"/>
        <v>36347.999999999993</v>
      </c>
    </row>
    <row r="151" spans="1:38" s="32" customFormat="1" x14ac:dyDescent="0.25">
      <c r="A151" s="18">
        <v>155</v>
      </c>
      <c r="B151" s="19">
        <v>46026</v>
      </c>
      <c r="C151" s="19">
        <v>46026</v>
      </c>
      <c r="D151" s="20">
        <v>260104021</v>
      </c>
      <c r="E151" s="21" t="s">
        <v>297</v>
      </c>
      <c r="F151" s="21" t="s">
        <v>298</v>
      </c>
      <c r="G151" s="21">
        <v>43</v>
      </c>
      <c r="H151" s="48">
        <v>53</v>
      </c>
      <c r="I151" s="52" t="s">
        <v>57</v>
      </c>
      <c r="J151" s="49" t="s">
        <v>23</v>
      </c>
      <c r="K151" s="23" t="s">
        <v>31</v>
      </c>
      <c r="L151" s="25" t="s">
        <v>41</v>
      </c>
      <c r="M151" s="21" t="s">
        <v>63</v>
      </c>
      <c r="N151" s="37">
        <v>59.32</v>
      </c>
      <c r="O151" s="37">
        <v>15.62</v>
      </c>
      <c r="P151" s="26">
        <f t="shared" si="16"/>
        <v>43.7</v>
      </c>
      <c r="Q151" s="27">
        <v>425</v>
      </c>
      <c r="R151" s="28">
        <f t="shared" si="17"/>
        <v>18572.5</v>
      </c>
      <c r="S151" s="27"/>
      <c r="T151" s="29"/>
      <c r="V151" s="29" t="s">
        <v>24</v>
      </c>
      <c r="W151" s="27">
        <v>145</v>
      </c>
      <c r="X151" s="30">
        <f t="shared" si="18"/>
        <v>6336.5</v>
      </c>
      <c r="Y151" s="31">
        <v>210</v>
      </c>
      <c r="Z151" s="31">
        <f t="shared" si="19"/>
        <v>9177</v>
      </c>
      <c r="AA151" s="29">
        <f t="shared" si="20"/>
        <v>34086</v>
      </c>
      <c r="AB151" s="40"/>
      <c r="AC151" s="39"/>
      <c r="AD151" s="41"/>
      <c r="AE151" s="42"/>
      <c r="AF151" s="39"/>
      <c r="AG151" s="42"/>
      <c r="AH151" s="39"/>
      <c r="AI151" s="41"/>
      <c r="AJ151" s="39"/>
      <c r="AK151" s="41"/>
      <c r="AL151" s="41"/>
    </row>
    <row r="152" spans="1:38" s="32" customFormat="1" x14ac:dyDescent="0.25">
      <c r="A152" s="18">
        <v>156</v>
      </c>
      <c r="B152" s="19">
        <v>46026</v>
      </c>
      <c r="C152" s="19">
        <v>46026</v>
      </c>
      <c r="D152" s="20" t="s">
        <v>299</v>
      </c>
      <c r="E152" s="21"/>
      <c r="F152" s="21"/>
      <c r="G152" s="21"/>
      <c r="H152" s="59"/>
      <c r="I152" s="51" t="s">
        <v>300</v>
      </c>
      <c r="J152" s="49" t="s">
        <v>23</v>
      </c>
      <c r="K152" s="23" t="s">
        <v>31</v>
      </c>
      <c r="L152" s="25" t="s">
        <v>301</v>
      </c>
      <c r="M152" s="21" t="s">
        <v>49</v>
      </c>
      <c r="N152" s="37">
        <v>9.26</v>
      </c>
      <c r="O152" s="37">
        <v>3.42</v>
      </c>
      <c r="P152" s="26">
        <f t="shared" si="16"/>
        <v>5.84</v>
      </c>
      <c r="Q152" s="27">
        <v>0</v>
      </c>
      <c r="R152" s="28">
        <f t="shared" si="17"/>
        <v>0</v>
      </c>
      <c r="S152" s="27"/>
      <c r="T152" s="29"/>
      <c r="V152" s="29" t="s">
        <v>24</v>
      </c>
      <c r="W152" s="27"/>
      <c r="X152" s="30">
        <f t="shared" si="18"/>
        <v>0</v>
      </c>
      <c r="Y152" s="31"/>
      <c r="Z152" s="31">
        <f t="shared" si="19"/>
        <v>0</v>
      </c>
      <c r="AA152" s="29">
        <f t="shared" si="20"/>
        <v>0</v>
      </c>
    </row>
    <row r="153" spans="1:38" s="32" customFormat="1" x14ac:dyDescent="0.25">
      <c r="A153" s="18">
        <v>157</v>
      </c>
      <c r="B153" s="19">
        <v>46026</v>
      </c>
      <c r="C153" s="19">
        <v>46026</v>
      </c>
      <c r="D153" s="20" t="s">
        <v>302</v>
      </c>
      <c r="E153" s="21"/>
      <c r="F153" s="21"/>
      <c r="G153" s="21"/>
      <c r="H153" s="66"/>
      <c r="I153" s="60" t="s">
        <v>303</v>
      </c>
      <c r="J153" s="34" t="s">
        <v>23</v>
      </c>
      <c r="K153" s="35" t="s">
        <v>30</v>
      </c>
      <c r="L153" s="25" t="s">
        <v>304</v>
      </c>
      <c r="M153" s="21" t="s">
        <v>289</v>
      </c>
      <c r="N153" s="37">
        <v>9.1999999999999993</v>
      </c>
      <c r="O153" s="37">
        <v>3.36</v>
      </c>
      <c r="P153" s="26">
        <f t="shared" si="16"/>
        <v>5.84</v>
      </c>
      <c r="Q153" s="27">
        <v>150</v>
      </c>
      <c r="R153" s="28">
        <f t="shared" si="17"/>
        <v>876</v>
      </c>
      <c r="S153" s="27">
        <v>876</v>
      </c>
      <c r="T153" s="29"/>
      <c r="V153" s="29" t="s">
        <v>24</v>
      </c>
      <c r="W153" s="27"/>
      <c r="X153" s="30">
        <f t="shared" si="18"/>
        <v>0</v>
      </c>
      <c r="Y153" s="31"/>
      <c r="Z153" s="31">
        <f t="shared" si="19"/>
        <v>0</v>
      </c>
      <c r="AA153" s="29">
        <f t="shared" si="20"/>
        <v>876</v>
      </c>
    </row>
    <row r="154" spans="1:38" s="32" customFormat="1" x14ac:dyDescent="0.25">
      <c r="A154" s="18">
        <v>158</v>
      </c>
      <c r="B154" s="19">
        <v>46026</v>
      </c>
      <c r="C154" s="19">
        <v>46026</v>
      </c>
      <c r="D154" s="20" t="s">
        <v>305</v>
      </c>
      <c r="E154" s="21"/>
      <c r="F154" s="21"/>
      <c r="G154" s="21"/>
      <c r="H154" s="66"/>
      <c r="I154" s="51" t="s">
        <v>300</v>
      </c>
      <c r="J154" s="49" t="s">
        <v>23</v>
      </c>
      <c r="K154" s="23" t="s">
        <v>31</v>
      </c>
      <c r="L154" s="25" t="s">
        <v>301</v>
      </c>
      <c r="M154" s="21" t="s">
        <v>49</v>
      </c>
      <c r="N154" s="37">
        <v>9.1999999999999993</v>
      </c>
      <c r="O154" s="37">
        <v>3.44</v>
      </c>
      <c r="P154" s="26">
        <f t="shared" si="16"/>
        <v>5.76</v>
      </c>
      <c r="Q154" s="27">
        <v>0</v>
      </c>
      <c r="R154" s="28">
        <f t="shared" si="17"/>
        <v>0</v>
      </c>
      <c r="S154" s="27"/>
      <c r="T154" s="29"/>
      <c r="V154" s="29" t="s">
        <v>24</v>
      </c>
      <c r="W154" s="27"/>
      <c r="X154" s="30">
        <f t="shared" si="18"/>
        <v>0</v>
      </c>
      <c r="Y154" s="31"/>
      <c r="Z154" s="31">
        <f t="shared" si="19"/>
        <v>0</v>
      </c>
      <c r="AA154" s="29">
        <f t="shared" si="20"/>
        <v>0</v>
      </c>
    </row>
    <row r="155" spans="1:38" s="32" customFormat="1" x14ac:dyDescent="0.25">
      <c r="A155" s="18">
        <v>159</v>
      </c>
      <c r="B155" s="19">
        <v>46026</v>
      </c>
      <c r="C155" s="19">
        <v>46026</v>
      </c>
      <c r="D155" s="20" t="s">
        <v>306</v>
      </c>
      <c r="E155" s="21"/>
      <c r="F155" s="21"/>
      <c r="G155" s="21"/>
      <c r="H155" s="33">
        <v>102</v>
      </c>
      <c r="I155" s="60" t="s">
        <v>287</v>
      </c>
      <c r="J155" s="34" t="s">
        <v>23</v>
      </c>
      <c r="K155" s="35" t="s">
        <v>30</v>
      </c>
      <c r="L155" s="25" t="s">
        <v>288</v>
      </c>
      <c r="M155" s="21" t="s">
        <v>289</v>
      </c>
      <c r="N155" s="37">
        <v>8.98</v>
      </c>
      <c r="O155" s="37">
        <v>3.54</v>
      </c>
      <c r="P155" s="26">
        <f t="shared" si="16"/>
        <v>5.44</v>
      </c>
      <c r="Q155" s="27">
        <v>150</v>
      </c>
      <c r="R155" s="28">
        <f t="shared" si="17"/>
        <v>816.00000000000011</v>
      </c>
      <c r="S155" s="27"/>
      <c r="T155" s="29"/>
      <c r="V155" s="29" t="s">
        <v>253</v>
      </c>
      <c r="W155" s="27"/>
      <c r="X155" s="30">
        <f t="shared" si="18"/>
        <v>0</v>
      </c>
      <c r="Y155" s="31"/>
      <c r="Z155" s="31">
        <f t="shared" si="19"/>
        <v>0</v>
      </c>
      <c r="AA155" s="29">
        <f t="shared" si="20"/>
        <v>816.00000000000011</v>
      </c>
    </row>
    <row r="156" spans="1:38" s="38" customFormat="1" x14ac:dyDescent="0.25">
      <c r="A156" s="18">
        <v>160</v>
      </c>
      <c r="B156" s="19">
        <v>46026</v>
      </c>
      <c r="C156" s="19">
        <v>46026</v>
      </c>
      <c r="D156" s="20" t="s">
        <v>307</v>
      </c>
      <c r="E156" s="21"/>
      <c r="F156" s="21"/>
      <c r="G156" s="21"/>
      <c r="H156" s="59"/>
      <c r="I156" s="60" t="s">
        <v>201</v>
      </c>
      <c r="J156" s="49" t="s">
        <v>23</v>
      </c>
      <c r="K156" s="23" t="s">
        <v>31</v>
      </c>
      <c r="L156" s="25" t="s">
        <v>308</v>
      </c>
      <c r="M156" s="21" t="s">
        <v>203</v>
      </c>
      <c r="N156" s="37">
        <v>29.12</v>
      </c>
      <c r="O156" s="37">
        <v>13.98</v>
      </c>
      <c r="P156" s="26">
        <f t="shared" si="16"/>
        <v>15.14</v>
      </c>
      <c r="Q156" s="27">
        <v>0</v>
      </c>
      <c r="R156" s="28">
        <f t="shared" si="17"/>
        <v>0</v>
      </c>
      <c r="S156" s="27"/>
      <c r="T156" s="29"/>
      <c r="V156" s="29" t="s">
        <v>24</v>
      </c>
      <c r="W156" s="27"/>
      <c r="X156" s="30">
        <f t="shared" si="18"/>
        <v>0</v>
      </c>
      <c r="Y156" s="31"/>
      <c r="Z156" s="29">
        <f t="shared" si="19"/>
        <v>0</v>
      </c>
      <c r="AA156" s="29">
        <f t="shared" si="20"/>
        <v>0</v>
      </c>
    </row>
    <row r="157" spans="1:38" s="38" customFormat="1" x14ac:dyDescent="0.25">
      <c r="A157" s="18">
        <v>161</v>
      </c>
      <c r="B157" s="19">
        <v>46026</v>
      </c>
      <c r="C157" s="19">
        <v>46026</v>
      </c>
      <c r="D157" s="20" t="s">
        <v>309</v>
      </c>
      <c r="E157" s="21"/>
      <c r="F157" s="21"/>
      <c r="G157" s="21"/>
      <c r="H157" s="59"/>
      <c r="I157" s="60" t="s">
        <v>201</v>
      </c>
      <c r="J157" s="49" t="s">
        <v>23</v>
      </c>
      <c r="K157" s="23" t="s">
        <v>31</v>
      </c>
      <c r="L157" s="25" t="s">
        <v>202</v>
      </c>
      <c r="M157" s="21" t="s">
        <v>203</v>
      </c>
      <c r="N157" s="37">
        <v>24.22</v>
      </c>
      <c r="O157" s="37">
        <v>14.18</v>
      </c>
      <c r="P157" s="26">
        <f t="shared" si="16"/>
        <v>10.039999999999999</v>
      </c>
      <c r="Q157" s="27">
        <v>0</v>
      </c>
      <c r="R157" s="28">
        <f t="shared" si="17"/>
        <v>0</v>
      </c>
      <c r="S157" s="27"/>
      <c r="T157" s="29"/>
      <c r="V157" s="29" t="s">
        <v>24</v>
      </c>
      <c r="W157" s="27"/>
      <c r="X157" s="30">
        <f t="shared" si="18"/>
        <v>0</v>
      </c>
      <c r="Y157" s="31"/>
      <c r="Z157" s="29">
        <f t="shared" si="19"/>
        <v>0</v>
      </c>
      <c r="AA157" s="29">
        <f t="shared" si="20"/>
        <v>0</v>
      </c>
    </row>
    <row r="158" spans="1:38" s="32" customFormat="1" x14ac:dyDescent="0.25">
      <c r="A158" s="18">
        <v>162</v>
      </c>
      <c r="B158" s="19">
        <v>46026</v>
      </c>
      <c r="C158" s="19">
        <v>46026</v>
      </c>
      <c r="D158" s="67">
        <v>260104022</v>
      </c>
      <c r="E158" s="21" t="s">
        <v>310</v>
      </c>
      <c r="F158" s="21" t="s">
        <v>311</v>
      </c>
      <c r="G158" s="21">
        <v>60</v>
      </c>
      <c r="H158" s="44">
        <v>115</v>
      </c>
      <c r="I158" s="23" t="s">
        <v>33</v>
      </c>
      <c r="J158" s="24" t="s">
        <v>23</v>
      </c>
      <c r="K158" s="35" t="s">
        <v>31</v>
      </c>
      <c r="L158" s="25" t="s">
        <v>206</v>
      </c>
      <c r="M158" s="21" t="s">
        <v>34</v>
      </c>
      <c r="N158" s="37">
        <v>77.38</v>
      </c>
      <c r="O158" s="37">
        <v>17.34</v>
      </c>
      <c r="P158" s="26">
        <f>N158-O158</f>
        <v>60.039999999999992</v>
      </c>
      <c r="Q158" s="27">
        <v>545</v>
      </c>
      <c r="R158" s="28">
        <f>Q158*P158</f>
        <v>32721.799999999996</v>
      </c>
      <c r="S158" s="27"/>
      <c r="T158" s="29"/>
      <c r="V158" s="29" t="s">
        <v>24</v>
      </c>
      <c r="W158" s="27">
        <v>145</v>
      </c>
      <c r="X158" s="30">
        <f t="shared" si="18"/>
        <v>8705.7999999999993</v>
      </c>
      <c r="Y158" s="31">
        <v>260</v>
      </c>
      <c r="Z158" s="29">
        <f t="shared" si="19"/>
        <v>15610.399999999998</v>
      </c>
      <c r="AA158" s="29">
        <f t="shared" si="20"/>
        <v>57037.999999999985</v>
      </c>
    </row>
    <row r="159" spans="1:38" s="32" customFormat="1" x14ac:dyDescent="0.25">
      <c r="A159" s="18">
        <v>163</v>
      </c>
      <c r="B159" s="19">
        <v>46026</v>
      </c>
      <c r="C159" s="19">
        <v>46026</v>
      </c>
      <c r="D159" s="20">
        <v>260104023</v>
      </c>
      <c r="E159" s="21" t="s">
        <v>312</v>
      </c>
      <c r="F159" s="21" t="s">
        <v>313</v>
      </c>
      <c r="G159" s="21">
        <v>37</v>
      </c>
      <c r="H159" s="44">
        <v>115</v>
      </c>
      <c r="I159" s="23" t="s">
        <v>33</v>
      </c>
      <c r="J159" s="24" t="s">
        <v>23</v>
      </c>
      <c r="K159" s="35" t="s">
        <v>31</v>
      </c>
      <c r="L159" s="25" t="s">
        <v>124</v>
      </c>
      <c r="M159" s="21" t="s">
        <v>32</v>
      </c>
      <c r="N159" s="37">
        <v>50.52</v>
      </c>
      <c r="O159" s="37">
        <v>12.78</v>
      </c>
      <c r="P159" s="26">
        <f>N159-O159</f>
        <v>37.74</v>
      </c>
      <c r="Q159" s="27">
        <v>315</v>
      </c>
      <c r="R159" s="28">
        <f>Q159*P159</f>
        <v>11888.1</v>
      </c>
      <c r="S159" s="27"/>
      <c r="T159" s="29"/>
      <c r="V159" s="29" t="s">
        <v>24</v>
      </c>
      <c r="W159" s="27">
        <v>145</v>
      </c>
      <c r="X159" s="30">
        <f t="shared" si="18"/>
        <v>5472.3</v>
      </c>
      <c r="Y159" s="31">
        <v>260</v>
      </c>
      <c r="Z159" s="29">
        <f t="shared" si="19"/>
        <v>9812.4</v>
      </c>
      <c r="AA159" s="29">
        <f t="shared" si="20"/>
        <v>27172.800000000003</v>
      </c>
    </row>
    <row r="160" spans="1:38" s="32" customFormat="1" x14ac:dyDescent="0.25">
      <c r="A160" s="18">
        <v>164</v>
      </c>
      <c r="B160" s="19">
        <v>46026</v>
      </c>
      <c r="C160" s="19">
        <v>46026</v>
      </c>
      <c r="D160" s="20">
        <v>260104024</v>
      </c>
      <c r="E160" s="21" t="s">
        <v>314</v>
      </c>
      <c r="F160" s="21" t="s">
        <v>315</v>
      </c>
      <c r="G160" s="21">
        <v>49</v>
      </c>
      <c r="H160" s="44">
        <v>115</v>
      </c>
      <c r="I160" s="23" t="s">
        <v>33</v>
      </c>
      <c r="J160" s="24" t="s">
        <v>23</v>
      </c>
      <c r="K160" s="35" t="s">
        <v>31</v>
      </c>
      <c r="L160" s="25" t="s">
        <v>37</v>
      </c>
      <c r="M160" s="21" t="s">
        <v>35</v>
      </c>
      <c r="N160" s="37">
        <v>65.099999999999994</v>
      </c>
      <c r="O160" s="37">
        <v>15.8</v>
      </c>
      <c r="P160" s="26">
        <f t="shared" ref="P160:P223" si="21">N160-O160</f>
        <v>49.3</v>
      </c>
      <c r="Q160" s="27">
        <v>445</v>
      </c>
      <c r="R160" s="28">
        <f t="shared" ref="R160:R185" si="22">Q160*P160</f>
        <v>21938.5</v>
      </c>
      <c r="S160" s="27"/>
      <c r="T160" s="29"/>
      <c r="V160" s="29" t="s">
        <v>24</v>
      </c>
      <c r="W160" s="27">
        <v>145</v>
      </c>
      <c r="X160" s="30">
        <f t="shared" si="18"/>
        <v>7148.5</v>
      </c>
      <c r="Y160" s="31">
        <v>260</v>
      </c>
      <c r="Z160" s="29">
        <f t="shared" si="19"/>
        <v>12818</v>
      </c>
      <c r="AA160" s="29">
        <f t="shared" si="20"/>
        <v>41905</v>
      </c>
    </row>
    <row r="161" spans="1:27" s="38" customFormat="1" x14ac:dyDescent="0.25">
      <c r="A161" s="18">
        <v>165</v>
      </c>
      <c r="B161" s="19">
        <v>46026</v>
      </c>
      <c r="C161" s="19">
        <v>46026</v>
      </c>
      <c r="D161" s="20">
        <v>260104025</v>
      </c>
      <c r="E161" s="21" t="s">
        <v>316</v>
      </c>
      <c r="F161" s="21" t="s">
        <v>317</v>
      </c>
      <c r="G161" s="21">
        <v>22</v>
      </c>
      <c r="H161" s="44">
        <v>108</v>
      </c>
      <c r="I161" s="23" t="s">
        <v>294</v>
      </c>
      <c r="J161" s="65" t="s">
        <v>23</v>
      </c>
      <c r="K161" s="35" t="s">
        <v>31</v>
      </c>
      <c r="L161" s="47" t="s">
        <v>196</v>
      </c>
      <c r="M161" s="21" t="s">
        <v>32</v>
      </c>
      <c r="N161" s="37">
        <v>37.1</v>
      </c>
      <c r="O161" s="37">
        <v>14.28</v>
      </c>
      <c r="P161" s="26">
        <f t="shared" si="21"/>
        <v>22.82</v>
      </c>
      <c r="Q161" s="27">
        <v>420</v>
      </c>
      <c r="R161" s="28">
        <f t="shared" si="22"/>
        <v>9584.4</v>
      </c>
      <c r="S161" s="27"/>
      <c r="T161" s="29"/>
      <c r="V161" s="29" t="s">
        <v>24</v>
      </c>
      <c r="W161" s="27">
        <v>145</v>
      </c>
      <c r="X161" s="30">
        <f t="shared" si="18"/>
        <v>3308.9</v>
      </c>
      <c r="Y161" s="31"/>
      <c r="Z161" s="29">
        <f t="shared" si="19"/>
        <v>0</v>
      </c>
      <c r="AA161" s="29">
        <f t="shared" si="20"/>
        <v>12893.3</v>
      </c>
    </row>
    <row r="162" spans="1:27" s="38" customFormat="1" x14ac:dyDescent="0.25">
      <c r="A162" s="18">
        <v>166</v>
      </c>
      <c r="B162" s="19">
        <v>46026</v>
      </c>
      <c r="C162" s="19">
        <v>46026</v>
      </c>
      <c r="D162" s="20">
        <v>260104026</v>
      </c>
      <c r="E162" s="21" t="s">
        <v>318</v>
      </c>
      <c r="F162" s="21" t="s">
        <v>319</v>
      </c>
      <c r="G162" s="21">
        <v>44</v>
      </c>
      <c r="H162" s="44">
        <v>115</v>
      </c>
      <c r="I162" s="23" t="s">
        <v>33</v>
      </c>
      <c r="J162" s="24" t="s">
        <v>23</v>
      </c>
      <c r="K162" s="35" t="s">
        <v>31</v>
      </c>
      <c r="L162" s="25" t="s">
        <v>38</v>
      </c>
      <c r="M162" s="21" t="s">
        <v>34</v>
      </c>
      <c r="N162" s="37">
        <v>59.8</v>
      </c>
      <c r="O162" s="37">
        <v>15.04</v>
      </c>
      <c r="P162" s="26">
        <f t="shared" si="21"/>
        <v>44.76</v>
      </c>
      <c r="Q162" s="27">
        <v>545</v>
      </c>
      <c r="R162" s="28">
        <f t="shared" si="22"/>
        <v>24394.2</v>
      </c>
      <c r="S162" s="27"/>
      <c r="T162" s="29"/>
      <c r="V162" s="29" t="s">
        <v>24</v>
      </c>
      <c r="W162" s="27">
        <v>145</v>
      </c>
      <c r="X162" s="30">
        <f t="shared" si="18"/>
        <v>6490.2</v>
      </c>
      <c r="Y162" s="31">
        <v>260</v>
      </c>
      <c r="Z162" s="29">
        <f t="shared" si="19"/>
        <v>11637.6</v>
      </c>
      <c r="AA162" s="29">
        <f t="shared" si="20"/>
        <v>42522</v>
      </c>
    </row>
    <row r="163" spans="1:27" s="32" customFormat="1" x14ac:dyDescent="0.25">
      <c r="A163" s="18">
        <v>167</v>
      </c>
      <c r="B163" s="19">
        <v>46026</v>
      </c>
      <c r="C163" s="19">
        <v>46026</v>
      </c>
      <c r="D163" s="20">
        <v>260104027</v>
      </c>
      <c r="E163" s="21" t="s">
        <v>320</v>
      </c>
      <c r="F163" s="21" t="s">
        <v>321</v>
      </c>
      <c r="G163" s="21">
        <v>48</v>
      </c>
      <c r="H163" s="44">
        <v>115</v>
      </c>
      <c r="I163" s="23" t="s">
        <v>33</v>
      </c>
      <c r="J163" s="24" t="s">
        <v>23</v>
      </c>
      <c r="K163" s="35" t="s">
        <v>31</v>
      </c>
      <c r="L163" s="43" t="s">
        <v>56</v>
      </c>
      <c r="M163" s="21" t="s">
        <v>34</v>
      </c>
      <c r="N163" s="37">
        <v>67.78</v>
      </c>
      <c r="O163" s="37">
        <v>18.88</v>
      </c>
      <c r="P163" s="26">
        <f t="shared" si="21"/>
        <v>48.900000000000006</v>
      </c>
      <c r="Q163" s="27">
        <v>545</v>
      </c>
      <c r="R163" s="28">
        <f t="shared" si="22"/>
        <v>26650.500000000004</v>
      </c>
      <c r="S163" s="27"/>
      <c r="T163" s="29"/>
      <c r="V163" s="29" t="s">
        <v>24</v>
      </c>
      <c r="W163" s="27">
        <v>145</v>
      </c>
      <c r="X163" s="30">
        <f t="shared" si="18"/>
        <v>7090.5000000000009</v>
      </c>
      <c r="Y163" s="31">
        <v>260</v>
      </c>
      <c r="Z163" s="29">
        <f t="shared" si="19"/>
        <v>12714.000000000002</v>
      </c>
      <c r="AA163" s="29">
        <f t="shared" si="20"/>
        <v>46455.000000000007</v>
      </c>
    </row>
    <row r="164" spans="1:27" s="32" customFormat="1" x14ac:dyDescent="0.25">
      <c r="A164" s="18">
        <v>168</v>
      </c>
      <c r="B164" s="19">
        <v>46026</v>
      </c>
      <c r="C164" s="19">
        <v>46026</v>
      </c>
      <c r="D164" s="20">
        <v>260104028</v>
      </c>
      <c r="E164" s="21" t="s">
        <v>322</v>
      </c>
      <c r="F164" s="21" t="s">
        <v>323</v>
      </c>
      <c r="G164" s="21">
        <v>38</v>
      </c>
      <c r="H164" s="44">
        <v>115</v>
      </c>
      <c r="I164" s="23" t="s">
        <v>33</v>
      </c>
      <c r="J164" s="24" t="s">
        <v>23</v>
      </c>
      <c r="K164" s="35" t="s">
        <v>31</v>
      </c>
      <c r="L164" s="25" t="s">
        <v>39</v>
      </c>
      <c r="M164" s="21" t="s">
        <v>35</v>
      </c>
      <c r="N164" s="37">
        <v>50.26</v>
      </c>
      <c r="O164" s="37">
        <v>11.84</v>
      </c>
      <c r="P164" s="26">
        <f t="shared" si="21"/>
        <v>38.42</v>
      </c>
      <c r="Q164" s="27">
        <v>445</v>
      </c>
      <c r="R164" s="28">
        <f t="shared" si="22"/>
        <v>17096.900000000001</v>
      </c>
      <c r="S164" s="27"/>
      <c r="T164" s="29"/>
      <c r="V164" s="29" t="s">
        <v>24</v>
      </c>
      <c r="W164" s="27">
        <v>145</v>
      </c>
      <c r="X164" s="30">
        <f t="shared" si="18"/>
        <v>5570.9000000000005</v>
      </c>
      <c r="Y164" s="31">
        <v>260</v>
      </c>
      <c r="Z164" s="29">
        <f t="shared" si="19"/>
        <v>9989.2000000000007</v>
      </c>
      <c r="AA164" s="29">
        <f t="shared" si="20"/>
        <v>32657.000000000004</v>
      </c>
    </row>
    <row r="165" spans="1:27" s="32" customFormat="1" x14ac:dyDescent="0.25">
      <c r="A165" s="18">
        <v>169</v>
      </c>
      <c r="B165" s="19">
        <v>46026</v>
      </c>
      <c r="C165" s="19">
        <v>46026</v>
      </c>
      <c r="D165" s="20">
        <v>260104029</v>
      </c>
      <c r="E165" s="21" t="s">
        <v>324</v>
      </c>
      <c r="F165" s="21" t="s">
        <v>325</v>
      </c>
      <c r="G165" s="21">
        <v>34</v>
      </c>
      <c r="H165" s="44">
        <v>115</v>
      </c>
      <c r="I165" s="23" t="s">
        <v>33</v>
      </c>
      <c r="J165" s="24" t="s">
        <v>23</v>
      </c>
      <c r="K165" s="35" t="s">
        <v>31</v>
      </c>
      <c r="L165" s="20" t="s">
        <v>40</v>
      </c>
      <c r="M165" s="21" t="s">
        <v>34</v>
      </c>
      <c r="N165" s="37">
        <v>46.08</v>
      </c>
      <c r="O165" s="37">
        <v>11.38</v>
      </c>
      <c r="P165" s="26">
        <f t="shared" si="21"/>
        <v>34.699999999999996</v>
      </c>
      <c r="Q165" s="27">
        <v>545</v>
      </c>
      <c r="R165" s="28">
        <f t="shared" si="22"/>
        <v>18911.499999999996</v>
      </c>
      <c r="S165" s="27"/>
      <c r="T165" s="29"/>
      <c r="V165" s="29" t="s">
        <v>24</v>
      </c>
      <c r="W165" s="27">
        <v>145</v>
      </c>
      <c r="X165" s="30">
        <f t="shared" ref="X165:X185" si="23">W165*P165</f>
        <v>5031.4999999999991</v>
      </c>
      <c r="Y165" s="31">
        <v>260</v>
      </c>
      <c r="Z165" s="29">
        <f t="shared" ref="Z165:Z185" si="24">Y165*P165</f>
        <v>9021.9999999999982</v>
      </c>
      <c r="AA165" s="29">
        <f t="shared" ref="AA165:AA185" si="25">R165+X165+Z165</f>
        <v>32964.999999999993</v>
      </c>
    </row>
    <row r="166" spans="1:27" s="32" customFormat="1" x14ac:dyDescent="0.25">
      <c r="A166" s="18">
        <v>170</v>
      </c>
      <c r="B166" s="19">
        <v>46026</v>
      </c>
      <c r="C166" s="19">
        <v>46026</v>
      </c>
      <c r="D166" s="20">
        <v>260104030</v>
      </c>
      <c r="E166" s="21" t="s">
        <v>326</v>
      </c>
      <c r="F166" s="21" t="s">
        <v>327</v>
      </c>
      <c r="G166" s="21">
        <v>39</v>
      </c>
      <c r="H166" s="44">
        <v>115</v>
      </c>
      <c r="I166" s="23" t="s">
        <v>33</v>
      </c>
      <c r="J166" s="24" t="s">
        <v>23</v>
      </c>
      <c r="K166" s="35" t="s">
        <v>31</v>
      </c>
      <c r="L166" s="20" t="s">
        <v>42</v>
      </c>
      <c r="M166" s="21" t="s">
        <v>35</v>
      </c>
      <c r="N166" s="37">
        <v>51.28</v>
      </c>
      <c r="O166" s="37">
        <v>11.82</v>
      </c>
      <c r="P166" s="26">
        <f t="shared" si="21"/>
        <v>39.46</v>
      </c>
      <c r="Q166" s="27">
        <v>445</v>
      </c>
      <c r="R166" s="28">
        <f t="shared" si="22"/>
        <v>17559.7</v>
      </c>
      <c r="S166" s="27"/>
      <c r="T166" s="29"/>
      <c r="V166" s="29" t="s">
        <v>24</v>
      </c>
      <c r="W166" s="27">
        <v>145</v>
      </c>
      <c r="X166" s="30">
        <f t="shared" si="23"/>
        <v>5721.7</v>
      </c>
      <c r="Y166" s="31">
        <v>260</v>
      </c>
      <c r="Z166" s="29">
        <f t="shared" si="24"/>
        <v>10259.6</v>
      </c>
      <c r="AA166" s="29">
        <f t="shared" si="25"/>
        <v>33541</v>
      </c>
    </row>
    <row r="167" spans="1:27" s="32" customFormat="1" x14ac:dyDescent="0.25">
      <c r="A167" s="18">
        <v>171</v>
      </c>
      <c r="B167" s="19">
        <v>46026</v>
      </c>
      <c r="C167" s="19">
        <v>46026</v>
      </c>
      <c r="D167" s="20">
        <v>260104031</v>
      </c>
      <c r="E167" s="21" t="s">
        <v>328</v>
      </c>
      <c r="F167" s="21" t="s">
        <v>329</v>
      </c>
      <c r="G167" s="21">
        <v>39</v>
      </c>
      <c r="H167" s="44">
        <v>115</v>
      </c>
      <c r="I167" s="23" t="s">
        <v>33</v>
      </c>
      <c r="J167" s="24" t="s">
        <v>23</v>
      </c>
      <c r="K167" s="35" t="s">
        <v>31</v>
      </c>
      <c r="L167" s="25" t="s">
        <v>51</v>
      </c>
      <c r="M167" s="21" t="s">
        <v>35</v>
      </c>
      <c r="N167" s="37">
        <v>50.72</v>
      </c>
      <c r="O167" s="37">
        <v>11.46</v>
      </c>
      <c r="P167" s="26">
        <f t="shared" si="21"/>
        <v>39.26</v>
      </c>
      <c r="Q167" s="27">
        <v>445</v>
      </c>
      <c r="R167" s="28">
        <f t="shared" si="22"/>
        <v>17470.7</v>
      </c>
      <c r="S167" s="27"/>
      <c r="T167" s="29"/>
      <c r="V167" s="29" t="s">
        <v>24</v>
      </c>
      <c r="W167" s="27">
        <v>145</v>
      </c>
      <c r="X167" s="30">
        <f t="shared" si="23"/>
        <v>5692.7</v>
      </c>
      <c r="Y167" s="31">
        <v>260</v>
      </c>
      <c r="Z167" s="29">
        <f t="shared" si="24"/>
        <v>10207.6</v>
      </c>
      <c r="AA167" s="29">
        <f t="shared" si="25"/>
        <v>33371</v>
      </c>
    </row>
    <row r="168" spans="1:27" s="38" customFormat="1" x14ac:dyDescent="0.25">
      <c r="A168" s="18">
        <v>172</v>
      </c>
      <c r="B168" s="19">
        <v>46026</v>
      </c>
      <c r="C168" s="19">
        <v>46026</v>
      </c>
      <c r="D168" s="20">
        <v>260104032</v>
      </c>
      <c r="E168" s="21" t="s">
        <v>330</v>
      </c>
      <c r="F168" s="21" t="s">
        <v>331</v>
      </c>
      <c r="G168" s="21">
        <v>42</v>
      </c>
      <c r="H168" s="44">
        <v>115</v>
      </c>
      <c r="I168" s="23" t="s">
        <v>33</v>
      </c>
      <c r="J168" s="24" t="s">
        <v>23</v>
      </c>
      <c r="K168" s="35" t="s">
        <v>31</v>
      </c>
      <c r="L168" s="25" t="s">
        <v>41</v>
      </c>
      <c r="M168" s="21" t="s">
        <v>32</v>
      </c>
      <c r="N168" s="37">
        <v>58.7</v>
      </c>
      <c r="O168" s="37">
        <v>15.86</v>
      </c>
      <c r="P168" s="26">
        <f t="shared" si="21"/>
        <v>42.84</v>
      </c>
      <c r="Q168" s="27">
        <v>315</v>
      </c>
      <c r="R168" s="28">
        <f t="shared" si="22"/>
        <v>13494.6</v>
      </c>
      <c r="S168" s="21"/>
      <c r="T168" s="29"/>
      <c r="V168" s="29" t="s">
        <v>24</v>
      </c>
      <c r="W168" s="27">
        <v>145</v>
      </c>
      <c r="X168" s="30">
        <f t="shared" si="23"/>
        <v>6211.8</v>
      </c>
      <c r="Y168" s="31">
        <v>260</v>
      </c>
      <c r="Z168" s="29">
        <f t="shared" si="24"/>
        <v>11138.400000000001</v>
      </c>
      <c r="AA168" s="29">
        <f t="shared" si="25"/>
        <v>30844.800000000003</v>
      </c>
    </row>
    <row r="169" spans="1:27" s="38" customFormat="1" x14ac:dyDescent="0.25">
      <c r="A169" s="18">
        <v>173</v>
      </c>
      <c r="B169" s="19">
        <v>46026</v>
      </c>
      <c r="C169" s="19">
        <v>46027</v>
      </c>
      <c r="D169" s="68" t="s">
        <v>332</v>
      </c>
      <c r="E169" s="21"/>
      <c r="F169" s="21"/>
      <c r="G169" s="21"/>
      <c r="H169" s="59"/>
      <c r="I169" s="60" t="s">
        <v>201</v>
      </c>
      <c r="J169" s="24" t="s">
        <v>23</v>
      </c>
      <c r="K169" s="35" t="s">
        <v>31</v>
      </c>
      <c r="L169" s="25" t="s">
        <v>202</v>
      </c>
      <c r="M169" s="21" t="s">
        <v>203</v>
      </c>
      <c r="N169" s="37">
        <v>25.96</v>
      </c>
      <c r="O169" s="37">
        <v>11.32</v>
      </c>
      <c r="P169" s="26">
        <f t="shared" si="21"/>
        <v>14.64</v>
      </c>
      <c r="Q169" s="27">
        <v>0</v>
      </c>
      <c r="R169" s="28">
        <f t="shared" si="22"/>
        <v>0</v>
      </c>
      <c r="S169" s="21"/>
      <c r="T169" s="29"/>
      <c r="V169" s="29" t="s">
        <v>24</v>
      </c>
      <c r="W169" s="27"/>
      <c r="X169" s="30">
        <f t="shared" si="23"/>
        <v>0</v>
      </c>
      <c r="Y169" s="31"/>
      <c r="Z169" s="29">
        <f t="shared" si="24"/>
        <v>0</v>
      </c>
      <c r="AA169" s="29">
        <f t="shared" si="25"/>
        <v>0</v>
      </c>
    </row>
    <row r="170" spans="1:27" s="32" customFormat="1" x14ac:dyDescent="0.25">
      <c r="A170" s="18">
        <v>174</v>
      </c>
      <c r="B170" s="19">
        <v>46026</v>
      </c>
      <c r="C170" s="19">
        <v>46027</v>
      </c>
      <c r="D170" s="68" t="s">
        <v>333</v>
      </c>
      <c r="E170" s="21"/>
      <c r="F170" s="21"/>
      <c r="G170" s="21"/>
      <c r="H170" s="59"/>
      <c r="I170" s="60" t="s">
        <v>201</v>
      </c>
      <c r="J170" s="24" t="s">
        <v>23</v>
      </c>
      <c r="K170" s="35" t="s">
        <v>31</v>
      </c>
      <c r="L170" s="25" t="s">
        <v>212</v>
      </c>
      <c r="M170" s="21" t="s">
        <v>203</v>
      </c>
      <c r="N170" s="37">
        <v>25.12</v>
      </c>
      <c r="O170" s="37">
        <v>14.86</v>
      </c>
      <c r="P170" s="26">
        <f t="shared" si="21"/>
        <v>10.260000000000002</v>
      </c>
      <c r="Q170" s="27">
        <v>0</v>
      </c>
      <c r="R170" s="28">
        <f t="shared" si="22"/>
        <v>0</v>
      </c>
      <c r="S170" s="27"/>
      <c r="T170" s="29"/>
      <c r="V170" s="29" t="s">
        <v>24</v>
      </c>
      <c r="W170" s="27"/>
      <c r="X170" s="30">
        <f t="shared" si="23"/>
        <v>0</v>
      </c>
      <c r="Y170" s="31"/>
      <c r="Z170" s="29">
        <f t="shared" si="24"/>
        <v>0</v>
      </c>
      <c r="AA170" s="29">
        <f t="shared" si="25"/>
        <v>0</v>
      </c>
    </row>
    <row r="171" spans="1:27" s="38" customFormat="1" x14ac:dyDescent="0.25">
      <c r="A171" s="18">
        <v>175</v>
      </c>
      <c r="B171" s="19">
        <v>46026</v>
      </c>
      <c r="C171" s="19">
        <v>46027</v>
      </c>
      <c r="D171" s="68" t="s">
        <v>334</v>
      </c>
      <c r="E171" s="21"/>
      <c r="F171" s="21"/>
      <c r="G171" s="21"/>
      <c r="H171" s="66"/>
      <c r="I171" s="60" t="s">
        <v>201</v>
      </c>
      <c r="J171" s="24" t="s">
        <v>23</v>
      </c>
      <c r="K171" s="35" t="s">
        <v>31</v>
      </c>
      <c r="L171" s="25" t="s">
        <v>335</v>
      </c>
      <c r="M171" s="21" t="s">
        <v>203</v>
      </c>
      <c r="N171" s="37">
        <v>24.48</v>
      </c>
      <c r="O171" s="37">
        <v>14.04</v>
      </c>
      <c r="P171" s="26">
        <f t="shared" si="21"/>
        <v>10.440000000000001</v>
      </c>
      <c r="Q171" s="27">
        <v>0</v>
      </c>
      <c r="R171" s="28">
        <f t="shared" si="22"/>
        <v>0</v>
      </c>
      <c r="S171" s="27"/>
      <c r="T171" s="29"/>
      <c r="V171" s="29" t="s">
        <v>24</v>
      </c>
      <c r="W171" s="27"/>
      <c r="X171" s="30">
        <f t="shared" si="23"/>
        <v>0</v>
      </c>
      <c r="Y171" s="31"/>
      <c r="Z171" s="31">
        <f t="shared" si="24"/>
        <v>0</v>
      </c>
      <c r="AA171" s="29">
        <f t="shared" si="25"/>
        <v>0</v>
      </c>
    </row>
    <row r="172" spans="1:27" s="32" customFormat="1" x14ac:dyDescent="0.25">
      <c r="A172" s="18">
        <v>176</v>
      </c>
      <c r="B172" s="19">
        <v>46026</v>
      </c>
      <c r="C172" s="19">
        <v>46027</v>
      </c>
      <c r="D172" s="68" t="s">
        <v>336</v>
      </c>
      <c r="E172" s="21"/>
      <c r="F172" s="21"/>
      <c r="G172" s="21"/>
      <c r="H172" s="66"/>
      <c r="I172" s="60" t="s">
        <v>201</v>
      </c>
      <c r="J172" s="24" t="s">
        <v>23</v>
      </c>
      <c r="K172" s="35" t="s">
        <v>31</v>
      </c>
      <c r="L172" s="25" t="s">
        <v>337</v>
      </c>
      <c r="M172" s="21" t="s">
        <v>203</v>
      </c>
      <c r="N172" s="37">
        <v>24.28</v>
      </c>
      <c r="O172" s="37">
        <v>14.76</v>
      </c>
      <c r="P172" s="26">
        <f t="shared" si="21"/>
        <v>9.5200000000000014</v>
      </c>
      <c r="Q172" s="27">
        <v>0</v>
      </c>
      <c r="R172" s="28">
        <f t="shared" si="22"/>
        <v>0</v>
      </c>
      <c r="S172" s="27"/>
      <c r="T172" s="29"/>
      <c r="V172" s="29" t="s">
        <v>24</v>
      </c>
      <c r="W172" s="27"/>
      <c r="X172" s="30">
        <f t="shared" si="23"/>
        <v>0</v>
      </c>
      <c r="Y172" s="31"/>
      <c r="Z172" s="31">
        <f t="shared" si="24"/>
        <v>0</v>
      </c>
      <c r="AA172" s="29">
        <f t="shared" si="25"/>
        <v>0</v>
      </c>
    </row>
    <row r="173" spans="1:27" s="38" customFormat="1" x14ac:dyDescent="0.25">
      <c r="A173" s="18">
        <v>177</v>
      </c>
      <c r="B173" s="19">
        <v>46026</v>
      </c>
      <c r="C173" s="19">
        <v>46027</v>
      </c>
      <c r="D173" s="20">
        <v>260105001</v>
      </c>
      <c r="E173" s="21" t="s">
        <v>338</v>
      </c>
      <c r="F173" s="21" t="s">
        <v>339</v>
      </c>
      <c r="G173" s="21">
        <v>49</v>
      </c>
      <c r="H173" s="44">
        <v>115</v>
      </c>
      <c r="I173" s="23" t="s">
        <v>33</v>
      </c>
      <c r="J173" s="24" t="s">
        <v>23</v>
      </c>
      <c r="K173" s="35" t="s">
        <v>31</v>
      </c>
      <c r="L173" s="43" t="s">
        <v>66</v>
      </c>
      <c r="M173" s="21" t="s">
        <v>32</v>
      </c>
      <c r="N173" s="37">
        <v>65.040000000000006</v>
      </c>
      <c r="O173" s="37">
        <v>15.48</v>
      </c>
      <c r="P173" s="26">
        <f t="shared" si="21"/>
        <v>49.56</v>
      </c>
      <c r="Q173" s="27">
        <v>315</v>
      </c>
      <c r="R173" s="28">
        <f t="shared" si="22"/>
        <v>15611.400000000001</v>
      </c>
      <c r="S173" s="21"/>
      <c r="T173" s="29"/>
      <c r="V173" s="29" t="s">
        <v>24</v>
      </c>
      <c r="W173" s="27">
        <v>145</v>
      </c>
      <c r="X173" s="30">
        <f t="shared" si="23"/>
        <v>7186.2000000000007</v>
      </c>
      <c r="Y173" s="31">
        <v>260</v>
      </c>
      <c r="Z173" s="29">
        <f t="shared" si="24"/>
        <v>12885.6</v>
      </c>
      <c r="AA173" s="29">
        <f t="shared" si="25"/>
        <v>35683.200000000004</v>
      </c>
    </row>
    <row r="174" spans="1:27" s="32" customFormat="1" x14ac:dyDescent="0.25">
      <c r="A174" s="18">
        <v>178</v>
      </c>
      <c r="B174" s="19">
        <v>46026</v>
      </c>
      <c r="C174" s="19">
        <v>46027</v>
      </c>
      <c r="D174" s="20">
        <v>260105002</v>
      </c>
      <c r="E174" s="21" t="s">
        <v>340</v>
      </c>
      <c r="F174" s="21" t="s">
        <v>341</v>
      </c>
      <c r="G174" s="21">
        <v>44</v>
      </c>
      <c r="H174" s="36">
        <v>122</v>
      </c>
      <c r="I174" s="23" t="s">
        <v>342</v>
      </c>
      <c r="J174" s="24" t="s">
        <v>23</v>
      </c>
      <c r="K174" s="23" t="s">
        <v>31</v>
      </c>
      <c r="L174" s="25" t="s">
        <v>61</v>
      </c>
      <c r="M174" s="21" t="s">
        <v>343</v>
      </c>
      <c r="N174" s="21">
        <v>60.18</v>
      </c>
      <c r="O174" s="37">
        <v>15.26</v>
      </c>
      <c r="P174" s="26">
        <f t="shared" si="21"/>
        <v>44.92</v>
      </c>
      <c r="Q174" s="27">
        <v>395</v>
      </c>
      <c r="R174" s="28">
        <f t="shared" si="22"/>
        <v>17743.400000000001</v>
      </c>
      <c r="S174" s="27"/>
      <c r="T174" s="29"/>
      <c r="V174" s="29" t="s">
        <v>24</v>
      </c>
      <c r="W174" s="27">
        <v>145</v>
      </c>
      <c r="X174" s="30">
        <f t="shared" si="23"/>
        <v>6513.4000000000005</v>
      </c>
      <c r="Y174" s="31">
        <v>250</v>
      </c>
      <c r="Z174" s="29">
        <f t="shared" si="24"/>
        <v>11230</v>
      </c>
      <c r="AA174" s="29">
        <f t="shared" si="25"/>
        <v>35486.800000000003</v>
      </c>
    </row>
    <row r="175" spans="1:27" s="32" customFormat="1" x14ac:dyDescent="0.25">
      <c r="A175" s="18">
        <v>179</v>
      </c>
      <c r="B175" s="19">
        <v>46026</v>
      </c>
      <c r="C175" s="19">
        <v>46027</v>
      </c>
      <c r="D175" s="20">
        <v>260105003</v>
      </c>
      <c r="E175" s="21" t="s">
        <v>344</v>
      </c>
      <c r="F175" s="21" t="s">
        <v>345</v>
      </c>
      <c r="G175" s="21">
        <v>45</v>
      </c>
      <c r="H175" s="48">
        <v>53</v>
      </c>
      <c r="I175" s="52" t="s">
        <v>57</v>
      </c>
      <c r="J175" s="49" t="s">
        <v>23</v>
      </c>
      <c r="K175" s="23" t="s">
        <v>31</v>
      </c>
      <c r="L175" s="25" t="s">
        <v>58</v>
      </c>
      <c r="M175" s="21" t="s">
        <v>63</v>
      </c>
      <c r="N175" s="21">
        <v>61.66</v>
      </c>
      <c r="O175" s="37">
        <v>15.68</v>
      </c>
      <c r="P175" s="26">
        <f t="shared" si="21"/>
        <v>45.98</v>
      </c>
      <c r="Q175" s="27">
        <v>425</v>
      </c>
      <c r="R175" s="28">
        <f t="shared" si="22"/>
        <v>19541.5</v>
      </c>
      <c r="S175" s="27"/>
      <c r="T175" s="29"/>
      <c r="V175" s="29" t="s">
        <v>24</v>
      </c>
      <c r="W175" s="27">
        <v>145</v>
      </c>
      <c r="X175" s="30">
        <f t="shared" si="23"/>
        <v>6667.0999999999995</v>
      </c>
      <c r="Y175" s="31">
        <v>210</v>
      </c>
      <c r="Z175" s="29">
        <f t="shared" si="24"/>
        <v>9655.7999999999993</v>
      </c>
      <c r="AA175" s="29">
        <f t="shared" si="25"/>
        <v>35864.399999999994</v>
      </c>
    </row>
    <row r="176" spans="1:27" s="32" customFormat="1" x14ac:dyDescent="0.25">
      <c r="A176" s="18">
        <v>180</v>
      </c>
      <c r="B176" s="19">
        <v>46026</v>
      </c>
      <c r="C176" s="19">
        <v>46027</v>
      </c>
      <c r="D176" s="20">
        <v>260105004</v>
      </c>
      <c r="E176" s="21" t="s">
        <v>346</v>
      </c>
      <c r="F176" s="21" t="s">
        <v>347</v>
      </c>
      <c r="G176" s="21">
        <v>48</v>
      </c>
      <c r="H176" s="36">
        <v>122</v>
      </c>
      <c r="I176" s="23" t="s">
        <v>342</v>
      </c>
      <c r="J176" s="24" t="s">
        <v>23</v>
      </c>
      <c r="K176" s="23" t="s">
        <v>31</v>
      </c>
      <c r="L176" s="25" t="s">
        <v>348</v>
      </c>
      <c r="M176" s="21" t="s">
        <v>343</v>
      </c>
      <c r="N176" s="37">
        <v>63.94</v>
      </c>
      <c r="O176" s="37">
        <v>15.72</v>
      </c>
      <c r="P176" s="26">
        <f t="shared" si="21"/>
        <v>48.22</v>
      </c>
      <c r="Q176" s="27">
        <v>395</v>
      </c>
      <c r="R176" s="28">
        <f t="shared" si="22"/>
        <v>19046.899999999998</v>
      </c>
      <c r="S176" s="27"/>
      <c r="T176" s="29"/>
      <c r="V176" s="29" t="s">
        <v>24</v>
      </c>
      <c r="W176" s="27">
        <v>145</v>
      </c>
      <c r="X176" s="30">
        <f t="shared" si="23"/>
        <v>6991.9</v>
      </c>
      <c r="Y176" s="31">
        <v>250</v>
      </c>
      <c r="Z176" s="31">
        <f t="shared" si="24"/>
        <v>12055</v>
      </c>
      <c r="AA176" s="29">
        <f t="shared" si="25"/>
        <v>38093.799999999996</v>
      </c>
    </row>
    <row r="177" spans="1:27" s="32" customFormat="1" x14ac:dyDescent="0.25">
      <c r="A177" s="18">
        <v>181</v>
      </c>
      <c r="B177" s="19">
        <v>46026</v>
      </c>
      <c r="C177" s="19">
        <v>46027</v>
      </c>
      <c r="D177" s="20">
        <v>260105005</v>
      </c>
      <c r="E177" s="21" t="s">
        <v>349</v>
      </c>
      <c r="F177" s="21" t="s">
        <v>350</v>
      </c>
      <c r="G177" s="21">
        <v>54</v>
      </c>
      <c r="H177" s="48">
        <v>42</v>
      </c>
      <c r="I177" s="23" t="s">
        <v>44</v>
      </c>
      <c r="J177" s="49" t="s">
        <v>23</v>
      </c>
      <c r="K177" s="23" t="s">
        <v>31</v>
      </c>
      <c r="L177" s="25" t="s">
        <v>50</v>
      </c>
      <c r="M177" s="21" t="s">
        <v>35</v>
      </c>
      <c r="N177" s="37">
        <v>71.680000000000007</v>
      </c>
      <c r="O177" s="37">
        <v>16.78</v>
      </c>
      <c r="P177" s="26">
        <f t="shared" si="21"/>
        <v>54.900000000000006</v>
      </c>
      <c r="Q177" s="27">
        <v>470</v>
      </c>
      <c r="R177" s="28">
        <f t="shared" si="22"/>
        <v>25803.000000000004</v>
      </c>
      <c r="S177" s="27"/>
      <c r="T177" s="29"/>
      <c r="V177" s="29" t="s">
        <v>24</v>
      </c>
      <c r="W177" s="27">
        <v>145</v>
      </c>
      <c r="X177" s="30">
        <f t="shared" si="23"/>
        <v>7960.5000000000009</v>
      </c>
      <c r="Y177" s="31">
        <v>260</v>
      </c>
      <c r="Z177" s="31">
        <f t="shared" si="24"/>
        <v>14274.000000000002</v>
      </c>
      <c r="AA177" s="29">
        <f t="shared" si="25"/>
        <v>48037.500000000007</v>
      </c>
    </row>
    <row r="178" spans="1:27" s="32" customFormat="1" x14ac:dyDescent="0.25">
      <c r="A178" s="18">
        <v>182</v>
      </c>
      <c r="B178" s="19">
        <v>46026</v>
      </c>
      <c r="C178" s="19">
        <v>46027</v>
      </c>
      <c r="D178" s="20">
        <v>260105006</v>
      </c>
      <c r="E178" s="21" t="s">
        <v>351</v>
      </c>
      <c r="F178" s="21" t="s">
        <v>352</v>
      </c>
      <c r="G178" s="21">
        <v>41</v>
      </c>
      <c r="H178" s="36">
        <v>122</v>
      </c>
      <c r="I178" s="23" t="s">
        <v>342</v>
      </c>
      <c r="J178" s="24" t="s">
        <v>23</v>
      </c>
      <c r="K178" s="23" t="s">
        <v>31</v>
      </c>
      <c r="L178" s="21" t="s">
        <v>60</v>
      </c>
      <c r="M178" s="21" t="s">
        <v>343</v>
      </c>
      <c r="N178" s="37">
        <v>55.86</v>
      </c>
      <c r="O178" s="37">
        <v>14.24</v>
      </c>
      <c r="P178" s="26">
        <f t="shared" si="21"/>
        <v>41.62</v>
      </c>
      <c r="Q178" s="27">
        <v>395</v>
      </c>
      <c r="R178" s="28">
        <f t="shared" si="22"/>
        <v>16439.899999999998</v>
      </c>
      <c r="S178" s="27"/>
      <c r="T178" s="29"/>
      <c r="V178" s="29" t="s">
        <v>24</v>
      </c>
      <c r="W178" s="27">
        <v>145</v>
      </c>
      <c r="X178" s="30">
        <f t="shared" si="23"/>
        <v>6034.9</v>
      </c>
      <c r="Y178" s="31">
        <v>250</v>
      </c>
      <c r="Z178" s="31">
        <f t="shared" si="24"/>
        <v>10405</v>
      </c>
      <c r="AA178" s="29">
        <f t="shared" si="25"/>
        <v>32879.799999999996</v>
      </c>
    </row>
    <row r="179" spans="1:27" s="38" customFormat="1" x14ac:dyDescent="0.25">
      <c r="A179" s="18">
        <v>183</v>
      </c>
      <c r="B179" s="19">
        <v>46026</v>
      </c>
      <c r="C179" s="19">
        <v>46027</v>
      </c>
      <c r="D179" s="20">
        <v>260105007</v>
      </c>
      <c r="E179" s="21" t="s">
        <v>353</v>
      </c>
      <c r="F179" s="21" t="s">
        <v>354</v>
      </c>
      <c r="G179" s="21">
        <v>50</v>
      </c>
      <c r="H179" s="48">
        <v>42</v>
      </c>
      <c r="I179" s="23" t="s">
        <v>44</v>
      </c>
      <c r="J179" s="49" t="s">
        <v>23</v>
      </c>
      <c r="K179" s="23" t="s">
        <v>31</v>
      </c>
      <c r="L179" s="21" t="s">
        <v>140</v>
      </c>
      <c r="M179" s="21" t="s">
        <v>34</v>
      </c>
      <c r="N179" s="37">
        <v>67.8</v>
      </c>
      <c r="O179" s="37">
        <v>17.579999999999998</v>
      </c>
      <c r="P179" s="26">
        <f t="shared" si="21"/>
        <v>50.22</v>
      </c>
      <c r="Q179" s="27">
        <v>525</v>
      </c>
      <c r="R179" s="28">
        <f t="shared" si="22"/>
        <v>26365.5</v>
      </c>
      <c r="S179" s="27"/>
      <c r="T179" s="29"/>
      <c r="V179" s="29" t="s">
        <v>24</v>
      </c>
      <c r="W179" s="27">
        <v>145</v>
      </c>
      <c r="X179" s="30">
        <f t="shared" si="23"/>
        <v>7281.9</v>
      </c>
      <c r="Y179" s="31">
        <v>260</v>
      </c>
      <c r="Z179" s="31">
        <f t="shared" si="24"/>
        <v>13057.199999999999</v>
      </c>
      <c r="AA179" s="29">
        <f t="shared" si="25"/>
        <v>46704.6</v>
      </c>
    </row>
    <row r="180" spans="1:27" s="32" customFormat="1" x14ac:dyDescent="0.25">
      <c r="A180" s="18">
        <v>184</v>
      </c>
      <c r="B180" s="19">
        <v>46026</v>
      </c>
      <c r="C180" s="19">
        <v>46027</v>
      </c>
      <c r="D180" s="20">
        <v>260105008</v>
      </c>
      <c r="E180" s="21" t="s">
        <v>355</v>
      </c>
      <c r="F180" s="21" t="s">
        <v>356</v>
      </c>
      <c r="G180" s="21">
        <v>52</v>
      </c>
      <c r="H180" s="48">
        <v>42</v>
      </c>
      <c r="I180" s="23" t="s">
        <v>44</v>
      </c>
      <c r="J180" s="49" t="s">
        <v>23</v>
      </c>
      <c r="K180" s="23" t="s">
        <v>31</v>
      </c>
      <c r="L180" s="21" t="s">
        <v>37</v>
      </c>
      <c r="M180" s="21" t="s">
        <v>35</v>
      </c>
      <c r="N180" s="37">
        <v>68.34</v>
      </c>
      <c r="O180" s="37">
        <v>15.74</v>
      </c>
      <c r="P180" s="26">
        <f t="shared" si="21"/>
        <v>52.6</v>
      </c>
      <c r="Q180" s="27">
        <v>470</v>
      </c>
      <c r="R180" s="28">
        <f t="shared" si="22"/>
        <v>24722</v>
      </c>
      <c r="S180" s="27"/>
      <c r="T180" s="29"/>
      <c r="V180" s="29" t="s">
        <v>24</v>
      </c>
      <c r="W180" s="27">
        <v>145</v>
      </c>
      <c r="X180" s="30">
        <f t="shared" si="23"/>
        <v>7627</v>
      </c>
      <c r="Y180" s="31">
        <v>260</v>
      </c>
      <c r="Z180" s="31">
        <f t="shared" si="24"/>
        <v>13676</v>
      </c>
      <c r="AA180" s="29">
        <f t="shared" si="25"/>
        <v>46025</v>
      </c>
    </row>
    <row r="181" spans="1:27" s="32" customFormat="1" x14ac:dyDescent="0.25">
      <c r="A181" s="18">
        <v>185</v>
      </c>
      <c r="B181" s="19">
        <v>46026</v>
      </c>
      <c r="C181" s="19">
        <v>46027</v>
      </c>
      <c r="D181" s="20">
        <v>260105009</v>
      </c>
      <c r="E181" s="21" t="s">
        <v>357</v>
      </c>
      <c r="F181" s="21" t="s">
        <v>358</v>
      </c>
      <c r="G181" s="21">
        <v>37</v>
      </c>
      <c r="H181" s="48">
        <v>42</v>
      </c>
      <c r="I181" s="23" t="s">
        <v>44</v>
      </c>
      <c r="J181" s="49" t="s">
        <v>23</v>
      </c>
      <c r="K181" s="23" t="s">
        <v>31</v>
      </c>
      <c r="L181" s="25" t="s">
        <v>124</v>
      </c>
      <c r="M181" s="21" t="s">
        <v>32</v>
      </c>
      <c r="N181" s="37">
        <v>50.44</v>
      </c>
      <c r="O181" s="37">
        <v>12.72</v>
      </c>
      <c r="P181" s="26">
        <f t="shared" si="21"/>
        <v>37.72</v>
      </c>
      <c r="Q181" s="27">
        <v>285</v>
      </c>
      <c r="R181" s="28">
        <f t="shared" si="22"/>
        <v>10750.199999999999</v>
      </c>
      <c r="S181" s="27"/>
      <c r="T181" s="29"/>
      <c r="V181" s="29" t="s">
        <v>24</v>
      </c>
      <c r="W181" s="27">
        <v>145</v>
      </c>
      <c r="X181" s="30">
        <f t="shared" si="23"/>
        <v>5469.4</v>
      </c>
      <c r="Y181" s="31">
        <v>260</v>
      </c>
      <c r="Z181" s="31">
        <f t="shared" si="24"/>
        <v>9807.1999999999989</v>
      </c>
      <c r="AA181" s="29">
        <f t="shared" si="25"/>
        <v>26026.799999999996</v>
      </c>
    </row>
    <row r="182" spans="1:27" s="32" customFormat="1" x14ac:dyDescent="0.25">
      <c r="A182" s="18">
        <v>186</v>
      </c>
      <c r="B182" s="19">
        <v>46026</v>
      </c>
      <c r="C182" s="19">
        <v>46027</v>
      </c>
      <c r="D182" s="20">
        <v>260105010</v>
      </c>
      <c r="E182" s="21" t="s">
        <v>359</v>
      </c>
      <c r="F182" s="21" t="s">
        <v>360</v>
      </c>
      <c r="G182" s="21">
        <v>46</v>
      </c>
      <c r="H182" s="48">
        <v>42</v>
      </c>
      <c r="I182" s="23" t="s">
        <v>44</v>
      </c>
      <c r="J182" s="49" t="s">
        <v>23</v>
      </c>
      <c r="K182" s="23" t="s">
        <v>31</v>
      </c>
      <c r="L182" s="21" t="s">
        <v>244</v>
      </c>
      <c r="M182" s="21" t="s">
        <v>34</v>
      </c>
      <c r="N182" s="37">
        <v>61.9</v>
      </c>
      <c r="O182" s="37">
        <v>15</v>
      </c>
      <c r="P182" s="26">
        <f t="shared" si="21"/>
        <v>46.9</v>
      </c>
      <c r="Q182" s="27">
        <v>525</v>
      </c>
      <c r="R182" s="28">
        <f t="shared" si="22"/>
        <v>24622.5</v>
      </c>
      <c r="S182" s="27"/>
      <c r="T182" s="29"/>
      <c r="V182" s="29" t="s">
        <v>24</v>
      </c>
      <c r="W182" s="27">
        <v>145</v>
      </c>
      <c r="X182" s="30">
        <f t="shared" si="23"/>
        <v>6800.5</v>
      </c>
      <c r="Y182" s="31">
        <v>260</v>
      </c>
      <c r="Z182" s="31">
        <f t="shared" si="24"/>
        <v>12194</v>
      </c>
      <c r="AA182" s="29">
        <f t="shared" si="25"/>
        <v>43617</v>
      </c>
    </row>
    <row r="183" spans="1:27" s="32" customFormat="1" x14ac:dyDescent="0.25">
      <c r="A183" s="18">
        <v>187</v>
      </c>
      <c r="B183" s="19">
        <v>46026</v>
      </c>
      <c r="C183" s="19">
        <v>46027</v>
      </c>
      <c r="D183" s="20">
        <v>260105011</v>
      </c>
      <c r="E183" s="21" t="s">
        <v>361</v>
      </c>
      <c r="F183" s="21" t="s">
        <v>362</v>
      </c>
      <c r="G183" s="21">
        <v>46</v>
      </c>
      <c r="H183" s="48">
        <v>53</v>
      </c>
      <c r="I183" s="52" t="s">
        <v>57</v>
      </c>
      <c r="J183" s="49" t="s">
        <v>23</v>
      </c>
      <c r="K183" s="23" t="s">
        <v>31</v>
      </c>
      <c r="L183" s="21" t="s">
        <v>38</v>
      </c>
      <c r="M183" s="21" t="s">
        <v>63</v>
      </c>
      <c r="N183" s="37">
        <v>61.22</v>
      </c>
      <c r="O183" s="21">
        <v>14.98</v>
      </c>
      <c r="P183" s="26">
        <f t="shared" si="21"/>
        <v>46.239999999999995</v>
      </c>
      <c r="Q183" s="27">
        <v>425</v>
      </c>
      <c r="R183" s="28">
        <f t="shared" si="22"/>
        <v>19651.999999999996</v>
      </c>
      <c r="S183" s="27"/>
      <c r="T183" s="29"/>
      <c r="V183" s="29" t="s">
        <v>24</v>
      </c>
      <c r="W183" s="27">
        <v>145</v>
      </c>
      <c r="X183" s="30">
        <f t="shared" si="23"/>
        <v>6704.7999999999993</v>
      </c>
      <c r="Y183" s="31">
        <v>210</v>
      </c>
      <c r="Z183" s="31">
        <f t="shared" si="24"/>
        <v>9710.4</v>
      </c>
      <c r="AA183" s="29">
        <f t="shared" si="25"/>
        <v>36067.199999999997</v>
      </c>
    </row>
    <row r="184" spans="1:27" s="38" customFormat="1" x14ac:dyDescent="0.25">
      <c r="A184" s="18">
        <v>188</v>
      </c>
      <c r="B184" s="19">
        <v>46026</v>
      </c>
      <c r="C184" s="19">
        <v>46027</v>
      </c>
      <c r="D184" s="20">
        <v>260105012</v>
      </c>
      <c r="E184" s="21" t="s">
        <v>363</v>
      </c>
      <c r="F184" s="21" t="s">
        <v>364</v>
      </c>
      <c r="G184" s="21">
        <v>34</v>
      </c>
      <c r="H184" s="48">
        <v>53</v>
      </c>
      <c r="I184" s="52" t="s">
        <v>57</v>
      </c>
      <c r="J184" s="49" t="s">
        <v>23</v>
      </c>
      <c r="K184" s="23" t="s">
        <v>31</v>
      </c>
      <c r="L184" s="21" t="s">
        <v>39</v>
      </c>
      <c r="M184" s="21" t="s">
        <v>63</v>
      </c>
      <c r="N184" s="37">
        <v>46.78</v>
      </c>
      <c r="O184" s="37">
        <v>11.8</v>
      </c>
      <c r="P184" s="26">
        <f t="shared" si="21"/>
        <v>34.980000000000004</v>
      </c>
      <c r="Q184" s="27">
        <v>425</v>
      </c>
      <c r="R184" s="28">
        <f t="shared" si="22"/>
        <v>14866.500000000002</v>
      </c>
      <c r="S184" s="27"/>
      <c r="T184" s="29"/>
      <c r="V184" s="29" t="s">
        <v>24</v>
      </c>
      <c r="W184" s="27">
        <v>145</v>
      </c>
      <c r="X184" s="30">
        <f t="shared" si="23"/>
        <v>5072.1000000000004</v>
      </c>
      <c r="Y184" s="31">
        <v>210</v>
      </c>
      <c r="Z184" s="31">
        <f t="shared" si="24"/>
        <v>7345.8000000000011</v>
      </c>
      <c r="AA184" s="29">
        <f t="shared" si="25"/>
        <v>27284.400000000001</v>
      </c>
    </row>
    <row r="185" spans="1:27" s="38" customFormat="1" x14ac:dyDescent="0.25">
      <c r="A185" s="18">
        <v>189</v>
      </c>
      <c r="B185" s="19">
        <v>46026</v>
      </c>
      <c r="C185" s="19">
        <v>45662</v>
      </c>
      <c r="D185" s="20">
        <v>260105013</v>
      </c>
      <c r="E185" s="21" t="s">
        <v>365</v>
      </c>
      <c r="F185" s="21" t="s">
        <v>366</v>
      </c>
      <c r="G185" s="21">
        <v>44</v>
      </c>
      <c r="H185" s="48">
        <v>53</v>
      </c>
      <c r="I185" s="52" t="s">
        <v>57</v>
      </c>
      <c r="J185" s="49" t="s">
        <v>23</v>
      </c>
      <c r="K185" s="23" t="s">
        <v>31</v>
      </c>
      <c r="L185" s="53" t="s">
        <v>36</v>
      </c>
      <c r="M185" s="21" t="s">
        <v>63</v>
      </c>
      <c r="N185" s="37">
        <v>60.1</v>
      </c>
      <c r="O185" s="37">
        <v>15.88</v>
      </c>
      <c r="P185" s="26">
        <f t="shared" si="21"/>
        <v>44.22</v>
      </c>
      <c r="Q185" s="27">
        <v>425</v>
      </c>
      <c r="R185" s="28">
        <f t="shared" si="22"/>
        <v>18793.5</v>
      </c>
      <c r="S185" s="21"/>
      <c r="T185" s="29"/>
      <c r="V185" s="29" t="s">
        <v>24</v>
      </c>
      <c r="W185" s="27">
        <v>145</v>
      </c>
      <c r="X185" s="30">
        <f t="shared" si="23"/>
        <v>6411.9</v>
      </c>
      <c r="Y185" s="31">
        <v>210</v>
      </c>
      <c r="Z185" s="29">
        <f t="shared" si="24"/>
        <v>9286.1999999999989</v>
      </c>
      <c r="AA185" s="29">
        <f t="shared" si="25"/>
        <v>34491.599999999999</v>
      </c>
    </row>
    <row r="186" spans="1:27" s="32" customFormat="1" x14ac:dyDescent="0.25">
      <c r="A186" s="18">
        <v>190</v>
      </c>
      <c r="B186" s="19">
        <v>46027</v>
      </c>
      <c r="C186" s="19">
        <v>46027</v>
      </c>
      <c r="D186" s="20">
        <v>260105014</v>
      </c>
      <c r="E186" s="21" t="s">
        <v>367</v>
      </c>
      <c r="F186" s="21" t="s">
        <v>368</v>
      </c>
      <c r="G186" s="21">
        <v>46</v>
      </c>
      <c r="H186" s="48">
        <v>53</v>
      </c>
      <c r="I186" s="52" t="s">
        <v>57</v>
      </c>
      <c r="J186" s="49" t="s">
        <v>23</v>
      </c>
      <c r="K186" s="23" t="s">
        <v>31</v>
      </c>
      <c r="L186" s="25" t="s">
        <v>56</v>
      </c>
      <c r="M186" s="21" t="s">
        <v>63</v>
      </c>
      <c r="N186" s="21">
        <v>65.56</v>
      </c>
      <c r="O186" s="21">
        <v>19</v>
      </c>
      <c r="P186" s="26">
        <f t="shared" si="21"/>
        <v>46.56</v>
      </c>
      <c r="Q186" s="27">
        <v>425</v>
      </c>
      <c r="R186" s="28">
        <f t="shared" ref="R186:R227" si="26">P186*Q186</f>
        <v>19788</v>
      </c>
      <c r="S186" s="27"/>
      <c r="T186" s="29"/>
      <c r="V186" s="29" t="s">
        <v>24</v>
      </c>
      <c r="W186" s="27">
        <v>145</v>
      </c>
      <c r="X186" s="30">
        <f t="shared" ref="X186:X227" si="27">W186*P186</f>
        <v>6751.2000000000007</v>
      </c>
      <c r="Y186" s="31">
        <v>210</v>
      </c>
      <c r="Z186" s="31">
        <f t="shared" ref="Z186:Z227" si="28">Y186*P186</f>
        <v>9777.6</v>
      </c>
      <c r="AA186" s="29">
        <f t="shared" ref="AA186:AA227" si="29">R186+X186+Z186</f>
        <v>36316.800000000003</v>
      </c>
    </row>
    <row r="187" spans="1:27" s="32" customFormat="1" x14ac:dyDescent="0.25">
      <c r="A187" s="18">
        <v>191</v>
      </c>
      <c r="B187" s="19">
        <v>46027</v>
      </c>
      <c r="C187" s="19">
        <v>46027</v>
      </c>
      <c r="D187" s="20">
        <v>260105016</v>
      </c>
      <c r="E187" s="21" t="s">
        <v>369</v>
      </c>
      <c r="F187" s="21" t="s">
        <v>370</v>
      </c>
      <c r="G187" s="21">
        <v>22</v>
      </c>
      <c r="H187" s="44">
        <v>108</v>
      </c>
      <c r="I187" s="23" t="s">
        <v>294</v>
      </c>
      <c r="J187" s="65" t="s">
        <v>23</v>
      </c>
      <c r="K187" s="35" t="s">
        <v>31</v>
      </c>
      <c r="L187" s="25" t="s">
        <v>196</v>
      </c>
      <c r="M187" s="21" t="s">
        <v>32</v>
      </c>
      <c r="N187" s="21">
        <v>36.24</v>
      </c>
      <c r="O187" s="21">
        <v>14.16</v>
      </c>
      <c r="P187" s="26">
        <f t="shared" si="21"/>
        <v>22.080000000000002</v>
      </c>
      <c r="Q187" s="27">
        <v>420</v>
      </c>
      <c r="R187" s="28">
        <f t="shared" si="26"/>
        <v>9273.6</v>
      </c>
      <c r="S187" s="27"/>
      <c r="T187" s="29"/>
      <c r="V187" s="29" t="s">
        <v>24</v>
      </c>
      <c r="W187" s="27">
        <v>145</v>
      </c>
      <c r="X187" s="30">
        <f t="shared" si="27"/>
        <v>3201.6000000000004</v>
      </c>
      <c r="Y187" s="31"/>
      <c r="Z187" s="31">
        <f t="shared" si="28"/>
        <v>0</v>
      </c>
      <c r="AA187" s="29">
        <f t="shared" si="29"/>
        <v>12475.2</v>
      </c>
    </row>
    <row r="188" spans="1:27" s="32" customFormat="1" x14ac:dyDescent="0.25">
      <c r="A188" s="18">
        <v>192</v>
      </c>
      <c r="B188" s="19">
        <v>46027</v>
      </c>
      <c r="C188" s="19">
        <v>46027</v>
      </c>
      <c r="D188" s="20">
        <v>260105017</v>
      </c>
      <c r="E188" s="21" t="s">
        <v>371</v>
      </c>
      <c r="F188" s="21" t="s">
        <v>372</v>
      </c>
      <c r="G188" s="21">
        <v>45</v>
      </c>
      <c r="H188" s="48">
        <v>53</v>
      </c>
      <c r="I188" s="52" t="s">
        <v>57</v>
      </c>
      <c r="J188" s="49" t="s">
        <v>23</v>
      </c>
      <c r="K188" s="23" t="s">
        <v>31</v>
      </c>
      <c r="L188" s="25" t="s">
        <v>373</v>
      </c>
      <c r="M188" s="21" t="s">
        <v>63</v>
      </c>
      <c r="N188" s="21">
        <v>61.04</v>
      </c>
      <c r="O188" s="21">
        <v>15.4</v>
      </c>
      <c r="P188" s="26">
        <f t="shared" si="21"/>
        <v>45.64</v>
      </c>
      <c r="Q188" s="27">
        <v>425</v>
      </c>
      <c r="R188" s="28">
        <f t="shared" si="26"/>
        <v>19397</v>
      </c>
      <c r="S188" s="27"/>
      <c r="T188" s="29"/>
      <c r="V188" s="29" t="s">
        <v>24</v>
      </c>
      <c r="W188" s="27">
        <v>145</v>
      </c>
      <c r="X188" s="30">
        <f t="shared" si="27"/>
        <v>6617.8</v>
      </c>
      <c r="Y188" s="31">
        <v>210</v>
      </c>
      <c r="Z188" s="31">
        <f t="shared" si="28"/>
        <v>9584.4</v>
      </c>
      <c r="AA188" s="29">
        <f t="shared" si="29"/>
        <v>35599.199999999997</v>
      </c>
    </row>
    <row r="189" spans="1:27" s="38" customFormat="1" x14ac:dyDescent="0.25">
      <c r="A189" s="18">
        <v>193</v>
      </c>
      <c r="B189" s="19">
        <v>46027</v>
      </c>
      <c r="C189" s="19">
        <v>46027</v>
      </c>
      <c r="D189" s="20">
        <v>260105015</v>
      </c>
      <c r="E189" s="21" t="s">
        <v>374</v>
      </c>
      <c r="F189" s="21" t="s">
        <v>375</v>
      </c>
      <c r="G189" s="21">
        <v>33</v>
      </c>
      <c r="H189" s="48">
        <v>53</v>
      </c>
      <c r="I189" s="52" t="s">
        <v>57</v>
      </c>
      <c r="J189" s="49" t="s">
        <v>23</v>
      </c>
      <c r="K189" s="23" t="s">
        <v>31</v>
      </c>
      <c r="L189" s="25" t="s">
        <v>51</v>
      </c>
      <c r="M189" s="21" t="s">
        <v>63</v>
      </c>
      <c r="N189" s="21">
        <v>44.48</v>
      </c>
      <c r="O189" s="37">
        <v>11.4</v>
      </c>
      <c r="P189" s="26">
        <f t="shared" si="21"/>
        <v>33.08</v>
      </c>
      <c r="Q189" s="27">
        <v>425</v>
      </c>
      <c r="R189" s="28">
        <f t="shared" si="26"/>
        <v>14059</v>
      </c>
      <c r="S189" s="27"/>
      <c r="T189" s="29"/>
      <c r="V189" s="29" t="s">
        <v>24</v>
      </c>
      <c r="W189" s="27">
        <v>145</v>
      </c>
      <c r="X189" s="30">
        <f t="shared" si="27"/>
        <v>4796.5999999999995</v>
      </c>
      <c r="Y189" s="31">
        <v>210</v>
      </c>
      <c r="Z189" s="31">
        <f t="shared" si="28"/>
        <v>6946.7999999999993</v>
      </c>
      <c r="AA189" s="29">
        <f t="shared" si="29"/>
        <v>25802.399999999998</v>
      </c>
    </row>
    <row r="190" spans="1:27" s="32" customFormat="1" x14ac:dyDescent="0.25">
      <c r="A190" s="18">
        <v>194</v>
      </c>
      <c r="B190" s="19">
        <v>46027</v>
      </c>
      <c r="C190" s="19">
        <v>46027</v>
      </c>
      <c r="D190" s="20" t="s">
        <v>376</v>
      </c>
      <c r="E190" s="21"/>
      <c r="F190" s="21"/>
      <c r="G190" s="21"/>
      <c r="H190" s="22">
        <v>46</v>
      </c>
      <c r="I190" s="23" t="s">
        <v>377</v>
      </c>
      <c r="J190" s="24" t="s">
        <v>23</v>
      </c>
      <c r="K190" s="23" t="s">
        <v>31</v>
      </c>
      <c r="L190" s="25" t="s">
        <v>37</v>
      </c>
      <c r="M190" s="21" t="s">
        <v>34</v>
      </c>
      <c r="N190" s="37">
        <v>59.7</v>
      </c>
      <c r="O190" s="21">
        <v>15.72</v>
      </c>
      <c r="P190" s="26">
        <f t="shared" si="21"/>
        <v>43.980000000000004</v>
      </c>
      <c r="Q190" s="27">
        <v>500</v>
      </c>
      <c r="R190" s="28">
        <f t="shared" si="26"/>
        <v>21990.000000000004</v>
      </c>
      <c r="S190" s="27"/>
      <c r="T190" s="29"/>
      <c r="V190" s="29" t="s">
        <v>24</v>
      </c>
      <c r="W190" s="27"/>
      <c r="X190" s="30">
        <f t="shared" si="27"/>
        <v>0</v>
      </c>
      <c r="Y190" s="31"/>
      <c r="Z190" s="31">
        <f t="shared" si="28"/>
        <v>0</v>
      </c>
      <c r="AA190" s="29">
        <f t="shared" si="29"/>
        <v>21990.000000000004</v>
      </c>
    </row>
    <row r="191" spans="1:27" s="32" customFormat="1" x14ac:dyDescent="0.25">
      <c r="A191" s="18">
        <v>195</v>
      </c>
      <c r="B191" s="19">
        <v>46027</v>
      </c>
      <c r="C191" s="19">
        <v>46027</v>
      </c>
      <c r="D191" s="20">
        <v>260105019</v>
      </c>
      <c r="E191" s="21" t="s">
        <v>378</v>
      </c>
      <c r="F191" s="21" t="s">
        <v>379</v>
      </c>
      <c r="G191" s="21">
        <v>48</v>
      </c>
      <c r="H191" s="44">
        <v>115</v>
      </c>
      <c r="I191" s="23" t="s">
        <v>33</v>
      </c>
      <c r="J191" s="24" t="s">
        <v>23</v>
      </c>
      <c r="K191" s="35" t="s">
        <v>31</v>
      </c>
      <c r="L191" s="25" t="s">
        <v>55</v>
      </c>
      <c r="M191" s="21" t="s">
        <v>32</v>
      </c>
      <c r="N191" s="37">
        <v>66.5</v>
      </c>
      <c r="O191" s="37">
        <v>18</v>
      </c>
      <c r="P191" s="26">
        <f t="shared" si="21"/>
        <v>48.5</v>
      </c>
      <c r="Q191" s="27">
        <v>315</v>
      </c>
      <c r="R191" s="28">
        <f t="shared" si="26"/>
        <v>15277.5</v>
      </c>
      <c r="S191" s="27"/>
      <c r="T191" s="29"/>
      <c r="V191" s="29" t="s">
        <v>24</v>
      </c>
      <c r="W191" s="27">
        <v>145</v>
      </c>
      <c r="X191" s="30">
        <f t="shared" si="27"/>
        <v>7032.5</v>
      </c>
      <c r="Y191" s="31">
        <v>210</v>
      </c>
      <c r="Z191" s="31">
        <f t="shared" si="28"/>
        <v>10185</v>
      </c>
      <c r="AA191" s="29">
        <f t="shared" si="29"/>
        <v>32495</v>
      </c>
    </row>
    <row r="192" spans="1:27" s="32" customFormat="1" x14ac:dyDescent="0.25">
      <c r="A192" s="18">
        <v>196</v>
      </c>
      <c r="B192" s="19">
        <v>46027</v>
      </c>
      <c r="C192" s="19">
        <v>46027</v>
      </c>
      <c r="D192" s="20">
        <v>260105022</v>
      </c>
      <c r="E192" s="21" t="s">
        <v>380</v>
      </c>
      <c r="F192" s="21" t="s">
        <v>381</v>
      </c>
      <c r="G192" s="21">
        <v>43</v>
      </c>
      <c r="H192" s="44">
        <v>115</v>
      </c>
      <c r="I192" s="23" t="s">
        <v>33</v>
      </c>
      <c r="J192" s="24" t="s">
        <v>23</v>
      </c>
      <c r="K192" s="35" t="s">
        <v>31</v>
      </c>
      <c r="L192" s="25" t="s">
        <v>36</v>
      </c>
      <c r="M192" s="21" t="s">
        <v>32</v>
      </c>
      <c r="N192" s="37">
        <v>59.42</v>
      </c>
      <c r="O192" s="37">
        <v>15.82</v>
      </c>
      <c r="P192" s="26">
        <f t="shared" si="21"/>
        <v>43.6</v>
      </c>
      <c r="Q192" s="27">
        <v>315</v>
      </c>
      <c r="R192" s="28">
        <f t="shared" si="26"/>
        <v>13734</v>
      </c>
      <c r="S192" s="27"/>
      <c r="T192" s="29"/>
      <c r="V192" s="29" t="s">
        <v>24</v>
      </c>
      <c r="W192" s="27">
        <v>145</v>
      </c>
      <c r="X192" s="30">
        <f t="shared" si="27"/>
        <v>6322</v>
      </c>
      <c r="Y192" s="31">
        <v>210</v>
      </c>
      <c r="Z192" s="31">
        <f t="shared" si="28"/>
        <v>9156</v>
      </c>
      <c r="AA192" s="29">
        <f t="shared" si="29"/>
        <v>29212</v>
      </c>
    </row>
    <row r="193" spans="1:38" s="32" customFormat="1" x14ac:dyDescent="0.25">
      <c r="A193" s="18">
        <v>197</v>
      </c>
      <c r="B193" s="19">
        <v>46027</v>
      </c>
      <c r="C193" s="19">
        <v>46027</v>
      </c>
      <c r="D193" s="20">
        <v>260105020</v>
      </c>
      <c r="E193" s="21" t="s">
        <v>382</v>
      </c>
      <c r="F193" s="21" t="s">
        <v>383</v>
      </c>
      <c r="G193" s="21">
        <v>41</v>
      </c>
      <c r="H193" s="44">
        <v>115</v>
      </c>
      <c r="I193" s="23" t="s">
        <v>33</v>
      </c>
      <c r="J193" s="24" t="s">
        <v>23</v>
      </c>
      <c r="K193" s="35" t="s">
        <v>31</v>
      </c>
      <c r="L193" s="25" t="s">
        <v>67</v>
      </c>
      <c r="M193" s="21" t="s">
        <v>34</v>
      </c>
      <c r="N193" s="37">
        <v>54.32</v>
      </c>
      <c r="O193" s="37">
        <v>13.18</v>
      </c>
      <c r="P193" s="26">
        <f t="shared" si="21"/>
        <v>41.14</v>
      </c>
      <c r="Q193" s="27">
        <v>545</v>
      </c>
      <c r="R193" s="28">
        <f t="shared" si="26"/>
        <v>22421.3</v>
      </c>
      <c r="S193" s="27"/>
      <c r="T193" s="29"/>
      <c r="V193" s="29" t="s">
        <v>24</v>
      </c>
      <c r="W193" s="27">
        <v>145</v>
      </c>
      <c r="X193" s="30">
        <f t="shared" si="27"/>
        <v>5965.3</v>
      </c>
      <c r="Y193" s="31">
        <v>210</v>
      </c>
      <c r="Z193" s="31">
        <f t="shared" si="28"/>
        <v>8639.4</v>
      </c>
      <c r="AA193" s="29">
        <f t="shared" si="29"/>
        <v>37026</v>
      </c>
      <c r="AB193" s="40"/>
      <c r="AC193" s="39"/>
      <c r="AD193" s="41"/>
      <c r="AE193" s="42"/>
      <c r="AF193" s="39"/>
      <c r="AG193" s="42"/>
      <c r="AH193" s="39"/>
      <c r="AI193" s="41"/>
      <c r="AJ193" s="39"/>
      <c r="AK193" s="41"/>
      <c r="AL193" s="41"/>
    </row>
    <row r="194" spans="1:38" s="32" customFormat="1" x14ac:dyDescent="0.25">
      <c r="A194" s="18">
        <v>198</v>
      </c>
      <c r="B194" s="19">
        <v>46027</v>
      </c>
      <c r="C194" s="19">
        <v>46027</v>
      </c>
      <c r="D194" s="20">
        <v>260105021</v>
      </c>
      <c r="E194" s="21" t="s">
        <v>384</v>
      </c>
      <c r="F194" s="21" t="s">
        <v>385</v>
      </c>
      <c r="G194" s="21">
        <v>46</v>
      </c>
      <c r="H194" s="44">
        <v>115</v>
      </c>
      <c r="I194" s="23" t="s">
        <v>33</v>
      </c>
      <c r="J194" s="24" t="s">
        <v>23</v>
      </c>
      <c r="K194" s="35" t="s">
        <v>31</v>
      </c>
      <c r="L194" s="25" t="s">
        <v>50</v>
      </c>
      <c r="M194" s="21" t="s">
        <v>34</v>
      </c>
      <c r="N194" s="37">
        <v>63.82</v>
      </c>
      <c r="O194" s="37">
        <v>16.84</v>
      </c>
      <c r="P194" s="26">
        <f t="shared" si="21"/>
        <v>46.980000000000004</v>
      </c>
      <c r="Q194" s="27">
        <v>545</v>
      </c>
      <c r="R194" s="28">
        <f t="shared" si="26"/>
        <v>25604.100000000002</v>
      </c>
      <c r="S194" s="27"/>
      <c r="T194" s="29"/>
      <c r="V194" s="29" t="s">
        <v>24</v>
      </c>
      <c r="W194" s="27">
        <v>145</v>
      </c>
      <c r="X194" s="30">
        <f t="shared" si="27"/>
        <v>6812.1</v>
      </c>
      <c r="Y194" s="31">
        <v>210</v>
      </c>
      <c r="Z194" s="31">
        <f t="shared" si="28"/>
        <v>9865.8000000000011</v>
      </c>
      <c r="AA194" s="29">
        <f t="shared" si="29"/>
        <v>42282.000000000007</v>
      </c>
    </row>
    <row r="195" spans="1:38" s="32" customFormat="1" x14ac:dyDescent="0.25">
      <c r="A195" s="18">
        <v>199</v>
      </c>
      <c r="B195" s="19">
        <v>46027</v>
      </c>
      <c r="C195" s="19">
        <v>46027</v>
      </c>
      <c r="D195" s="20">
        <v>260105018</v>
      </c>
      <c r="E195" s="21" t="s">
        <v>386</v>
      </c>
      <c r="F195" s="21" t="s">
        <v>387</v>
      </c>
      <c r="G195" s="21">
        <v>47</v>
      </c>
      <c r="H195" s="44">
        <v>115</v>
      </c>
      <c r="I195" s="23" t="s">
        <v>33</v>
      </c>
      <c r="J195" s="24" t="s">
        <v>23</v>
      </c>
      <c r="K195" s="35" t="s">
        <v>31</v>
      </c>
      <c r="L195" s="25" t="s">
        <v>38</v>
      </c>
      <c r="M195" s="21" t="s">
        <v>35</v>
      </c>
      <c r="N195" s="37">
        <v>62.14</v>
      </c>
      <c r="O195" s="37">
        <v>14.66</v>
      </c>
      <c r="P195" s="26">
        <f t="shared" si="21"/>
        <v>47.480000000000004</v>
      </c>
      <c r="Q195" s="27">
        <v>445</v>
      </c>
      <c r="R195" s="28">
        <f t="shared" si="26"/>
        <v>21128.600000000002</v>
      </c>
      <c r="S195" s="27"/>
      <c r="T195" s="29"/>
      <c r="V195" s="29" t="s">
        <v>24</v>
      </c>
      <c r="W195" s="27">
        <v>145</v>
      </c>
      <c r="X195" s="30">
        <f t="shared" si="27"/>
        <v>6884.6</v>
      </c>
      <c r="Y195" s="31">
        <v>210</v>
      </c>
      <c r="Z195" s="31">
        <f t="shared" si="28"/>
        <v>9970.8000000000011</v>
      </c>
      <c r="AA195" s="29">
        <f t="shared" si="29"/>
        <v>37984.000000000007</v>
      </c>
    </row>
    <row r="196" spans="1:38" s="32" customFormat="1" x14ac:dyDescent="0.25">
      <c r="A196" s="18">
        <v>200</v>
      </c>
      <c r="B196" s="19">
        <v>46027</v>
      </c>
      <c r="C196" s="19">
        <v>46027</v>
      </c>
      <c r="D196" s="20">
        <v>260105023</v>
      </c>
      <c r="E196" s="21" t="s">
        <v>388</v>
      </c>
      <c r="F196" s="21" t="s">
        <v>389</v>
      </c>
      <c r="G196" s="21">
        <v>47</v>
      </c>
      <c r="H196" s="44">
        <v>115</v>
      </c>
      <c r="I196" s="23" t="s">
        <v>33</v>
      </c>
      <c r="J196" s="24" t="s">
        <v>23</v>
      </c>
      <c r="K196" s="35" t="s">
        <v>31</v>
      </c>
      <c r="L196" s="25" t="s">
        <v>41</v>
      </c>
      <c r="M196" s="21" t="s">
        <v>35</v>
      </c>
      <c r="N196" s="37">
        <v>62.9</v>
      </c>
      <c r="O196" s="37">
        <v>15.8</v>
      </c>
      <c r="P196" s="26">
        <f t="shared" si="21"/>
        <v>47.099999999999994</v>
      </c>
      <c r="Q196" s="27">
        <v>445</v>
      </c>
      <c r="R196" s="28">
        <f t="shared" si="26"/>
        <v>20959.499999999996</v>
      </c>
      <c r="S196" s="27"/>
      <c r="T196" s="29"/>
      <c r="V196" s="29" t="s">
        <v>24</v>
      </c>
      <c r="W196" s="27">
        <v>145</v>
      </c>
      <c r="X196" s="30">
        <f t="shared" si="27"/>
        <v>6829.4999999999991</v>
      </c>
      <c r="Y196" s="31">
        <v>210</v>
      </c>
      <c r="Z196" s="31">
        <f t="shared" si="28"/>
        <v>9890.9999999999982</v>
      </c>
      <c r="AA196" s="29">
        <f t="shared" si="29"/>
        <v>37679.999999999993</v>
      </c>
    </row>
    <row r="197" spans="1:38" s="32" customFormat="1" x14ac:dyDescent="0.25">
      <c r="A197" s="18">
        <v>201</v>
      </c>
      <c r="B197" s="19">
        <v>46027</v>
      </c>
      <c r="C197" s="19">
        <v>46027</v>
      </c>
      <c r="D197" s="20" t="s">
        <v>390</v>
      </c>
      <c r="E197" s="21"/>
      <c r="F197" s="21"/>
      <c r="G197" s="21"/>
      <c r="H197" s="33"/>
      <c r="I197" s="60" t="s">
        <v>391</v>
      </c>
      <c r="J197" s="24" t="s">
        <v>23</v>
      </c>
      <c r="K197" s="35" t="s">
        <v>31</v>
      </c>
      <c r="L197" s="25" t="s">
        <v>335</v>
      </c>
      <c r="M197" s="21" t="s">
        <v>392</v>
      </c>
      <c r="N197" s="37">
        <v>39.700000000000003</v>
      </c>
      <c r="O197" s="37">
        <v>14</v>
      </c>
      <c r="P197" s="26">
        <f t="shared" si="21"/>
        <v>25.700000000000003</v>
      </c>
      <c r="Q197" s="27">
        <v>0</v>
      </c>
      <c r="R197" s="28">
        <f t="shared" si="26"/>
        <v>0</v>
      </c>
      <c r="S197" s="27"/>
      <c r="T197" s="29"/>
      <c r="V197" s="29" t="s">
        <v>24</v>
      </c>
      <c r="W197" s="27"/>
      <c r="X197" s="30">
        <f t="shared" si="27"/>
        <v>0</v>
      </c>
      <c r="Y197" s="31"/>
      <c r="Z197" s="31">
        <f t="shared" si="28"/>
        <v>0</v>
      </c>
      <c r="AA197" s="29">
        <f t="shared" si="29"/>
        <v>0</v>
      </c>
    </row>
    <row r="198" spans="1:38" s="38" customFormat="1" x14ac:dyDescent="0.25">
      <c r="A198" s="18">
        <v>202</v>
      </c>
      <c r="B198" s="19">
        <v>46027</v>
      </c>
      <c r="C198" s="19">
        <v>46027</v>
      </c>
      <c r="D198" s="20" t="s">
        <v>393</v>
      </c>
      <c r="E198" s="21"/>
      <c r="F198" s="21"/>
      <c r="G198" s="21"/>
      <c r="H198" s="59"/>
      <c r="I198" s="60" t="s">
        <v>394</v>
      </c>
      <c r="J198" s="24" t="s">
        <v>23</v>
      </c>
      <c r="K198" s="35" t="s">
        <v>30</v>
      </c>
      <c r="L198" s="25" t="s">
        <v>395</v>
      </c>
      <c r="M198" s="21" t="s">
        <v>396</v>
      </c>
      <c r="N198" s="37">
        <v>8.58</v>
      </c>
      <c r="O198" s="37">
        <v>3.48</v>
      </c>
      <c r="P198" s="26">
        <f t="shared" si="21"/>
        <v>5.0999999999999996</v>
      </c>
      <c r="Q198" s="27">
        <v>150</v>
      </c>
      <c r="R198" s="28">
        <f t="shared" si="26"/>
        <v>765</v>
      </c>
      <c r="S198" s="27">
        <v>765</v>
      </c>
      <c r="T198" s="29"/>
      <c r="V198" s="29" t="s">
        <v>253</v>
      </c>
      <c r="W198" s="27"/>
      <c r="X198" s="30">
        <f t="shared" si="27"/>
        <v>0</v>
      </c>
      <c r="Y198" s="31"/>
      <c r="Z198" s="31">
        <f t="shared" si="28"/>
        <v>0</v>
      </c>
      <c r="AA198" s="29">
        <f t="shared" si="29"/>
        <v>765</v>
      </c>
    </row>
    <row r="199" spans="1:38" s="38" customFormat="1" x14ac:dyDescent="0.25">
      <c r="A199" s="18">
        <v>203</v>
      </c>
      <c r="B199" s="19">
        <v>46027</v>
      </c>
      <c r="C199" s="19">
        <v>46027</v>
      </c>
      <c r="D199" s="69">
        <v>260105024</v>
      </c>
      <c r="E199" s="21" t="s">
        <v>397</v>
      </c>
      <c r="F199" s="21" t="s">
        <v>398</v>
      </c>
      <c r="G199" s="21">
        <v>42</v>
      </c>
      <c r="H199" s="44">
        <v>115</v>
      </c>
      <c r="I199" s="23" t="s">
        <v>33</v>
      </c>
      <c r="J199" s="24" t="s">
        <v>23</v>
      </c>
      <c r="K199" s="35" t="s">
        <v>31</v>
      </c>
      <c r="L199" s="25" t="s">
        <v>153</v>
      </c>
      <c r="M199" s="21" t="s">
        <v>35</v>
      </c>
      <c r="N199" s="37">
        <v>54.8</v>
      </c>
      <c r="O199" s="37">
        <v>12.08</v>
      </c>
      <c r="P199" s="26">
        <f t="shared" si="21"/>
        <v>42.72</v>
      </c>
      <c r="Q199" s="27">
        <v>445</v>
      </c>
      <c r="R199" s="28">
        <f t="shared" si="26"/>
        <v>19010.399999999998</v>
      </c>
      <c r="S199" s="27"/>
      <c r="T199" s="29"/>
      <c r="V199" s="29" t="s">
        <v>24</v>
      </c>
      <c r="W199" s="27">
        <v>145</v>
      </c>
      <c r="X199" s="30">
        <f t="shared" si="27"/>
        <v>6194.4</v>
      </c>
      <c r="Y199" s="31">
        <v>260</v>
      </c>
      <c r="Z199" s="31">
        <f t="shared" si="28"/>
        <v>11107.199999999999</v>
      </c>
      <c r="AA199" s="29">
        <f t="shared" si="29"/>
        <v>36311.999999999993</v>
      </c>
    </row>
    <row r="200" spans="1:38" s="32" customFormat="1" x14ac:dyDescent="0.25">
      <c r="A200" s="18">
        <v>204</v>
      </c>
      <c r="B200" s="19">
        <v>46027</v>
      </c>
      <c r="C200" s="19">
        <v>46027</v>
      </c>
      <c r="D200" s="20">
        <v>260105025</v>
      </c>
      <c r="E200" s="21" t="s">
        <v>399</v>
      </c>
      <c r="F200" s="21" t="s">
        <v>400</v>
      </c>
      <c r="G200" s="21">
        <v>48</v>
      </c>
      <c r="H200" s="44">
        <v>115</v>
      </c>
      <c r="I200" s="23" t="s">
        <v>33</v>
      </c>
      <c r="J200" s="24" t="s">
        <v>23</v>
      </c>
      <c r="K200" s="35" t="s">
        <v>31</v>
      </c>
      <c r="L200" s="25" t="s">
        <v>401</v>
      </c>
      <c r="M200" s="21" t="s">
        <v>34</v>
      </c>
      <c r="N200" s="37">
        <v>65.86</v>
      </c>
      <c r="O200" s="37">
        <v>17.7</v>
      </c>
      <c r="P200" s="26">
        <f t="shared" si="21"/>
        <v>48.16</v>
      </c>
      <c r="Q200" s="27">
        <v>545</v>
      </c>
      <c r="R200" s="28">
        <f t="shared" si="26"/>
        <v>26247.199999999997</v>
      </c>
      <c r="S200" s="27"/>
      <c r="T200" s="29"/>
      <c r="V200" s="29" t="s">
        <v>24</v>
      </c>
      <c r="W200" s="27">
        <v>145</v>
      </c>
      <c r="X200" s="30">
        <f t="shared" si="27"/>
        <v>6983.2</v>
      </c>
      <c r="Y200" s="31">
        <v>260</v>
      </c>
      <c r="Z200" s="31">
        <f t="shared" si="28"/>
        <v>12521.599999999999</v>
      </c>
      <c r="AA200" s="29">
        <f t="shared" si="29"/>
        <v>45751.999999999993</v>
      </c>
    </row>
    <row r="201" spans="1:38" s="32" customFormat="1" x14ac:dyDescent="0.25">
      <c r="A201" s="18">
        <v>205</v>
      </c>
      <c r="B201" s="19">
        <v>46027</v>
      </c>
      <c r="C201" s="19">
        <v>46027</v>
      </c>
      <c r="D201" s="20">
        <v>260105026</v>
      </c>
      <c r="E201" s="21" t="s">
        <v>402</v>
      </c>
      <c r="F201" s="21" t="s">
        <v>403</v>
      </c>
      <c r="G201" s="21">
        <v>50</v>
      </c>
      <c r="H201" s="44">
        <v>115</v>
      </c>
      <c r="I201" s="23" t="s">
        <v>33</v>
      </c>
      <c r="J201" s="24" t="s">
        <v>23</v>
      </c>
      <c r="K201" s="35" t="s">
        <v>31</v>
      </c>
      <c r="L201" s="25" t="s">
        <v>56</v>
      </c>
      <c r="M201" s="21" t="s">
        <v>35</v>
      </c>
      <c r="N201" s="37">
        <v>69.22</v>
      </c>
      <c r="O201" s="37">
        <v>19.04</v>
      </c>
      <c r="P201" s="26">
        <f t="shared" si="21"/>
        <v>50.18</v>
      </c>
      <c r="Q201" s="27">
        <v>445</v>
      </c>
      <c r="R201" s="28">
        <f t="shared" si="26"/>
        <v>22330.1</v>
      </c>
      <c r="S201" s="27"/>
      <c r="T201" s="29"/>
      <c r="V201" s="29" t="s">
        <v>24</v>
      </c>
      <c r="W201" s="27">
        <v>145</v>
      </c>
      <c r="X201" s="30">
        <f t="shared" si="27"/>
        <v>7276.1</v>
      </c>
      <c r="Y201" s="31">
        <v>260</v>
      </c>
      <c r="Z201" s="31">
        <f t="shared" si="28"/>
        <v>13046.8</v>
      </c>
      <c r="AA201" s="29">
        <f t="shared" si="29"/>
        <v>42653</v>
      </c>
    </row>
    <row r="202" spans="1:38" s="32" customFormat="1" x14ac:dyDescent="0.25">
      <c r="A202" s="18">
        <v>206</v>
      </c>
      <c r="B202" s="19">
        <v>46027</v>
      </c>
      <c r="C202" s="19">
        <v>46027</v>
      </c>
      <c r="D202" s="20">
        <v>260105027</v>
      </c>
      <c r="E202" s="21" t="s">
        <v>404</v>
      </c>
      <c r="F202" s="21" t="s">
        <v>405</v>
      </c>
      <c r="G202" s="21">
        <v>50</v>
      </c>
      <c r="H202" s="44">
        <v>115</v>
      </c>
      <c r="I202" s="23" t="s">
        <v>33</v>
      </c>
      <c r="J202" s="24" t="s">
        <v>23</v>
      </c>
      <c r="K202" s="35" t="s">
        <v>31</v>
      </c>
      <c r="L202" s="25" t="s">
        <v>140</v>
      </c>
      <c r="M202" s="21" t="s">
        <v>32</v>
      </c>
      <c r="N202" s="37">
        <v>67.900000000000006</v>
      </c>
      <c r="O202" s="37">
        <v>17.62</v>
      </c>
      <c r="P202" s="26">
        <f t="shared" si="21"/>
        <v>50.28</v>
      </c>
      <c r="Q202" s="27">
        <v>315</v>
      </c>
      <c r="R202" s="28">
        <f t="shared" si="26"/>
        <v>15838.2</v>
      </c>
      <c r="S202" s="27"/>
      <c r="T202" s="29"/>
      <c r="V202" s="29" t="s">
        <v>24</v>
      </c>
      <c r="W202" s="27">
        <v>145</v>
      </c>
      <c r="X202" s="30">
        <f t="shared" si="27"/>
        <v>7290.6</v>
      </c>
      <c r="Y202" s="31">
        <v>260</v>
      </c>
      <c r="Z202" s="31">
        <f t="shared" si="28"/>
        <v>13072.800000000001</v>
      </c>
      <c r="AA202" s="29">
        <f t="shared" si="29"/>
        <v>36201.600000000006</v>
      </c>
    </row>
    <row r="203" spans="1:38" s="38" customFormat="1" x14ac:dyDescent="0.25">
      <c r="A203" s="18">
        <v>207</v>
      </c>
      <c r="B203" s="19">
        <v>46027</v>
      </c>
      <c r="C203" s="19">
        <v>46027</v>
      </c>
      <c r="D203" s="20">
        <v>260105028</v>
      </c>
      <c r="E203" s="21" t="s">
        <v>406</v>
      </c>
      <c r="F203" s="21" t="s">
        <v>407</v>
      </c>
      <c r="G203" s="21">
        <v>60</v>
      </c>
      <c r="H203" s="44">
        <v>115</v>
      </c>
      <c r="I203" s="23" t="s">
        <v>33</v>
      </c>
      <c r="J203" s="24" t="s">
        <v>23</v>
      </c>
      <c r="K203" s="35" t="s">
        <v>31</v>
      </c>
      <c r="L203" s="47" t="s">
        <v>206</v>
      </c>
      <c r="M203" s="21" t="s">
        <v>34</v>
      </c>
      <c r="N203" s="37">
        <v>78.14</v>
      </c>
      <c r="O203" s="37">
        <v>17.260000000000002</v>
      </c>
      <c r="P203" s="26">
        <f t="shared" si="21"/>
        <v>60.879999999999995</v>
      </c>
      <c r="Q203" s="27">
        <v>545</v>
      </c>
      <c r="R203" s="28">
        <f t="shared" si="26"/>
        <v>33179.599999999999</v>
      </c>
      <c r="S203" s="27"/>
      <c r="T203" s="29"/>
      <c r="V203" s="29" t="s">
        <v>24</v>
      </c>
      <c r="W203" s="27">
        <v>145</v>
      </c>
      <c r="X203" s="30">
        <f t="shared" si="27"/>
        <v>8827.5999999999985</v>
      </c>
      <c r="Y203" s="31">
        <v>260</v>
      </c>
      <c r="Z203" s="31">
        <f t="shared" si="28"/>
        <v>15828.8</v>
      </c>
      <c r="AA203" s="29">
        <f t="shared" si="29"/>
        <v>57836</v>
      </c>
    </row>
    <row r="204" spans="1:38" s="38" customFormat="1" x14ac:dyDescent="0.25">
      <c r="A204" s="18">
        <v>208</v>
      </c>
      <c r="B204" s="19">
        <v>46027</v>
      </c>
      <c r="C204" s="19">
        <v>46027</v>
      </c>
      <c r="D204" s="20" t="s">
        <v>408</v>
      </c>
      <c r="E204" s="21"/>
      <c r="F204" s="21"/>
      <c r="G204" s="21"/>
      <c r="H204" s="59"/>
      <c r="I204" s="23" t="s">
        <v>201</v>
      </c>
      <c r="J204" s="24" t="s">
        <v>23</v>
      </c>
      <c r="K204" s="35" t="s">
        <v>31</v>
      </c>
      <c r="L204" s="70" t="s">
        <v>409</v>
      </c>
      <c r="M204" s="21" t="s">
        <v>203</v>
      </c>
      <c r="N204" s="37">
        <v>23.88</v>
      </c>
      <c r="O204" s="37">
        <v>14.04</v>
      </c>
      <c r="P204" s="26">
        <f t="shared" si="21"/>
        <v>9.84</v>
      </c>
      <c r="Q204" s="27">
        <v>0</v>
      </c>
      <c r="R204" s="28">
        <f t="shared" si="26"/>
        <v>0</v>
      </c>
      <c r="S204" s="27"/>
      <c r="T204" s="29"/>
      <c r="V204" s="29" t="s">
        <v>24</v>
      </c>
      <c r="W204" s="27"/>
      <c r="X204" s="30">
        <f t="shared" si="27"/>
        <v>0</v>
      </c>
      <c r="Y204" s="31"/>
      <c r="Z204" s="31">
        <f t="shared" si="28"/>
        <v>0</v>
      </c>
      <c r="AA204" s="29">
        <f t="shared" si="29"/>
        <v>0</v>
      </c>
    </row>
    <row r="205" spans="1:38" s="32" customFormat="1" x14ac:dyDescent="0.25">
      <c r="A205" s="18">
        <v>209</v>
      </c>
      <c r="B205" s="19">
        <v>46027</v>
      </c>
      <c r="C205" s="19">
        <v>46027</v>
      </c>
      <c r="D205" s="20" t="s">
        <v>410</v>
      </c>
      <c r="E205" s="21"/>
      <c r="F205" s="21"/>
      <c r="G205" s="21"/>
      <c r="H205" s="59"/>
      <c r="I205" s="23" t="s">
        <v>201</v>
      </c>
      <c r="J205" s="24" t="s">
        <v>23</v>
      </c>
      <c r="K205" s="35" t="s">
        <v>31</v>
      </c>
      <c r="L205" s="47" t="s">
        <v>308</v>
      </c>
      <c r="M205" s="21" t="s">
        <v>203</v>
      </c>
      <c r="N205" s="37">
        <v>25.86</v>
      </c>
      <c r="O205" s="37">
        <v>14.06</v>
      </c>
      <c r="P205" s="26">
        <f t="shared" si="21"/>
        <v>11.799999999999999</v>
      </c>
      <c r="Q205" s="27">
        <v>0</v>
      </c>
      <c r="R205" s="28">
        <f t="shared" si="26"/>
        <v>0</v>
      </c>
      <c r="S205" s="27"/>
      <c r="T205" s="29"/>
      <c r="V205" s="29" t="s">
        <v>24</v>
      </c>
      <c r="W205" s="27"/>
      <c r="X205" s="30">
        <f t="shared" si="27"/>
        <v>0</v>
      </c>
      <c r="Y205" s="31"/>
      <c r="Z205" s="31">
        <f t="shared" si="28"/>
        <v>0</v>
      </c>
      <c r="AA205" s="29">
        <f t="shared" si="29"/>
        <v>0</v>
      </c>
    </row>
    <row r="206" spans="1:38" s="32" customFormat="1" x14ac:dyDescent="0.25">
      <c r="A206" s="18">
        <v>210</v>
      </c>
      <c r="B206" s="19">
        <v>46027</v>
      </c>
      <c r="C206" s="19">
        <v>46027</v>
      </c>
      <c r="D206" s="20">
        <v>260105029</v>
      </c>
      <c r="E206" s="21" t="s">
        <v>411</v>
      </c>
      <c r="F206" s="21" t="s">
        <v>412</v>
      </c>
      <c r="G206" s="21">
        <v>22</v>
      </c>
      <c r="H206" s="48">
        <v>18</v>
      </c>
      <c r="I206" s="23" t="s">
        <v>195</v>
      </c>
      <c r="J206" s="49" t="s">
        <v>23</v>
      </c>
      <c r="K206" s="23" t="s">
        <v>31</v>
      </c>
      <c r="L206" s="25" t="s">
        <v>196</v>
      </c>
      <c r="M206" s="21" t="s">
        <v>34</v>
      </c>
      <c r="N206" s="37">
        <v>36.6</v>
      </c>
      <c r="O206" s="37">
        <v>14.18</v>
      </c>
      <c r="P206" s="26">
        <f t="shared" si="21"/>
        <v>22.42</v>
      </c>
      <c r="Q206" s="27">
        <v>620</v>
      </c>
      <c r="R206" s="28">
        <f t="shared" si="26"/>
        <v>13900.400000000001</v>
      </c>
      <c r="S206" s="27"/>
      <c r="T206" s="29"/>
      <c r="V206" s="29" t="s">
        <v>24</v>
      </c>
      <c r="W206" s="27">
        <v>145</v>
      </c>
      <c r="X206" s="30">
        <f t="shared" si="27"/>
        <v>3250.9</v>
      </c>
      <c r="Y206" s="31"/>
      <c r="Z206" s="31">
        <f t="shared" si="28"/>
        <v>0</v>
      </c>
      <c r="AA206" s="29">
        <f t="shared" si="29"/>
        <v>17151.300000000003</v>
      </c>
    </row>
    <row r="207" spans="1:38" s="32" customFormat="1" x14ac:dyDescent="0.25">
      <c r="A207" s="18">
        <v>211</v>
      </c>
      <c r="B207" s="19">
        <v>46027</v>
      </c>
      <c r="C207" s="19">
        <v>46027</v>
      </c>
      <c r="D207" s="20" t="s">
        <v>413</v>
      </c>
      <c r="E207" s="21"/>
      <c r="F207" s="21"/>
      <c r="G207" s="21"/>
      <c r="H207" s="59"/>
      <c r="I207" s="23" t="s">
        <v>201</v>
      </c>
      <c r="J207" s="49" t="s">
        <v>23</v>
      </c>
      <c r="K207" s="23" t="s">
        <v>31</v>
      </c>
      <c r="L207" s="70" t="s">
        <v>414</v>
      </c>
      <c r="M207" s="21" t="s">
        <v>203</v>
      </c>
      <c r="N207" s="37">
        <v>26.54</v>
      </c>
      <c r="O207" s="37">
        <v>14.06</v>
      </c>
      <c r="P207" s="26">
        <f t="shared" si="21"/>
        <v>12.479999999999999</v>
      </c>
      <c r="Q207" s="27">
        <v>0</v>
      </c>
      <c r="R207" s="28">
        <f t="shared" si="26"/>
        <v>0</v>
      </c>
      <c r="S207" s="27"/>
      <c r="T207" s="29"/>
      <c r="V207" s="29" t="s">
        <v>24</v>
      </c>
      <c r="W207" s="27"/>
      <c r="X207" s="30">
        <f t="shared" si="27"/>
        <v>0</v>
      </c>
      <c r="Y207" s="31"/>
      <c r="Z207" s="31">
        <f t="shared" si="28"/>
        <v>0</v>
      </c>
      <c r="AA207" s="29">
        <f t="shared" si="29"/>
        <v>0</v>
      </c>
    </row>
    <row r="208" spans="1:38" s="32" customFormat="1" x14ac:dyDescent="0.25">
      <c r="A208" s="18">
        <v>212</v>
      </c>
      <c r="B208" s="19">
        <v>46027</v>
      </c>
      <c r="C208" s="19">
        <v>46027</v>
      </c>
      <c r="D208" s="20">
        <v>260105030</v>
      </c>
      <c r="E208" s="21" t="s">
        <v>415</v>
      </c>
      <c r="F208" s="21" t="s">
        <v>416</v>
      </c>
      <c r="G208" s="21">
        <v>44</v>
      </c>
      <c r="H208" s="44">
        <v>115</v>
      </c>
      <c r="I208" s="23" t="s">
        <v>33</v>
      </c>
      <c r="J208" s="24" t="s">
        <v>23</v>
      </c>
      <c r="K208" s="35" t="s">
        <v>31</v>
      </c>
      <c r="L208" s="70" t="s">
        <v>37</v>
      </c>
      <c r="M208" s="21" t="s">
        <v>32</v>
      </c>
      <c r="N208" s="37">
        <v>59.96</v>
      </c>
      <c r="O208" s="37">
        <v>15.86</v>
      </c>
      <c r="P208" s="26">
        <f t="shared" si="21"/>
        <v>44.1</v>
      </c>
      <c r="Q208" s="27">
        <v>315</v>
      </c>
      <c r="R208" s="28">
        <f t="shared" si="26"/>
        <v>13891.5</v>
      </c>
      <c r="S208" s="27"/>
      <c r="T208" s="29"/>
      <c r="V208" s="29" t="s">
        <v>24</v>
      </c>
      <c r="W208" s="27">
        <v>145</v>
      </c>
      <c r="X208" s="30">
        <f t="shared" si="27"/>
        <v>6394.5</v>
      </c>
      <c r="Y208" s="31">
        <v>260</v>
      </c>
      <c r="Z208" s="31">
        <f t="shared" si="28"/>
        <v>11466</v>
      </c>
      <c r="AA208" s="29">
        <f t="shared" si="29"/>
        <v>31752</v>
      </c>
    </row>
    <row r="209" spans="1:27" s="32" customFormat="1" x14ac:dyDescent="0.25">
      <c r="A209" s="18">
        <v>213</v>
      </c>
      <c r="B209" s="19">
        <v>46027</v>
      </c>
      <c r="C209" s="19">
        <v>46028</v>
      </c>
      <c r="D209" s="20" t="s">
        <v>417</v>
      </c>
      <c r="E209" s="21"/>
      <c r="F209" s="21"/>
      <c r="G209" s="21"/>
      <c r="H209" s="59"/>
      <c r="I209" s="23" t="s">
        <v>201</v>
      </c>
      <c r="J209" s="49" t="s">
        <v>23</v>
      </c>
      <c r="K209" s="23" t="s">
        <v>31</v>
      </c>
      <c r="L209" s="70" t="s">
        <v>335</v>
      </c>
      <c r="M209" s="21" t="s">
        <v>203</v>
      </c>
      <c r="N209" s="37">
        <v>26.38</v>
      </c>
      <c r="O209" s="37">
        <v>13.96</v>
      </c>
      <c r="P209" s="26">
        <f t="shared" si="21"/>
        <v>12.419999999999998</v>
      </c>
      <c r="Q209" s="27">
        <v>0</v>
      </c>
      <c r="R209" s="28">
        <f t="shared" si="26"/>
        <v>0</v>
      </c>
      <c r="S209" s="27"/>
      <c r="T209" s="29"/>
      <c r="V209" s="29" t="s">
        <v>24</v>
      </c>
      <c r="W209" s="27"/>
      <c r="X209" s="30">
        <f t="shared" si="27"/>
        <v>0</v>
      </c>
      <c r="Y209" s="31"/>
      <c r="Z209" s="31">
        <f t="shared" si="28"/>
        <v>0</v>
      </c>
      <c r="AA209" s="29">
        <f t="shared" si="29"/>
        <v>0</v>
      </c>
    </row>
    <row r="210" spans="1:27" s="38" customFormat="1" x14ac:dyDescent="0.25">
      <c r="A210" s="18">
        <v>214</v>
      </c>
      <c r="B210" s="19">
        <v>46027</v>
      </c>
      <c r="C210" s="19">
        <v>46028</v>
      </c>
      <c r="D210" s="20" t="s">
        <v>418</v>
      </c>
      <c r="E210" s="21"/>
      <c r="F210" s="21"/>
      <c r="G210" s="21"/>
      <c r="H210" s="59"/>
      <c r="I210" s="23" t="s">
        <v>419</v>
      </c>
      <c r="J210" s="49" t="s">
        <v>23</v>
      </c>
      <c r="K210" s="23" t="s">
        <v>30</v>
      </c>
      <c r="L210" s="25" t="s">
        <v>420</v>
      </c>
      <c r="M210" s="21" t="s">
        <v>343</v>
      </c>
      <c r="N210" s="37">
        <v>38.04</v>
      </c>
      <c r="O210" s="37">
        <v>12.38</v>
      </c>
      <c r="P210" s="26">
        <f t="shared" si="21"/>
        <v>25.659999999999997</v>
      </c>
      <c r="Q210" s="27">
        <v>450</v>
      </c>
      <c r="R210" s="28">
        <f t="shared" si="26"/>
        <v>11546.999999999998</v>
      </c>
      <c r="S210" s="21">
        <v>11550</v>
      </c>
      <c r="T210" s="29"/>
      <c r="V210" s="29" t="s">
        <v>24</v>
      </c>
      <c r="W210" s="27"/>
      <c r="X210" s="30">
        <f t="shared" si="27"/>
        <v>0</v>
      </c>
      <c r="Y210" s="31"/>
      <c r="Z210" s="31">
        <f t="shared" si="28"/>
        <v>0</v>
      </c>
      <c r="AA210" s="29">
        <f t="shared" si="29"/>
        <v>11546.999999999998</v>
      </c>
    </row>
    <row r="211" spans="1:27" s="38" customFormat="1" x14ac:dyDescent="0.25">
      <c r="A211" s="18">
        <v>215</v>
      </c>
      <c r="B211" s="19">
        <v>46027</v>
      </c>
      <c r="C211" s="19">
        <v>46028</v>
      </c>
      <c r="D211" s="70">
        <v>260106001</v>
      </c>
      <c r="E211" s="21" t="s">
        <v>421</v>
      </c>
      <c r="F211" s="21" t="s">
        <v>422</v>
      </c>
      <c r="G211" s="21">
        <v>41</v>
      </c>
      <c r="H211" s="48">
        <v>53</v>
      </c>
      <c r="I211" s="52" t="s">
        <v>57</v>
      </c>
      <c r="J211" s="49" t="s">
        <v>23</v>
      </c>
      <c r="K211" s="23" t="s">
        <v>31</v>
      </c>
      <c r="L211" s="25" t="s">
        <v>153</v>
      </c>
      <c r="M211" s="21" t="s">
        <v>49</v>
      </c>
      <c r="N211" s="37">
        <v>54</v>
      </c>
      <c r="O211" s="37">
        <v>12.04</v>
      </c>
      <c r="P211" s="26">
        <f t="shared" si="21"/>
        <v>41.96</v>
      </c>
      <c r="Q211" s="27">
        <v>255</v>
      </c>
      <c r="R211" s="28">
        <f t="shared" si="26"/>
        <v>10699.800000000001</v>
      </c>
      <c r="S211" s="21"/>
      <c r="T211" s="29"/>
      <c r="V211" s="29" t="s">
        <v>24</v>
      </c>
      <c r="W211" s="27">
        <v>145</v>
      </c>
      <c r="X211" s="30">
        <f t="shared" si="27"/>
        <v>6084.2</v>
      </c>
      <c r="Y211" s="31">
        <v>210</v>
      </c>
      <c r="Z211" s="31">
        <f t="shared" si="28"/>
        <v>8811.6</v>
      </c>
      <c r="AA211" s="29">
        <f t="shared" si="29"/>
        <v>25595.599999999999</v>
      </c>
    </row>
    <row r="212" spans="1:27" s="32" customFormat="1" x14ac:dyDescent="0.25">
      <c r="A212" s="18">
        <v>216</v>
      </c>
      <c r="B212" s="19">
        <v>46027</v>
      </c>
      <c r="C212" s="19">
        <v>46028</v>
      </c>
      <c r="D212" s="70">
        <v>260106002</v>
      </c>
      <c r="E212" s="21" t="s">
        <v>423</v>
      </c>
      <c r="F212" s="21" t="s">
        <v>424</v>
      </c>
      <c r="G212" s="21">
        <v>48</v>
      </c>
      <c r="H212" s="48">
        <v>53</v>
      </c>
      <c r="I212" s="52" t="s">
        <v>57</v>
      </c>
      <c r="J212" s="49" t="s">
        <v>23</v>
      </c>
      <c r="K212" s="23" t="s">
        <v>31</v>
      </c>
      <c r="L212" s="25" t="s">
        <v>55</v>
      </c>
      <c r="M212" s="21" t="s">
        <v>63</v>
      </c>
      <c r="N212" s="37">
        <v>66.38</v>
      </c>
      <c r="O212" s="37">
        <v>18.16</v>
      </c>
      <c r="P212" s="26">
        <f t="shared" si="21"/>
        <v>48.22</v>
      </c>
      <c r="Q212" s="27">
        <v>425</v>
      </c>
      <c r="R212" s="28">
        <f t="shared" si="26"/>
        <v>20493.5</v>
      </c>
      <c r="S212" s="27"/>
      <c r="T212" s="29"/>
      <c r="V212" s="29" t="s">
        <v>24</v>
      </c>
      <c r="W212" s="27">
        <v>145</v>
      </c>
      <c r="X212" s="30">
        <f t="shared" si="27"/>
        <v>6991.9</v>
      </c>
      <c r="Y212" s="31">
        <v>210</v>
      </c>
      <c r="Z212" s="31">
        <f t="shared" si="28"/>
        <v>10126.199999999999</v>
      </c>
      <c r="AA212" s="29">
        <f t="shared" si="29"/>
        <v>37611.599999999999</v>
      </c>
    </row>
    <row r="213" spans="1:27" s="38" customFormat="1" x14ac:dyDescent="0.25">
      <c r="A213" s="18">
        <v>217</v>
      </c>
      <c r="B213" s="19">
        <v>46027</v>
      </c>
      <c r="C213" s="19">
        <v>46028</v>
      </c>
      <c r="D213" s="70">
        <v>260106003</v>
      </c>
      <c r="E213" s="21" t="s">
        <v>425</v>
      </c>
      <c r="F213" s="21" t="s">
        <v>426</v>
      </c>
      <c r="G213" s="21">
        <v>37</v>
      </c>
      <c r="H213" s="48">
        <v>53</v>
      </c>
      <c r="I213" s="52" t="s">
        <v>57</v>
      </c>
      <c r="J213" s="49" t="s">
        <v>23</v>
      </c>
      <c r="K213" s="23" t="s">
        <v>31</v>
      </c>
      <c r="L213" s="25" t="s">
        <v>39</v>
      </c>
      <c r="M213" s="21" t="s">
        <v>49</v>
      </c>
      <c r="N213" s="37">
        <v>49.7</v>
      </c>
      <c r="O213" s="37">
        <v>11.84</v>
      </c>
      <c r="P213" s="26">
        <f t="shared" si="21"/>
        <v>37.86</v>
      </c>
      <c r="Q213" s="27">
        <v>255</v>
      </c>
      <c r="R213" s="28">
        <f t="shared" si="26"/>
        <v>9654.2999999999993</v>
      </c>
      <c r="S213" s="27"/>
      <c r="T213" s="29"/>
      <c r="V213" s="29" t="s">
        <v>24</v>
      </c>
      <c r="W213" s="27">
        <v>145</v>
      </c>
      <c r="X213" s="30">
        <f t="shared" si="27"/>
        <v>5489.7</v>
      </c>
      <c r="Y213" s="31">
        <v>210</v>
      </c>
      <c r="Z213" s="31">
        <f t="shared" si="28"/>
        <v>7950.5999999999995</v>
      </c>
      <c r="AA213" s="29">
        <f t="shared" si="29"/>
        <v>23094.6</v>
      </c>
    </row>
    <row r="214" spans="1:27" s="32" customFormat="1" x14ac:dyDescent="0.25">
      <c r="A214" s="18">
        <v>218</v>
      </c>
      <c r="B214" s="19">
        <v>46027</v>
      </c>
      <c r="C214" s="19">
        <v>46028</v>
      </c>
      <c r="D214" s="70">
        <v>260106004</v>
      </c>
      <c r="E214" s="21" t="s">
        <v>427</v>
      </c>
      <c r="F214" s="21" t="s">
        <v>428</v>
      </c>
      <c r="G214" s="21">
        <v>45</v>
      </c>
      <c r="H214" s="48">
        <v>53</v>
      </c>
      <c r="I214" s="52" t="s">
        <v>57</v>
      </c>
      <c r="J214" s="49" t="s">
        <v>23</v>
      </c>
      <c r="K214" s="23" t="s">
        <v>31</v>
      </c>
      <c r="L214" s="25" t="s">
        <v>429</v>
      </c>
      <c r="M214" s="21" t="s">
        <v>63</v>
      </c>
      <c r="N214" s="37">
        <v>59.96</v>
      </c>
      <c r="O214" s="37">
        <v>14.9</v>
      </c>
      <c r="P214" s="26">
        <f t="shared" si="21"/>
        <v>45.06</v>
      </c>
      <c r="Q214" s="27">
        <v>425</v>
      </c>
      <c r="R214" s="28">
        <f t="shared" si="26"/>
        <v>19150.5</v>
      </c>
      <c r="S214" s="27"/>
      <c r="T214" s="29"/>
      <c r="V214" s="29" t="s">
        <v>24</v>
      </c>
      <c r="W214" s="27">
        <v>145</v>
      </c>
      <c r="X214" s="30">
        <f t="shared" si="27"/>
        <v>6533.7000000000007</v>
      </c>
      <c r="Y214" s="31">
        <v>210</v>
      </c>
      <c r="Z214" s="31">
        <f t="shared" si="28"/>
        <v>9462.6</v>
      </c>
      <c r="AA214" s="29">
        <f t="shared" si="29"/>
        <v>35146.800000000003</v>
      </c>
    </row>
    <row r="215" spans="1:27" s="38" customFormat="1" x14ac:dyDescent="0.25">
      <c r="A215" s="18">
        <v>219</v>
      </c>
      <c r="B215" s="19">
        <v>46027</v>
      </c>
      <c r="C215" s="19">
        <v>46028</v>
      </c>
      <c r="D215" s="70">
        <v>260106005</v>
      </c>
      <c r="E215" s="21" t="s">
        <v>430</v>
      </c>
      <c r="F215" s="21" t="s">
        <v>431</v>
      </c>
      <c r="G215" s="21">
        <v>47</v>
      </c>
      <c r="H215" s="48">
        <v>53</v>
      </c>
      <c r="I215" s="52" t="s">
        <v>57</v>
      </c>
      <c r="J215" s="49" t="s">
        <v>23</v>
      </c>
      <c r="K215" s="23" t="s">
        <v>31</v>
      </c>
      <c r="L215" s="43" t="s">
        <v>58</v>
      </c>
      <c r="M215" s="21" t="s">
        <v>63</v>
      </c>
      <c r="N215" s="37">
        <v>62.66</v>
      </c>
      <c r="O215" s="37">
        <v>15.6</v>
      </c>
      <c r="P215" s="26">
        <f t="shared" si="21"/>
        <v>47.059999999999995</v>
      </c>
      <c r="Q215" s="27">
        <v>425</v>
      </c>
      <c r="R215" s="28">
        <f t="shared" si="26"/>
        <v>20000.499999999996</v>
      </c>
      <c r="S215" s="21"/>
      <c r="T215" s="29"/>
      <c r="V215" s="29" t="s">
        <v>24</v>
      </c>
      <c r="W215" s="27">
        <v>145</v>
      </c>
      <c r="X215" s="30">
        <f t="shared" si="27"/>
        <v>6823.6999999999989</v>
      </c>
      <c r="Y215" s="31">
        <v>210</v>
      </c>
      <c r="Z215" s="31">
        <f t="shared" si="28"/>
        <v>9882.5999999999985</v>
      </c>
      <c r="AA215" s="29">
        <f t="shared" si="29"/>
        <v>36706.799999999996</v>
      </c>
    </row>
    <row r="216" spans="1:27" s="32" customFormat="1" x14ac:dyDescent="0.25">
      <c r="A216" s="18">
        <v>220</v>
      </c>
      <c r="B216" s="19">
        <v>46027</v>
      </c>
      <c r="C216" s="19">
        <v>46028</v>
      </c>
      <c r="D216" s="70">
        <v>260106006</v>
      </c>
      <c r="E216" s="21" t="s">
        <v>432</v>
      </c>
      <c r="F216" s="21" t="s">
        <v>433</v>
      </c>
      <c r="G216" s="21">
        <v>41</v>
      </c>
      <c r="H216" s="48">
        <v>53</v>
      </c>
      <c r="I216" s="52" t="s">
        <v>57</v>
      </c>
      <c r="J216" s="49" t="s">
        <v>23</v>
      </c>
      <c r="K216" s="23" t="s">
        <v>31</v>
      </c>
      <c r="L216" s="25" t="s">
        <v>67</v>
      </c>
      <c r="M216" s="21" t="s">
        <v>63</v>
      </c>
      <c r="N216" s="21">
        <v>54.78</v>
      </c>
      <c r="O216" s="37">
        <v>13.14</v>
      </c>
      <c r="P216" s="26">
        <f t="shared" si="21"/>
        <v>41.64</v>
      </c>
      <c r="Q216" s="27">
        <v>425</v>
      </c>
      <c r="R216" s="28">
        <f t="shared" si="26"/>
        <v>17697</v>
      </c>
      <c r="S216" s="27"/>
      <c r="T216" s="29"/>
      <c r="V216" s="29" t="s">
        <v>24</v>
      </c>
      <c r="W216" s="27">
        <v>145</v>
      </c>
      <c r="X216" s="30">
        <f t="shared" si="27"/>
        <v>6037.8</v>
      </c>
      <c r="Y216" s="31">
        <v>210</v>
      </c>
      <c r="Z216" s="31">
        <f t="shared" si="28"/>
        <v>8744.4</v>
      </c>
      <c r="AA216" s="29">
        <f t="shared" si="29"/>
        <v>32479.199999999997</v>
      </c>
    </row>
    <row r="217" spans="1:27" s="32" customFormat="1" x14ac:dyDescent="0.25">
      <c r="A217" s="18">
        <v>221</v>
      </c>
      <c r="B217" s="19">
        <v>46027</v>
      </c>
      <c r="C217" s="19">
        <v>46028</v>
      </c>
      <c r="D217" s="70">
        <v>260106007</v>
      </c>
      <c r="E217" s="21" t="s">
        <v>434</v>
      </c>
      <c r="F217" s="21" t="s">
        <v>435</v>
      </c>
      <c r="G217" s="21">
        <v>44</v>
      </c>
      <c r="H217" s="48">
        <v>53</v>
      </c>
      <c r="I217" s="52" t="s">
        <v>57</v>
      </c>
      <c r="J217" s="49" t="s">
        <v>23</v>
      </c>
      <c r="K217" s="23" t="s">
        <v>31</v>
      </c>
      <c r="L217" s="25" t="s">
        <v>46</v>
      </c>
      <c r="M217" s="21" t="s">
        <v>32</v>
      </c>
      <c r="N217" s="21">
        <v>59.8</v>
      </c>
      <c r="O217" s="37">
        <v>14.96</v>
      </c>
      <c r="P217" s="26">
        <f t="shared" si="21"/>
        <v>44.839999999999996</v>
      </c>
      <c r="Q217" s="27">
        <v>295</v>
      </c>
      <c r="R217" s="28">
        <f t="shared" si="26"/>
        <v>13227.8</v>
      </c>
      <c r="S217" s="27"/>
      <c r="T217" s="29"/>
      <c r="V217" s="29" t="s">
        <v>24</v>
      </c>
      <c r="W217" s="27">
        <v>145</v>
      </c>
      <c r="X217" s="30">
        <f t="shared" si="27"/>
        <v>6501.7999999999993</v>
      </c>
      <c r="Y217" s="31">
        <v>210</v>
      </c>
      <c r="Z217" s="31">
        <f t="shared" si="28"/>
        <v>9416.4</v>
      </c>
      <c r="AA217" s="29">
        <f t="shared" si="29"/>
        <v>29146</v>
      </c>
    </row>
    <row r="218" spans="1:27" s="32" customFormat="1" x14ac:dyDescent="0.25">
      <c r="A218" s="18">
        <v>222</v>
      </c>
      <c r="B218" s="19">
        <v>46027</v>
      </c>
      <c r="C218" s="19">
        <v>46028</v>
      </c>
      <c r="D218" s="70">
        <v>260106008</v>
      </c>
      <c r="E218" s="21" t="s">
        <v>436</v>
      </c>
      <c r="F218" s="21" t="s">
        <v>437</v>
      </c>
      <c r="G218" s="21">
        <v>43</v>
      </c>
      <c r="H218" s="44">
        <v>117</v>
      </c>
      <c r="I218" s="45" t="s">
        <v>47</v>
      </c>
      <c r="J218" s="24" t="s">
        <v>23</v>
      </c>
      <c r="K218" s="23" t="s">
        <v>31</v>
      </c>
      <c r="L218" s="25" t="s">
        <v>36</v>
      </c>
      <c r="M218" s="21" t="s">
        <v>32</v>
      </c>
      <c r="N218" s="37">
        <v>58.92</v>
      </c>
      <c r="O218" s="37">
        <v>15.8</v>
      </c>
      <c r="P218" s="26">
        <f t="shared" si="21"/>
        <v>43.120000000000005</v>
      </c>
      <c r="Q218" s="27">
        <v>335</v>
      </c>
      <c r="R218" s="28">
        <f t="shared" si="26"/>
        <v>14445.2</v>
      </c>
      <c r="S218" s="27"/>
      <c r="T218" s="29"/>
      <c r="V218" s="29" t="s">
        <v>24</v>
      </c>
      <c r="W218" s="27">
        <v>145</v>
      </c>
      <c r="X218" s="30">
        <f t="shared" si="27"/>
        <v>6252.4000000000005</v>
      </c>
      <c r="Y218" s="31">
        <v>230</v>
      </c>
      <c r="Z218" s="31">
        <f t="shared" si="28"/>
        <v>9917.6</v>
      </c>
      <c r="AA218" s="29">
        <f t="shared" si="29"/>
        <v>30615.200000000004</v>
      </c>
    </row>
    <row r="219" spans="1:27" s="32" customFormat="1" x14ac:dyDescent="0.25">
      <c r="A219" s="18">
        <v>223</v>
      </c>
      <c r="B219" s="19">
        <v>46027</v>
      </c>
      <c r="C219" s="19">
        <v>46028</v>
      </c>
      <c r="D219" s="70">
        <v>260106009</v>
      </c>
      <c r="E219" s="21" t="s">
        <v>438</v>
      </c>
      <c r="F219" s="21" t="s">
        <v>439</v>
      </c>
      <c r="G219" s="21">
        <v>48</v>
      </c>
      <c r="H219" s="48">
        <v>53</v>
      </c>
      <c r="I219" s="52" t="s">
        <v>57</v>
      </c>
      <c r="J219" s="49" t="s">
        <v>23</v>
      </c>
      <c r="K219" s="23" t="s">
        <v>31</v>
      </c>
      <c r="L219" s="25" t="s">
        <v>56</v>
      </c>
      <c r="M219" s="21" t="s">
        <v>49</v>
      </c>
      <c r="N219" s="37">
        <v>67.400000000000006</v>
      </c>
      <c r="O219" s="37">
        <v>18.940000000000001</v>
      </c>
      <c r="P219" s="26">
        <f t="shared" si="21"/>
        <v>48.460000000000008</v>
      </c>
      <c r="Q219" s="27">
        <v>255</v>
      </c>
      <c r="R219" s="28">
        <f t="shared" si="26"/>
        <v>12357.300000000003</v>
      </c>
      <c r="S219" s="27"/>
      <c r="T219" s="29"/>
      <c r="V219" s="29" t="s">
        <v>24</v>
      </c>
      <c r="W219" s="27">
        <v>145</v>
      </c>
      <c r="X219" s="30">
        <f t="shared" si="27"/>
        <v>7026.7000000000007</v>
      </c>
      <c r="Y219" s="31">
        <v>210</v>
      </c>
      <c r="Z219" s="31">
        <f t="shared" si="28"/>
        <v>10176.600000000002</v>
      </c>
      <c r="AA219" s="29">
        <f t="shared" si="29"/>
        <v>29560.600000000006</v>
      </c>
    </row>
    <row r="220" spans="1:27" s="32" customFormat="1" x14ac:dyDescent="0.25">
      <c r="A220" s="18">
        <v>224</v>
      </c>
      <c r="B220" s="19">
        <v>46027</v>
      </c>
      <c r="C220" s="19">
        <v>46028</v>
      </c>
      <c r="D220" s="70">
        <v>260106010</v>
      </c>
      <c r="E220" s="21" t="s">
        <v>440</v>
      </c>
      <c r="F220" s="21" t="s">
        <v>441</v>
      </c>
      <c r="G220" s="21">
        <v>48</v>
      </c>
      <c r="H220" s="48">
        <v>53</v>
      </c>
      <c r="I220" s="52" t="s">
        <v>57</v>
      </c>
      <c r="J220" s="49" t="s">
        <v>23</v>
      </c>
      <c r="K220" s="23" t="s">
        <v>31</v>
      </c>
      <c r="L220" s="21" t="s">
        <v>37</v>
      </c>
      <c r="M220" s="21" t="s">
        <v>49</v>
      </c>
      <c r="N220" s="37">
        <v>64.2</v>
      </c>
      <c r="O220" s="37">
        <v>15.82</v>
      </c>
      <c r="P220" s="26">
        <f t="shared" si="21"/>
        <v>48.38</v>
      </c>
      <c r="Q220" s="27">
        <v>255</v>
      </c>
      <c r="R220" s="28">
        <f t="shared" si="26"/>
        <v>12336.900000000001</v>
      </c>
      <c r="S220" s="27"/>
      <c r="T220" s="29"/>
      <c r="V220" s="29" t="s">
        <v>24</v>
      </c>
      <c r="W220" s="27">
        <v>145</v>
      </c>
      <c r="X220" s="30">
        <f t="shared" si="27"/>
        <v>7015.1</v>
      </c>
      <c r="Y220" s="31">
        <v>210</v>
      </c>
      <c r="Z220" s="31">
        <f t="shared" si="28"/>
        <v>10159.800000000001</v>
      </c>
      <c r="AA220" s="29">
        <f t="shared" si="29"/>
        <v>29511.800000000003</v>
      </c>
    </row>
    <row r="221" spans="1:27" s="38" customFormat="1" x14ac:dyDescent="0.25">
      <c r="A221" s="18">
        <v>225</v>
      </c>
      <c r="B221" s="19">
        <v>46027</v>
      </c>
      <c r="C221" s="19">
        <v>46028</v>
      </c>
      <c r="D221" s="70">
        <v>260106011</v>
      </c>
      <c r="E221" s="21" t="s">
        <v>442</v>
      </c>
      <c r="F221" s="21" t="s">
        <v>443</v>
      </c>
      <c r="G221" s="21">
        <v>43</v>
      </c>
      <c r="H221" s="48">
        <v>53</v>
      </c>
      <c r="I221" s="52" t="s">
        <v>57</v>
      </c>
      <c r="J221" s="49" t="s">
        <v>23</v>
      </c>
      <c r="K221" s="23" t="s">
        <v>31</v>
      </c>
      <c r="L221" s="21" t="s">
        <v>68</v>
      </c>
      <c r="M221" s="21" t="s">
        <v>63</v>
      </c>
      <c r="N221" s="37">
        <v>59.34</v>
      </c>
      <c r="O221" s="37">
        <v>15.66</v>
      </c>
      <c r="P221" s="26">
        <f t="shared" si="21"/>
        <v>43.680000000000007</v>
      </c>
      <c r="Q221" s="27">
        <v>425</v>
      </c>
      <c r="R221" s="28">
        <f t="shared" si="26"/>
        <v>18564.000000000004</v>
      </c>
      <c r="S221" s="27"/>
      <c r="T221" s="29"/>
      <c r="V221" s="29" t="s">
        <v>24</v>
      </c>
      <c r="W221" s="27">
        <v>145</v>
      </c>
      <c r="X221" s="30">
        <f t="shared" si="27"/>
        <v>6333.6000000000013</v>
      </c>
      <c r="Y221" s="31">
        <v>210</v>
      </c>
      <c r="Z221" s="31">
        <f t="shared" si="28"/>
        <v>9172.8000000000011</v>
      </c>
      <c r="AA221" s="29">
        <f t="shared" si="29"/>
        <v>34070.400000000009</v>
      </c>
    </row>
    <row r="222" spans="1:27" s="32" customFormat="1" x14ac:dyDescent="0.25">
      <c r="A222" s="18">
        <v>226</v>
      </c>
      <c r="B222" s="19">
        <v>46027</v>
      </c>
      <c r="C222" s="19">
        <v>46028</v>
      </c>
      <c r="D222" s="70">
        <v>260106012</v>
      </c>
      <c r="E222" s="21" t="s">
        <v>444</v>
      </c>
      <c r="F222" s="21" t="s">
        <v>445</v>
      </c>
      <c r="G222" s="21">
        <v>44</v>
      </c>
      <c r="H222" s="48">
        <v>53</v>
      </c>
      <c r="I222" s="52" t="s">
        <v>57</v>
      </c>
      <c r="J222" s="49" t="s">
        <v>23</v>
      </c>
      <c r="K222" s="23" t="s">
        <v>31</v>
      </c>
      <c r="L222" s="21" t="s">
        <v>62</v>
      </c>
      <c r="M222" s="21" t="s">
        <v>63</v>
      </c>
      <c r="N222" s="37">
        <v>59.66</v>
      </c>
      <c r="O222" s="37">
        <v>15.48</v>
      </c>
      <c r="P222" s="26">
        <f t="shared" si="21"/>
        <v>44.179999999999993</v>
      </c>
      <c r="Q222" s="27">
        <v>425</v>
      </c>
      <c r="R222" s="28">
        <f t="shared" si="26"/>
        <v>18776.499999999996</v>
      </c>
      <c r="S222" s="27"/>
      <c r="T222" s="29"/>
      <c r="V222" s="29" t="s">
        <v>24</v>
      </c>
      <c r="W222" s="27">
        <v>145</v>
      </c>
      <c r="X222" s="30">
        <f t="shared" si="27"/>
        <v>6406.0999999999985</v>
      </c>
      <c r="Y222" s="31">
        <v>210</v>
      </c>
      <c r="Z222" s="31">
        <f t="shared" si="28"/>
        <v>9277.7999999999993</v>
      </c>
      <c r="AA222" s="29">
        <f t="shared" si="29"/>
        <v>34460.399999999994</v>
      </c>
    </row>
    <row r="223" spans="1:27" s="32" customFormat="1" x14ac:dyDescent="0.25">
      <c r="A223" s="18">
        <v>227</v>
      </c>
      <c r="B223" s="19">
        <v>46027</v>
      </c>
      <c r="C223" s="19">
        <v>46028</v>
      </c>
      <c r="D223" s="70">
        <v>260106013</v>
      </c>
      <c r="E223" s="21" t="s">
        <v>446</v>
      </c>
      <c r="F223" s="21" t="s">
        <v>447</v>
      </c>
      <c r="G223" s="21">
        <v>47</v>
      </c>
      <c r="H223" s="44">
        <v>115</v>
      </c>
      <c r="I223" s="23" t="s">
        <v>33</v>
      </c>
      <c r="J223" s="24" t="s">
        <v>23</v>
      </c>
      <c r="K223" s="35" t="s">
        <v>31</v>
      </c>
      <c r="L223" s="25" t="s">
        <v>50</v>
      </c>
      <c r="M223" s="21" t="s">
        <v>34</v>
      </c>
      <c r="N223" s="37">
        <v>64.44</v>
      </c>
      <c r="O223" s="37">
        <v>16.68</v>
      </c>
      <c r="P223" s="26">
        <f t="shared" si="21"/>
        <v>47.76</v>
      </c>
      <c r="Q223" s="27">
        <v>545</v>
      </c>
      <c r="R223" s="28">
        <f t="shared" si="26"/>
        <v>26029.200000000001</v>
      </c>
      <c r="S223" s="27"/>
      <c r="T223" s="29"/>
      <c r="V223" s="29" t="s">
        <v>24</v>
      </c>
      <c r="W223" s="27">
        <v>145</v>
      </c>
      <c r="X223" s="30">
        <f t="shared" si="27"/>
        <v>6925.2</v>
      </c>
      <c r="Y223" s="31">
        <v>260</v>
      </c>
      <c r="Z223" s="31">
        <f t="shared" si="28"/>
        <v>12417.6</v>
      </c>
      <c r="AA223" s="29">
        <f t="shared" si="29"/>
        <v>45372</v>
      </c>
    </row>
    <row r="224" spans="1:27" s="32" customFormat="1" x14ac:dyDescent="0.25">
      <c r="A224" s="18">
        <v>228</v>
      </c>
      <c r="B224" s="19">
        <v>46027</v>
      </c>
      <c r="C224" s="19">
        <v>46028</v>
      </c>
      <c r="D224" s="70">
        <v>260106014</v>
      </c>
      <c r="E224" s="21" t="s">
        <v>448</v>
      </c>
      <c r="F224" s="21" t="s">
        <v>449</v>
      </c>
      <c r="G224" s="21">
        <v>43</v>
      </c>
      <c r="H224" s="44">
        <v>115</v>
      </c>
      <c r="I224" s="23" t="s">
        <v>33</v>
      </c>
      <c r="J224" s="24" t="s">
        <v>23</v>
      </c>
      <c r="K224" s="35" t="s">
        <v>31</v>
      </c>
      <c r="L224" s="21" t="s">
        <v>41</v>
      </c>
      <c r="M224" s="21" t="s">
        <v>32</v>
      </c>
      <c r="N224" s="37">
        <v>59.6</v>
      </c>
      <c r="O224" s="37">
        <v>15.76</v>
      </c>
      <c r="P224" s="26">
        <f t="shared" ref="P224:P270" si="30">N224-O224</f>
        <v>43.84</v>
      </c>
      <c r="Q224" s="27">
        <v>315</v>
      </c>
      <c r="R224" s="28">
        <f t="shared" si="26"/>
        <v>13809.6</v>
      </c>
      <c r="S224" s="27"/>
      <c r="T224" s="29"/>
      <c r="V224" s="29" t="s">
        <v>24</v>
      </c>
      <c r="W224" s="27">
        <v>145</v>
      </c>
      <c r="X224" s="30">
        <f t="shared" si="27"/>
        <v>6356.8</v>
      </c>
      <c r="Y224" s="31">
        <v>260</v>
      </c>
      <c r="Z224" s="31">
        <f t="shared" si="28"/>
        <v>11398.400000000001</v>
      </c>
      <c r="AA224" s="29">
        <f t="shared" si="29"/>
        <v>31564.800000000003</v>
      </c>
    </row>
    <row r="225" spans="1:38" s="32" customFormat="1" x14ac:dyDescent="0.25">
      <c r="A225" s="18">
        <v>229</v>
      </c>
      <c r="B225" s="19">
        <v>46027</v>
      </c>
      <c r="C225" s="19">
        <v>46028</v>
      </c>
      <c r="D225" s="70">
        <v>260106015</v>
      </c>
      <c r="E225" s="21" t="s">
        <v>450</v>
      </c>
      <c r="F225" s="21" t="s">
        <v>451</v>
      </c>
      <c r="G225" s="21">
        <v>47</v>
      </c>
      <c r="H225" s="44">
        <v>115</v>
      </c>
      <c r="I225" s="23" t="s">
        <v>33</v>
      </c>
      <c r="J225" s="24" t="s">
        <v>23</v>
      </c>
      <c r="K225" s="35" t="s">
        <v>31</v>
      </c>
      <c r="L225" s="21" t="s">
        <v>148</v>
      </c>
      <c r="M225" s="21" t="s">
        <v>34</v>
      </c>
      <c r="N225" s="37">
        <v>65.72</v>
      </c>
      <c r="O225" s="21">
        <v>18.22</v>
      </c>
      <c r="P225" s="26">
        <f t="shared" si="30"/>
        <v>47.5</v>
      </c>
      <c r="Q225" s="27">
        <v>545</v>
      </c>
      <c r="R225" s="28">
        <f t="shared" si="26"/>
        <v>25887.5</v>
      </c>
      <c r="S225" s="27"/>
      <c r="T225" s="29"/>
      <c r="V225" s="29" t="s">
        <v>24</v>
      </c>
      <c r="W225" s="27">
        <v>145</v>
      </c>
      <c r="X225" s="30">
        <f t="shared" si="27"/>
        <v>6887.5</v>
      </c>
      <c r="Y225" s="31">
        <v>260</v>
      </c>
      <c r="Z225" s="31">
        <f t="shared" si="28"/>
        <v>12350</v>
      </c>
      <c r="AA225" s="29">
        <f t="shared" si="29"/>
        <v>45125</v>
      </c>
    </row>
    <row r="226" spans="1:38" s="38" customFormat="1" x14ac:dyDescent="0.25">
      <c r="A226" s="18">
        <v>230</v>
      </c>
      <c r="B226" s="19">
        <v>46027</v>
      </c>
      <c r="C226" s="19">
        <v>46028</v>
      </c>
      <c r="D226" s="70">
        <v>260106016</v>
      </c>
      <c r="E226" s="21" t="s">
        <v>452</v>
      </c>
      <c r="F226" s="21" t="s">
        <v>453</v>
      </c>
      <c r="G226" s="21">
        <v>51</v>
      </c>
      <c r="H226" s="44">
        <v>115</v>
      </c>
      <c r="I226" s="23" t="s">
        <v>33</v>
      </c>
      <c r="J226" s="24" t="s">
        <v>23</v>
      </c>
      <c r="K226" s="35" t="s">
        <v>31</v>
      </c>
      <c r="L226" s="21" t="s">
        <v>401</v>
      </c>
      <c r="M226" s="21" t="s">
        <v>35</v>
      </c>
      <c r="N226" s="37">
        <v>69.260000000000005</v>
      </c>
      <c r="O226" s="37">
        <v>17.64</v>
      </c>
      <c r="P226" s="26">
        <f t="shared" si="30"/>
        <v>51.620000000000005</v>
      </c>
      <c r="Q226" s="27">
        <v>445</v>
      </c>
      <c r="R226" s="28">
        <f t="shared" si="26"/>
        <v>22970.9</v>
      </c>
      <c r="S226" s="27"/>
      <c r="T226" s="29"/>
      <c r="V226" s="29" t="s">
        <v>24</v>
      </c>
      <c r="W226" s="27">
        <v>145</v>
      </c>
      <c r="X226" s="30">
        <f t="shared" si="27"/>
        <v>7484.9000000000005</v>
      </c>
      <c r="Y226" s="31">
        <v>260</v>
      </c>
      <c r="Z226" s="31">
        <f t="shared" si="28"/>
        <v>13421.2</v>
      </c>
      <c r="AA226" s="29">
        <f t="shared" si="29"/>
        <v>43877</v>
      </c>
    </row>
    <row r="227" spans="1:38" s="38" customFormat="1" x14ac:dyDescent="0.25">
      <c r="A227" s="18">
        <v>231</v>
      </c>
      <c r="B227" s="19">
        <v>46027</v>
      </c>
      <c r="C227" s="19">
        <v>46028</v>
      </c>
      <c r="D227" s="70">
        <v>260106017</v>
      </c>
      <c r="E227" s="21" t="s">
        <v>454</v>
      </c>
      <c r="F227" s="21" t="s">
        <v>455</v>
      </c>
      <c r="G227" s="21">
        <v>57</v>
      </c>
      <c r="H227" s="44">
        <v>115</v>
      </c>
      <c r="I227" s="23" t="s">
        <v>33</v>
      </c>
      <c r="J227" s="24" t="s">
        <v>23</v>
      </c>
      <c r="K227" s="35" t="s">
        <v>31</v>
      </c>
      <c r="L227" s="53" t="s">
        <v>140</v>
      </c>
      <c r="M227" s="21" t="s">
        <v>35</v>
      </c>
      <c r="N227" s="37">
        <v>74.900000000000006</v>
      </c>
      <c r="O227" s="37">
        <v>17.64</v>
      </c>
      <c r="P227" s="26">
        <f t="shared" si="30"/>
        <v>57.260000000000005</v>
      </c>
      <c r="Q227" s="27">
        <v>445</v>
      </c>
      <c r="R227" s="28">
        <f t="shared" si="26"/>
        <v>25480.7</v>
      </c>
      <c r="S227" s="21"/>
      <c r="T227" s="29"/>
      <c r="V227" s="29" t="s">
        <v>24</v>
      </c>
      <c r="W227" s="27">
        <v>145</v>
      </c>
      <c r="X227" s="30">
        <f t="shared" si="27"/>
        <v>8302.7000000000007</v>
      </c>
      <c r="Y227" s="31">
        <v>260</v>
      </c>
      <c r="Z227" s="31">
        <f t="shared" si="28"/>
        <v>14887.600000000002</v>
      </c>
      <c r="AA227" s="29">
        <f t="shared" si="29"/>
        <v>48671</v>
      </c>
    </row>
    <row r="228" spans="1:38" s="32" customFormat="1" x14ac:dyDescent="0.25">
      <c r="A228" s="18">
        <v>232</v>
      </c>
      <c r="B228" s="19">
        <v>46028</v>
      </c>
      <c r="C228" s="19">
        <v>46028</v>
      </c>
      <c r="D228" s="20">
        <v>260106018</v>
      </c>
      <c r="E228" s="21" t="s">
        <v>456</v>
      </c>
      <c r="F228" s="21" t="s">
        <v>457</v>
      </c>
      <c r="G228" s="21">
        <v>34</v>
      </c>
      <c r="H228" s="44">
        <v>96</v>
      </c>
      <c r="I228" s="71" t="s">
        <v>458</v>
      </c>
      <c r="J228" s="65" t="s">
        <v>23</v>
      </c>
      <c r="K228" s="35" t="s">
        <v>31</v>
      </c>
      <c r="L228" s="25" t="s">
        <v>459</v>
      </c>
      <c r="M228" s="21" t="s">
        <v>34</v>
      </c>
      <c r="N228" s="21">
        <v>45.86</v>
      </c>
      <c r="O228" s="21">
        <v>11.84</v>
      </c>
      <c r="P228" s="26">
        <f t="shared" si="30"/>
        <v>34.019999999999996</v>
      </c>
      <c r="Q228" s="27">
        <v>520</v>
      </c>
      <c r="R228" s="28">
        <f>P228*Q228</f>
        <v>17690.399999999998</v>
      </c>
      <c r="S228" s="27"/>
      <c r="T228" s="29"/>
      <c r="V228" s="29" t="s">
        <v>24</v>
      </c>
      <c r="W228" s="27">
        <v>150</v>
      </c>
      <c r="X228" s="30">
        <f t="shared" ref="X228:X270" si="31">W228*P228</f>
        <v>5102.9999999999991</v>
      </c>
      <c r="Y228" s="31"/>
      <c r="Z228" s="31">
        <f t="shared" ref="Z228:Z270" si="32">Y228*P228</f>
        <v>0</v>
      </c>
      <c r="AA228" s="29">
        <f t="shared" ref="AA228:AA270" si="33">R228+X228+Z228</f>
        <v>22793.399999999998</v>
      </c>
    </row>
    <row r="229" spans="1:38" s="32" customFormat="1" x14ac:dyDescent="0.25">
      <c r="A229" s="18">
        <v>233</v>
      </c>
      <c r="B229" s="19">
        <v>46028</v>
      </c>
      <c r="C229" s="19">
        <v>46028</v>
      </c>
      <c r="D229" s="20">
        <v>260106019</v>
      </c>
      <c r="E229" s="21" t="s">
        <v>460</v>
      </c>
      <c r="F229" s="21" t="s">
        <v>461</v>
      </c>
      <c r="G229" s="21">
        <v>45</v>
      </c>
      <c r="H229" s="48">
        <v>53</v>
      </c>
      <c r="I229" s="52" t="s">
        <v>57</v>
      </c>
      <c r="J229" s="49" t="s">
        <v>23</v>
      </c>
      <c r="K229" s="23" t="s">
        <v>31</v>
      </c>
      <c r="L229" s="25" t="s">
        <v>462</v>
      </c>
      <c r="M229" s="21" t="s">
        <v>49</v>
      </c>
      <c r="N229" s="21">
        <v>61.36</v>
      </c>
      <c r="O229" s="21">
        <v>15.74</v>
      </c>
      <c r="P229" s="26">
        <f t="shared" si="30"/>
        <v>45.62</v>
      </c>
      <c r="Q229" s="27">
        <v>245</v>
      </c>
      <c r="R229" s="28">
        <f>P229*Q229</f>
        <v>11176.9</v>
      </c>
      <c r="S229" s="27"/>
      <c r="T229" s="29"/>
      <c r="V229" s="29" t="s">
        <v>24</v>
      </c>
      <c r="W229" s="27">
        <v>145</v>
      </c>
      <c r="X229" s="30">
        <f t="shared" si="31"/>
        <v>6614.9</v>
      </c>
      <c r="Y229" s="31">
        <v>210</v>
      </c>
      <c r="Z229" s="31">
        <f t="shared" si="32"/>
        <v>9580.1999999999989</v>
      </c>
      <c r="AA229" s="29">
        <f t="shared" si="33"/>
        <v>27372</v>
      </c>
    </row>
    <row r="230" spans="1:38" s="32" customFormat="1" x14ac:dyDescent="0.25">
      <c r="A230" s="18">
        <v>234</v>
      </c>
      <c r="B230" s="19">
        <v>46028</v>
      </c>
      <c r="C230" s="19">
        <v>46028</v>
      </c>
      <c r="D230" s="20">
        <v>260106020</v>
      </c>
      <c r="E230" s="21" t="s">
        <v>463</v>
      </c>
      <c r="F230" s="21" t="s">
        <v>464</v>
      </c>
      <c r="G230" s="21">
        <v>51</v>
      </c>
      <c r="H230" s="48">
        <v>53</v>
      </c>
      <c r="I230" s="52" t="s">
        <v>57</v>
      </c>
      <c r="J230" s="49" t="s">
        <v>23</v>
      </c>
      <c r="K230" s="23" t="s">
        <v>31</v>
      </c>
      <c r="L230" s="25" t="s">
        <v>55</v>
      </c>
      <c r="M230" s="21" t="s">
        <v>49</v>
      </c>
      <c r="N230" s="21">
        <v>69.819999999999993</v>
      </c>
      <c r="O230" s="21">
        <v>18.059999999999999</v>
      </c>
      <c r="P230" s="26">
        <f t="shared" si="30"/>
        <v>51.759999999999991</v>
      </c>
      <c r="Q230" s="27">
        <v>245</v>
      </c>
      <c r="R230" s="28">
        <f>P230*Q230</f>
        <v>12681.199999999997</v>
      </c>
      <c r="S230" s="27"/>
      <c r="T230" s="29"/>
      <c r="V230" s="29" t="s">
        <v>24</v>
      </c>
      <c r="W230" s="27">
        <v>145</v>
      </c>
      <c r="X230" s="30">
        <f t="shared" si="31"/>
        <v>7505.1999999999989</v>
      </c>
      <c r="Y230" s="31">
        <v>210</v>
      </c>
      <c r="Z230" s="31">
        <f t="shared" si="32"/>
        <v>10869.599999999999</v>
      </c>
      <c r="AA230" s="29">
        <f t="shared" si="33"/>
        <v>31055.999999999993</v>
      </c>
    </row>
    <row r="231" spans="1:38" s="38" customFormat="1" x14ac:dyDescent="0.25">
      <c r="A231" s="18">
        <v>235</v>
      </c>
      <c r="B231" s="19">
        <v>46028</v>
      </c>
      <c r="C231" s="19">
        <v>46028</v>
      </c>
      <c r="D231" s="20">
        <v>260106021</v>
      </c>
      <c r="E231" s="21" t="s">
        <v>465</v>
      </c>
      <c r="F231" s="21" t="s">
        <v>466</v>
      </c>
      <c r="G231" s="21">
        <v>48</v>
      </c>
      <c r="H231" s="48">
        <v>53</v>
      </c>
      <c r="I231" s="52" t="s">
        <v>57</v>
      </c>
      <c r="J231" s="49" t="s">
        <v>23</v>
      </c>
      <c r="K231" s="23" t="s">
        <v>31</v>
      </c>
      <c r="L231" s="25" t="s">
        <v>37</v>
      </c>
      <c r="M231" s="21" t="s">
        <v>49</v>
      </c>
      <c r="N231" s="21">
        <v>63.76</v>
      </c>
      <c r="O231" s="37">
        <v>15.68</v>
      </c>
      <c r="P231" s="26">
        <f t="shared" si="30"/>
        <v>48.08</v>
      </c>
      <c r="Q231" s="27">
        <v>245</v>
      </c>
      <c r="R231" s="28">
        <f>P231*Q231</f>
        <v>11779.6</v>
      </c>
      <c r="S231" s="27"/>
      <c r="T231" s="29"/>
      <c r="V231" s="29" t="s">
        <v>24</v>
      </c>
      <c r="W231" s="27">
        <v>145</v>
      </c>
      <c r="X231" s="30">
        <f t="shared" si="31"/>
        <v>6971.5999999999995</v>
      </c>
      <c r="Y231" s="31">
        <v>210</v>
      </c>
      <c r="Z231" s="31">
        <f t="shared" si="32"/>
        <v>10096.799999999999</v>
      </c>
      <c r="AA231" s="29">
        <f t="shared" si="33"/>
        <v>28848</v>
      </c>
    </row>
    <row r="232" spans="1:38" s="32" customFormat="1" x14ac:dyDescent="0.25">
      <c r="A232" s="18">
        <v>236</v>
      </c>
      <c r="B232" s="19">
        <v>46028</v>
      </c>
      <c r="C232" s="19">
        <v>46028</v>
      </c>
      <c r="D232" s="20">
        <v>260106022</v>
      </c>
      <c r="E232" s="21" t="s">
        <v>467</v>
      </c>
      <c r="F232" s="21" t="s">
        <v>468</v>
      </c>
      <c r="G232" s="21">
        <v>49</v>
      </c>
      <c r="H232" s="48">
        <v>53</v>
      </c>
      <c r="I232" s="52" t="s">
        <v>57</v>
      </c>
      <c r="J232" s="49" t="s">
        <v>23</v>
      </c>
      <c r="K232" s="23" t="s">
        <v>31</v>
      </c>
      <c r="L232" s="25" t="s">
        <v>59</v>
      </c>
      <c r="M232" s="21" t="s">
        <v>49</v>
      </c>
      <c r="N232" s="37">
        <v>65.16</v>
      </c>
      <c r="O232" s="21">
        <v>16.16</v>
      </c>
      <c r="P232" s="26">
        <f t="shared" si="30"/>
        <v>49</v>
      </c>
      <c r="Q232" s="27">
        <v>245</v>
      </c>
      <c r="R232" s="28">
        <f t="shared" ref="R232:R270" si="34">P232*Q232</f>
        <v>12005</v>
      </c>
      <c r="S232" s="27"/>
      <c r="T232" s="29"/>
      <c r="V232" s="29" t="s">
        <v>24</v>
      </c>
      <c r="W232" s="27">
        <v>145</v>
      </c>
      <c r="X232" s="30">
        <f t="shared" si="31"/>
        <v>7105</v>
      </c>
      <c r="Y232" s="31">
        <v>210</v>
      </c>
      <c r="Z232" s="31">
        <f t="shared" si="32"/>
        <v>10290</v>
      </c>
      <c r="AA232" s="29">
        <f t="shared" si="33"/>
        <v>29400</v>
      </c>
    </row>
    <row r="233" spans="1:38" s="32" customFormat="1" x14ac:dyDescent="0.25">
      <c r="A233" s="18">
        <v>237</v>
      </c>
      <c r="B233" s="19">
        <v>46028</v>
      </c>
      <c r="C233" s="19">
        <v>46028</v>
      </c>
      <c r="D233" s="20">
        <v>260106023</v>
      </c>
      <c r="E233" s="21" t="s">
        <v>469</v>
      </c>
      <c r="F233" s="21" t="s">
        <v>470</v>
      </c>
      <c r="G233" s="21">
        <v>45</v>
      </c>
      <c r="H233" s="48">
        <v>53</v>
      </c>
      <c r="I233" s="52" t="s">
        <v>57</v>
      </c>
      <c r="J233" s="49" t="s">
        <v>23</v>
      </c>
      <c r="K233" s="23" t="s">
        <v>31</v>
      </c>
      <c r="L233" s="25" t="s">
        <v>56</v>
      </c>
      <c r="M233" s="21" t="s">
        <v>63</v>
      </c>
      <c r="N233" s="37">
        <v>64.02</v>
      </c>
      <c r="O233" s="37">
        <v>18.86</v>
      </c>
      <c r="P233" s="26">
        <f t="shared" si="30"/>
        <v>45.16</v>
      </c>
      <c r="Q233" s="27">
        <v>425</v>
      </c>
      <c r="R233" s="28">
        <f t="shared" si="34"/>
        <v>19193</v>
      </c>
      <c r="S233" s="27"/>
      <c r="T233" s="29"/>
      <c r="V233" s="29" t="s">
        <v>24</v>
      </c>
      <c r="W233" s="27">
        <v>145</v>
      </c>
      <c r="X233" s="30">
        <f t="shared" si="31"/>
        <v>6548.2</v>
      </c>
      <c r="Y233" s="31">
        <v>210</v>
      </c>
      <c r="Z233" s="31">
        <f t="shared" si="32"/>
        <v>9483.5999999999985</v>
      </c>
      <c r="AA233" s="29">
        <f t="shared" si="33"/>
        <v>35224.800000000003</v>
      </c>
    </row>
    <row r="234" spans="1:38" s="32" customFormat="1" x14ac:dyDescent="0.25">
      <c r="A234" s="18">
        <v>238</v>
      </c>
      <c r="B234" s="19">
        <v>46028</v>
      </c>
      <c r="C234" s="19">
        <v>46028</v>
      </c>
      <c r="D234" s="20">
        <v>260106024</v>
      </c>
      <c r="E234" s="21" t="s">
        <v>471</v>
      </c>
      <c r="F234" s="21" t="s">
        <v>472</v>
      </c>
      <c r="G234" s="21">
        <v>44</v>
      </c>
      <c r="H234" s="48">
        <v>53</v>
      </c>
      <c r="I234" s="52" t="s">
        <v>57</v>
      </c>
      <c r="J234" s="49" t="s">
        <v>23</v>
      </c>
      <c r="K234" s="23" t="s">
        <v>31</v>
      </c>
      <c r="L234" s="25" t="s">
        <v>38</v>
      </c>
      <c r="M234" s="21" t="s">
        <v>63</v>
      </c>
      <c r="N234" s="37">
        <v>58.82</v>
      </c>
      <c r="O234" s="37">
        <v>14.68</v>
      </c>
      <c r="P234" s="26">
        <f t="shared" si="30"/>
        <v>44.14</v>
      </c>
      <c r="Q234" s="27">
        <v>425</v>
      </c>
      <c r="R234" s="28">
        <f t="shared" si="34"/>
        <v>18759.5</v>
      </c>
      <c r="S234" s="27"/>
      <c r="T234" s="29"/>
      <c r="V234" s="29" t="s">
        <v>24</v>
      </c>
      <c r="W234" s="27">
        <v>145</v>
      </c>
      <c r="X234" s="30">
        <f t="shared" si="31"/>
        <v>6400.3</v>
      </c>
      <c r="Y234" s="31">
        <v>210</v>
      </c>
      <c r="Z234" s="31">
        <f t="shared" si="32"/>
        <v>9269.4</v>
      </c>
      <c r="AA234" s="29">
        <f t="shared" si="33"/>
        <v>34429.199999999997</v>
      </c>
    </row>
    <row r="235" spans="1:38" s="32" customFormat="1" x14ac:dyDescent="0.25">
      <c r="A235" s="18">
        <v>239</v>
      </c>
      <c r="B235" s="19">
        <v>46028</v>
      </c>
      <c r="C235" s="19">
        <v>46028</v>
      </c>
      <c r="D235" s="20">
        <v>260106025</v>
      </c>
      <c r="E235" s="21" t="s">
        <v>473</v>
      </c>
      <c r="F235" s="21" t="s">
        <v>474</v>
      </c>
      <c r="G235" s="21">
        <v>46</v>
      </c>
      <c r="H235" s="48">
        <v>53</v>
      </c>
      <c r="I235" s="52" t="s">
        <v>57</v>
      </c>
      <c r="J235" s="49" t="s">
        <v>23</v>
      </c>
      <c r="K235" s="23" t="s">
        <v>31</v>
      </c>
      <c r="L235" s="25" t="s">
        <v>46</v>
      </c>
      <c r="M235" s="21" t="s">
        <v>63</v>
      </c>
      <c r="N235" s="37">
        <v>61.48</v>
      </c>
      <c r="O235" s="37">
        <v>14.56</v>
      </c>
      <c r="P235" s="26">
        <f t="shared" si="30"/>
        <v>46.919999999999995</v>
      </c>
      <c r="Q235" s="27">
        <v>425</v>
      </c>
      <c r="R235" s="28">
        <f t="shared" si="34"/>
        <v>19940.999999999996</v>
      </c>
      <c r="S235" s="27"/>
      <c r="T235" s="29"/>
      <c r="V235" s="29" t="s">
        <v>24</v>
      </c>
      <c r="W235" s="27">
        <v>145</v>
      </c>
      <c r="X235" s="30">
        <f t="shared" si="31"/>
        <v>6803.4</v>
      </c>
      <c r="Y235" s="31">
        <v>210</v>
      </c>
      <c r="Z235" s="31">
        <f t="shared" si="32"/>
        <v>9853.1999999999989</v>
      </c>
      <c r="AA235" s="29">
        <f t="shared" si="33"/>
        <v>36597.599999999991</v>
      </c>
      <c r="AB235" s="40"/>
      <c r="AC235" s="39"/>
      <c r="AD235" s="41"/>
      <c r="AE235" s="42"/>
      <c r="AF235" s="39"/>
      <c r="AG235" s="42"/>
      <c r="AH235" s="39"/>
      <c r="AI235" s="41"/>
      <c r="AJ235" s="39"/>
      <c r="AK235" s="41"/>
      <c r="AL235" s="41"/>
    </row>
    <row r="236" spans="1:38" s="32" customFormat="1" x14ac:dyDescent="0.25">
      <c r="A236" s="18">
        <v>240</v>
      </c>
      <c r="B236" s="19">
        <v>46028</v>
      </c>
      <c r="C236" s="19">
        <v>46028</v>
      </c>
      <c r="D236" s="20">
        <v>260106026</v>
      </c>
      <c r="E236" s="21" t="s">
        <v>475</v>
      </c>
      <c r="F236" s="21" t="s">
        <v>476</v>
      </c>
      <c r="G236" s="21">
        <v>37</v>
      </c>
      <c r="H236" s="48">
        <v>53</v>
      </c>
      <c r="I236" s="52" t="s">
        <v>57</v>
      </c>
      <c r="J236" s="49" t="s">
        <v>23</v>
      </c>
      <c r="K236" s="23" t="s">
        <v>31</v>
      </c>
      <c r="L236" s="25" t="s">
        <v>39</v>
      </c>
      <c r="M236" s="21" t="s">
        <v>49</v>
      </c>
      <c r="N236" s="37">
        <v>49.34</v>
      </c>
      <c r="O236" s="37">
        <v>11.78</v>
      </c>
      <c r="P236" s="26">
        <f t="shared" si="30"/>
        <v>37.56</v>
      </c>
      <c r="Q236" s="27">
        <v>245</v>
      </c>
      <c r="R236" s="28">
        <f t="shared" si="34"/>
        <v>9202.2000000000007</v>
      </c>
      <c r="S236" s="27"/>
      <c r="T236" s="29"/>
      <c r="V236" s="29" t="s">
        <v>24</v>
      </c>
      <c r="W236" s="27">
        <v>145</v>
      </c>
      <c r="X236" s="30">
        <f t="shared" si="31"/>
        <v>5446.2000000000007</v>
      </c>
      <c r="Y236" s="31">
        <v>210</v>
      </c>
      <c r="Z236" s="31">
        <f t="shared" si="32"/>
        <v>7887.6</v>
      </c>
      <c r="AA236" s="29">
        <f t="shared" si="33"/>
        <v>22536</v>
      </c>
    </row>
    <row r="237" spans="1:38" s="32" customFormat="1" x14ac:dyDescent="0.25">
      <c r="A237" s="18">
        <v>241</v>
      </c>
      <c r="B237" s="19">
        <v>46028</v>
      </c>
      <c r="C237" s="19">
        <v>46028</v>
      </c>
      <c r="D237" s="20" t="s">
        <v>477</v>
      </c>
      <c r="E237" s="21"/>
      <c r="F237" s="21"/>
      <c r="G237" s="21"/>
      <c r="H237" s="59"/>
      <c r="I237" s="60" t="s">
        <v>303</v>
      </c>
      <c r="J237" s="61" t="s">
        <v>23</v>
      </c>
      <c r="K237" s="62" t="s">
        <v>30</v>
      </c>
      <c r="L237" s="25" t="s">
        <v>304</v>
      </c>
      <c r="M237" s="21" t="s">
        <v>289</v>
      </c>
      <c r="N237" s="37">
        <v>9.74</v>
      </c>
      <c r="O237" s="37">
        <v>3.24</v>
      </c>
      <c r="P237" s="26">
        <f t="shared" si="30"/>
        <v>6.5</v>
      </c>
      <c r="Q237" s="27">
        <v>150</v>
      </c>
      <c r="R237" s="28">
        <f t="shared" si="34"/>
        <v>975</v>
      </c>
      <c r="S237" s="27">
        <v>975</v>
      </c>
      <c r="T237" s="29"/>
      <c r="V237" s="29" t="s">
        <v>24</v>
      </c>
      <c r="W237" s="27"/>
      <c r="X237" s="30">
        <f t="shared" si="31"/>
        <v>0</v>
      </c>
      <c r="Y237" s="31"/>
      <c r="Z237" s="31">
        <f t="shared" si="32"/>
        <v>0</v>
      </c>
      <c r="AA237" s="29">
        <f t="shared" si="33"/>
        <v>975</v>
      </c>
    </row>
    <row r="238" spans="1:38" s="32" customFormat="1" x14ac:dyDescent="0.25">
      <c r="A238" s="18">
        <v>242</v>
      </c>
      <c r="B238" s="19">
        <v>46028</v>
      </c>
      <c r="C238" s="19">
        <v>46028</v>
      </c>
      <c r="D238" s="20">
        <v>260106027</v>
      </c>
      <c r="E238" s="21" t="s">
        <v>478</v>
      </c>
      <c r="F238" s="21" t="s">
        <v>479</v>
      </c>
      <c r="G238" s="21">
        <v>33</v>
      </c>
      <c r="H238" s="36">
        <v>131</v>
      </c>
      <c r="I238" s="23" t="s">
        <v>64</v>
      </c>
      <c r="J238" s="24" t="s">
        <v>23</v>
      </c>
      <c r="K238" s="23" t="s">
        <v>31</v>
      </c>
      <c r="L238" s="25" t="s">
        <v>42</v>
      </c>
      <c r="M238" s="21" t="s">
        <v>32</v>
      </c>
      <c r="N238" s="37">
        <v>44.86</v>
      </c>
      <c r="O238" s="37">
        <v>11.66</v>
      </c>
      <c r="P238" s="26">
        <f t="shared" si="30"/>
        <v>33.200000000000003</v>
      </c>
      <c r="Q238" s="27">
        <v>285</v>
      </c>
      <c r="R238" s="28">
        <f t="shared" si="34"/>
        <v>9462</v>
      </c>
      <c r="S238" s="27"/>
      <c r="T238" s="29"/>
      <c r="V238" s="29" t="s">
        <v>24</v>
      </c>
      <c r="W238" s="27">
        <v>145</v>
      </c>
      <c r="X238" s="30">
        <f t="shared" si="31"/>
        <v>4814</v>
      </c>
      <c r="Y238" s="31">
        <v>200</v>
      </c>
      <c r="Z238" s="31">
        <f t="shared" si="32"/>
        <v>6640.0000000000009</v>
      </c>
      <c r="AA238" s="29">
        <f t="shared" si="33"/>
        <v>20916</v>
      </c>
    </row>
    <row r="239" spans="1:38" s="32" customFormat="1" x14ac:dyDescent="0.25">
      <c r="A239" s="18">
        <v>243</v>
      </c>
      <c r="B239" s="19">
        <v>46028</v>
      </c>
      <c r="C239" s="19">
        <v>46028</v>
      </c>
      <c r="D239" s="20">
        <v>260106028</v>
      </c>
      <c r="E239" s="21" t="s">
        <v>480</v>
      </c>
      <c r="F239" s="21" t="s">
        <v>481</v>
      </c>
      <c r="G239" s="21">
        <v>33</v>
      </c>
      <c r="H239" s="36">
        <v>131</v>
      </c>
      <c r="I239" s="23" t="s">
        <v>64</v>
      </c>
      <c r="J239" s="24" t="s">
        <v>23</v>
      </c>
      <c r="K239" s="23" t="s">
        <v>31</v>
      </c>
      <c r="L239" s="25" t="s">
        <v>40</v>
      </c>
      <c r="M239" s="21" t="s">
        <v>32</v>
      </c>
      <c r="N239" s="37">
        <v>45.2</v>
      </c>
      <c r="O239" s="37">
        <v>11.3</v>
      </c>
      <c r="P239" s="26">
        <f t="shared" si="30"/>
        <v>33.900000000000006</v>
      </c>
      <c r="Q239" s="27">
        <v>285</v>
      </c>
      <c r="R239" s="28">
        <f t="shared" si="34"/>
        <v>9661.5000000000018</v>
      </c>
      <c r="S239" s="27"/>
      <c r="T239" s="29"/>
      <c r="V239" s="29" t="s">
        <v>24</v>
      </c>
      <c r="W239" s="27">
        <v>145</v>
      </c>
      <c r="X239" s="30">
        <f t="shared" si="31"/>
        <v>4915.5000000000009</v>
      </c>
      <c r="Y239" s="31">
        <v>200</v>
      </c>
      <c r="Z239" s="31">
        <f t="shared" si="32"/>
        <v>6780.0000000000009</v>
      </c>
      <c r="AA239" s="29">
        <f t="shared" si="33"/>
        <v>21357.000000000004</v>
      </c>
    </row>
    <row r="240" spans="1:38" s="38" customFormat="1" x14ac:dyDescent="0.25">
      <c r="A240" s="18">
        <v>244</v>
      </c>
      <c r="B240" s="19">
        <v>46028</v>
      </c>
      <c r="C240" s="19">
        <v>46028</v>
      </c>
      <c r="D240" s="20" t="s">
        <v>482</v>
      </c>
      <c r="E240" s="21"/>
      <c r="F240" s="21"/>
      <c r="G240" s="21"/>
      <c r="H240" s="59"/>
      <c r="I240" s="60" t="s">
        <v>201</v>
      </c>
      <c r="J240" s="24" t="s">
        <v>23</v>
      </c>
      <c r="K240" s="23" t="s">
        <v>31</v>
      </c>
      <c r="L240" s="25" t="s">
        <v>337</v>
      </c>
      <c r="M240" s="21" t="s">
        <v>203</v>
      </c>
      <c r="N240" s="37">
        <v>26.88</v>
      </c>
      <c r="O240" s="37">
        <v>14.88</v>
      </c>
      <c r="P240" s="26">
        <f t="shared" si="30"/>
        <v>11.999999999999998</v>
      </c>
      <c r="Q240" s="27">
        <v>0</v>
      </c>
      <c r="R240" s="28">
        <f t="shared" si="34"/>
        <v>0</v>
      </c>
      <c r="S240" s="27"/>
      <c r="T240" s="29"/>
      <c r="V240" s="29" t="s">
        <v>24</v>
      </c>
      <c r="W240" s="27"/>
      <c r="X240" s="30">
        <f t="shared" si="31"/>
        <v>0</v>
      </c>
      <c r="Y240" s="31"/>
      <c r="Z240" s="31">
        <f t="shared" si="32"/>
        <v>0</v>
      </c>
      <c r="AA240" s="29">
        <f t="shared" si="33"/>
        <v>0</v>
      </c>
    </row>
    <row r="241" spans="1:27" s="38" customFormat="1" x14ac:dyDescent="0.25">
      <c r="A241" s="18">
        <v>245</v>
      </c>
      <c r="B241" s="19">
        <v>46028</v>
      </c>
      <c r="C241" s="19">
        <v>46028</v>
      </c>
      <c r="D241" s="20">
        <v>260106030</v>
      </c>
      <c r="E241" s="21" t="s">
        <v>483</v>
      </c>
      <c r="F241" s="21" t="s">
        <v>484</v>
      </c>
      <c r="G241" s="21">
        <v>55</v>
      </c>
      <c r="H241" s="44">
        <v>115</v>
      </c>
      <c r="I241" s="23" t="s">
        <v>33</v>
      </c>
      <c r="J241" s="24" t="s">
        <v>23</v>
      </c>
      <c r="K241" s="35" t="s">
        <v>31</v>
      </c>
      <c r="L241" s="25" t="s">
        <v>51</v>
      </c>
      <c r="M241" s="21" t="s">
        <v>35</v>
      </c>
      <c r="N241" s="37">
        <v>50.62</v>
      </c>
      <c r="O241" s="37">
        <v>11.44</v>
      </c>
      <c r="P241" s="26">
        <f t="shared" si="30"/>
        <v>39.18</v>
      </c>
      <c r="Q241" s="27">
        <v>445</v>
      </c>
      <c r="R241" s="28">
        <f t="shared" si="34"/>
        <v>17435.099999999999</v>
      </c>
      <c r="S241" s="27"/>
      <c r="T241" s="29"/>
      <c r="V241" s="29" t="s">
        <v>24</v>
      </c>
      <c r="W241" s="27">
        <v>145</v>
      </c>
      <c r="X241" s="30">
        <f t="shared" si="31"/>
        <v>5681.1</v>
      </c>
      <c r="Y241" s="31">
        <v>260</v>
      </c>
      <c r="Z241" s="31">
        <f t="shared" si="32"/>
        <v>10186.799999999999</v>
      </c>
      <c r="AA241" s="29">
        <f t="shared" si="33"/>
        <v>33303</v>
      </c>
    </row>
    <row r="242" spans="1:27" s="32" customFormat="1" x14ac:dyDescent="0.25">
      <c r="A242" s="18">
        <v>246</v>
      </c>
      <c r="B242" s="19">
        <v>46028</v>
      </c>
      <c r="C242" s="19">
        <v>46028</v>
      </c>
      <c r="D242" s="20">
        <v>260106029</v>
      </c>
      <c r="E242" s="21" t="s">
        <v>485</v>
      </c>
      <c r="F242" s="21" t="s">
        <v>486</v>
      </c>
      <c r="G242" s="21">
        <v>62</v>
      </c>
      <c r="H242" s="44">
        <v>115</v>
      </c>
      <c r="I242" s="23" t="s">
        <v>33</v>
      </c>
      <c r="J242" s="24" t="s">
        <v>23</v>
      </c>
      <c r="K242" s="35" t="s">
        <v>31</v>
      </c>
      <c r="L242" s="25" t="s">
        <v>206</v>
      </c>
      <c r="M242" s="21" t="s">
        <v>34</v>
      </c>
      <c r="N242" s="37">
        <v>79.72</v>
      </c>
      <c r="O242" s="37">
        <v>17.2</v>
      </c>
      <c r="P242" s="26">
        <f t="shared" si="30"/>
        <v>62.519999999999996</v>
      </c>
      <c r="Q242" s="27">
        <v>545</v>
      </c>
      <c r="R242" s="28">
        <f t="shared" si="34"/>
        <v>34073.4</v>
      </c>
      <c r="S242" s="27"/>
      <c r="T242" s="29"/>
      <c r="V242" s="29" t="s">
        <v>24</v>
      </c>
      <c r="W242" s="27">
        <v>145</v>
      </c>
      <c r="X242" s="30">
        <f t="shared" si="31"/>
        <v>9065.4</v>
      </c>
      <c r="Y242" s="31">
        <v>260</v>
      </c>
      <c r="Z242" s="31">
        <f t="shared" si="32"/>
        <v>16255.199999999999</v>
      </c>
      <c r="AA242" s="29">
        <f t="shared" si="33"/>
        <v>59394</v>
      </c>
    </row>
    <row r="243" spans="1:27" s="32" customFormat="1" x14ac:dyDescent="0.25">
      <c r="A243" s="18">
        <v>247</v>
      </c>
      <c r="B243" s="19">
        <v>46028</v>
      </c>
      <c r="C243" s="19">
        <v>46028</v>
      </c>
      <c r="D243" s="20">
        <v>260106032</v>
      </c>
      <c r="E243" s="21" t="s">
        <v>487</v>
      </c>
      <c r="F243" s="21" t="s">
        <v>488</v>
      </c>
      <c r="G243" s="21">
        <v>45</v>
      </c>
      <c r="H243" s="44">
        <v>115</v>
      </c>
      <c r="I243" s="23" t="s">
        <v>33</v>
      </c>
      <c r="J243" s="24" t="s">
        <v>23</v>
      </c>
      <c r="K243" s="35" t="s">
        <v>31</v>
      </c>
      <c r="L243" s="25" t="s">
        <v>41</v>
      </c>
      <c r="M243" s="21" t="s">
        <v>34</v>
      </c>
      <c r="N243" s="37">
        <v>61.66</v>
      </c>
      <c r="O243" s="37">
        <v>15.76</v>
      </c>
      <c r="P243" s="26">
        <f t="shared" si="30"/>
        <v>45.9</v>
      </c>
      <c r="Q243" s="27">
        <v>545</v>
      </c>
      <c r="R243" s="28">
        <f t="shared" si="34"/>
        <v>25015.5</v>
      </c>
      <c r="S243" s="27"/>
      <c r="T243" s="29"/>
      <c r="V243" s="29" t="s">
        <v>24</v>
      </c>
      <c r="W243" s="27">
        <v>145</v>
      </c>
      <c r="X243" s="30">
        <f t="shared" si="31"/>
        <v>6655.5</v>
      </c>
      <c r="Y243" s="31">
        <v>260</v>
      </c>
      <c r="Z243" s="31">
        <f t="shared" si="32"/>
        <v>11934</v>
      </c>
      <c r="AA243" s="29">
        <f t="shared" si="33"/>
        <v>43605</v>
      </c>
    </row>
    <row r="244" spans="1:27" s="32" customFormat="1" x14ac:dyDescent="0.25">
      <c r="A244" s="18">
        <v>248</v>
      </c>
      <c r="B244" s="19">
        <v>46028</v>
      </c>
      <c r="C244" s="19">
        <v>46028</v>
      </c>
      <c r="D244" s="20">
        <v>260106031</v>
      </c>
      <c r="E244" s="21" t="s">
        <v>489</v>
      </c>
      <c r="F244" s="21" t="s">
        <v>490</v>
      </c>
      <c r="G244" s="21">
        <v>44</v>
      </c>
      <c r="H244" s="44">
        <v>115</v>
      </c>
      <c r="I244" s="23" t="s">
        <v>33</v>
      </c>
      <c r="J244" s="24" t="s">
        <v>23</v>
      </c>
      <c r="K244" s="35" t="s">
        <v>31</v>
      </c>
      <c r="L244" s="25" t="s">
        <v>62</v>
      </c>
      <c r="M244" s="21" t="s">
        <v>32</v>
      </c>
      <c r="N244" s="37">
        <v>59.52</v>
      </c>
      <c r="O244" s="37">
        <v>15.42</v>
      </c>
      <c r="P244" s="26">
        <f t="shared" si="30"/>
        <v>44.1</v>
      </c>
      <c r="Q244" s="27">
        <v>315</v>
      </c>
      <c r="R244" s="28">
        <f t="shared" si="34"/>
        <v>13891.5</v>
      </c>
      <c r="S244" s="27"/>
      <c r="T244" s="29"/>
      <c r="V244" s="29" t="s">
        <v>24</v>
      </c>
      <c r="W244" s="27">
        <v>145</v>
      </c>
      <c r="X244" s="30">
        <f t="shared" si="31"/>
        <v>6394.5</v>
      </c>
      <c r="Y244" s="31">
        <v>260</v>
      </c>
      <c r="Z244" s="31">
        <f t="shared" si="32"/>
        <v>11466</v>
      </c>
      <c r="AA244" s="29">
        <f t="shared" si="33"/>
        <v>31752</v>
      </c>
    </row>
    <row r="245" spans="1:27" s="38" customFormat="1" x14ac:dyDescent="0.25">
      <c r="A245" s="18">
        <v>249</v>
      </c>
      <c r="B245" s="19">
        <v>46028</v>
      </c>
      <c r="C245" s="19">
        <v>46028</v>
      </c>
      <c r="D245" s="20">
        <v>260106033</v>
      </c>
      <c r="E245" s="21" t="s">
        <v>491</v>
      </c>
      <c r="F245" s="21" t="s">
        <v>492</v>
      </c>
      <c r="G245" s="21">
        <v>51</v>
      </c>
      <c r="H245" s="44">
        <v>115</v>
      </c>
      <c r="I245" s="23" t="s">
        <v>33</v>
      </c>
      <c r="J245" s="24" t="s">
        <v>23</v>
      </c>
      <c r="K245" s="35" t="s">
        <v>31</v>
      </c>
      <c r="L245" s="50" t="s">
        <v>50</v>
      </c>
      <c r="M245" s="21" t="s">
        <v>35</v>
      </c>
      <c r="N245" s="37">
        <v>68.38</v>
      </c>
      <c r="O245" s="37">
        <v>16.66</v>
      </c>
      <c r="P245" s="26">
        <f t="shared" si="30"/>
        <v>51.72</v>
      </c>
      <c r="Q245" s="27">
        <v>445</v>
      </c>
      <c r="R245" s="28">
        <f t="shared" si="34"/>
        <v>23015.399999999998</v>
      </c>
      <c r="S245" s="27"/>
      <c r="T245" s="29"/>
      <c r="V245" s="29" t="s">
        <v>24</v>
      </c>
      <c r="W245" s="27">
        <v>145</v>
      </c>
      <c r="X245" s="30">
        <f t="shared" si="31"/>
        <v>7499.4</v>
      </c>
      <c r="Y245" s="31">
        <v>260</v>
      </c>
      <c r="Z245" s="31">
        <f t="shared" si="32"/>
        <v>13447.199999999999</v>
      </c>
      <c r="AA245" s="29">
        <f t="shared" si="33"/>
        <v>43961.999999999993</v>
      </c>
    </row>
    <row r="246" spans="1:27" s="38" customFormat="1" x14ac:dyDescent="0.25">
      <c r="A246" s="18">
        <v>250</v>
      </c>
      <c r="B246" s="19">
        <v>46028</v>
      </c>
      <c r="C246" s="19">
        <v>46028</v>
      </c>
      <c r="D246" s="20">
        <v>260106034</v>
      </c>
      <c r="E246" s="21" t="s">
        <v>493</v>
      </c>
      <c r="F246" s="21" t="s">
        <v>494</v>
      </c>
      <c r="G246" s="21">
        <v>50</v>
      </c>
      <c r="H246" s="36">
        <v>131</v>
      </c>
      <c r="I246" s="23" t="s">
        <v>64</v>
      </c>
      <c r="J246" s="24" t="s">
        <v>23</v>
      </c>
      <c r="K246" s="23" t="s">
        <v>31</v>
      </c>
      <c r="L246" s="20" t="s">
        <v>55</v>
      </c>
      <c r="M246" s="21" t="s">
        <v>34</v>
      </c>
      <c r="N246" s="37">
        <v>68.819999999999993</v>
      </c>
      <c r="O246" s="37">
        <v>18.78</v>
      </c>
      <c r="P246" s="26">
        <f t="shared" si="30"/>
        <v>50.039999999999992</v>
      </c>
      <c r="Q246" s="27">
        <v>535</v>
      </c>
      <c r="R246" s="28">
        <f t="shared" si="34"/>
        <v>26771.399999999994</v>
      </c>
      <c r="S246" s="27"/>
      <c r="T246" s="29"/>
      <c r="V246" s="29" t="s">
        <v>24</v>
      </c>
      <c r="W246" s="27">
        <v>145</v>
      </c>
      <c r="X246" s="30">
        <f t="shared" si="31"/>
        <v>7255.7999999999993</v>
      </c>
      <c r="Y246" s="31">
        <v>200</v>
      </c>
      <c r="Z246" s="31">
        <f t="shared" si="32"/>
        <v>10007.999999999998</v>
      </c>
      <c r="AA246" s="29">
        <f t="shared" si="33"/>
        <v>44035.199999999997</v>
      </c>
    </row>
    <row r="247" spans="1:27" s="32" customFormat="1" x14ac:dyDescent="0.25">
      <c r="A247" s="18">
        <v>251</v>
      </c>
      <c r="B247" s="19">
        <v>46028</v>
      </c>
      <c r="C247" s="19">
        <v>46028</v>
      </c>
      <c r="D247" s="20">
        <v>260106035</v>
      </c>
      <c r="E247" s="21" t="s">
        <v>495</v>
      </c>
      <c r="F247" s="21" t="s">
        <v>496</v>
      </c>
      <c r="G247" s="21">
        <v>45</v>
      </c>
      <c r="H247" s="36">
        <v>131</v>
      </c>
      <c r="I247" s="23" t="s">
        <v>64</v>
      </c>
      <c r="J247" s="24" t="s">
        <v>23</v>
      </c>
      <c r="K247" s="23" t="s">
        <v>31</v>
      </c>
      <c r="L247" s="50" t="s">
        <v>37</v>
      </c>
      <c r="M247" s="21" t="s">
        <v>34</v>
      </c>
      <c r="N247" s="37">
        <v>60.86</v>
      </c>
      <c r="O247" s="37">
        <v>15.72</v>
      </c>
      <c r="P247" s="26">
        <f t="shared" si="30"/>
        <v>45.14</v>
      </c>
      <c r="Q247" s="27">
        <v>535</v>
      </c>
      <c r="R247" s="28">
        <f t="shared" si="34"/>
        <v>24149.9</v>
      </c>
      <c r="S247" s="27"/>
      <c r="T247" s="29"/>
      <c r="V247" s="29" t="s">
        <v>24</v>
      </c>
      <c r="W247" s="27">
        <v>145</v>
      </c>
      <c r="X247" s="30">
        <f t="shared" si="31"/>
        <v>6545.3</v>
      </c>
      <c r="Y247" s="31">
        <v>200</v>
      </c>
      <c r="Z247" s="31">
        <f t="shared" si="32"/>
        <v>9028</v>
      </c>
      <c r="AA247" s="29">
        <f t="shared" si="33"/>
        <v>39723.199999999997</v>
      </c>
    </row>
    <row r="248" spans="1:27" s="32" customFormat="1" x14ac:dyDescent="0.25">
      <c r="A248" s="18">
        <v>252</v>
      </c>
      <c r="B248" s="19">
        <v>46028</v>
      </c>
      <c r="C248" s="19">
        <v>46028</v>
      </c>
      <c r="D248" s="20">
        <v>260106036</v>
      </c>
      <c r="E248" s="21" t="s">
        <v>497</v>
      </c>
      <c r="F248" s="21" t="s">
        <v>498</v>
      </c>
      <c r="G248" s="21">
        <v>49</v>
      </c>
      <c r="H248" s="44">
        <v>115</v>
      </c>
      <c r="I248" s="23" t="s">
        <v>33</v>
      </c>
      <c r="J248" s="24" t="s">
        <v>23</v>
      </c>
      <c r="K248" s="35" t="s">
        <v>31</v>
      </c>
      <c r="L248" s="25" t="s">
        <v>66</v>
      </c>
      <c r="M248" s="21" t="s">
        <v>32</v>
      </c>
      <c r="N248" s="37">
        <v>64.5</v>
      </c>
      <c r="O248" s="37">
        <v>15.48</v>
      </c>
      <c r="P248" s="26">
        <f t="shared" si="30"/>
        <v>49.019999999999996</v>
      </c>
      <c r="Q248" s="27">
        <v>315</v>
      </c>
      <c r="R248" s="28">
        <f t="shared" si="34"/>
        <v>15441.3</v>
      </c>
      <c r="S248" s="27"/>
      <c r="T248" s="29"/>
      <c r="V248" s="29" t="s">
        <v>24</v>
      </c>
      <c r="W248" s="27">
        <v>145</v>
      </c>
      <c r="X248" s="30">
        <f t="shared" si="31"/>
        <v>7107.9</v>
      </c>
      <c r="Y248" s="31">
        <v>260</v>
      </c>
      <c r="Z248" s="31">
        <f t="shared" si="32"/>
        <v>12745.199999999999</v>
      </c>
      <c r="AA248" s="29">
        <f t="shared" si="33"/>
        <v>35294.399999999994</v>
      </c>
    </row>
    <row r="249" spans="1:27" s="32" customFormat="1" x14ac:dyDescent="0.25">
      <c r="A249" s="18">
        <v>253</v>
      </c>
      <c r="B249" s="19">
        <v>46028</v>
      </c>
      <c r="C249" s="19">
        <v>46029</v>
      </c>
      <c r="D249" s="69">
        <v>260107001</v>
      </c>
      <c r="E249" s="21" t="s">
        <v>499</v>
      </c>
      <c r="F249" s="21" t="s">
        <v>500</v>
      </c>
      <c r="G249" s="21">
        <v>48</v>
      </c>
      <c r="H249" s="48">
        <v>53</v>
      </c>
      <c r="I249" s="52" t="s">
        <v>57</v>
      </c>
      <c r="J249" s="49" t="s">
        <v>23</v>
      </c>
      <c r="K249" s="23" t="s">
        <v>31</v>
      </c>
      <c r="L249" s="20" t="s">
        <v>59</v>
      </c>
      <c r="M249" s="21" t="s">
        <v>49</v>
      </c>
      <c r="N249" s="37">
        <v>65.239999999999995</v>
      </c>
      <c r="O249" s="37">
        <v>16.38</v>
      </c>
      <c r="P249" s="26">
        <f t="shared" si="30"/>
        <v>48.86</v>
      </c>
      <c r="Q249" s="27">
        <v>245</v>
      </c>
      <c r="R249" s="28">
        <f t="shared" si="34"/>
        <v>11970.7</v>
      </c>
      <c r="S249" s="27"/>
      <c r="T249" s="29"/>
      <c r="V249" s="29" t="s">
        <v>24</v>
      </c>
      <c r="W249" s="27">
        <v>145</v>
      </c>
      <c r="X249" s="30">
        <f t="shared" si="31"/>
        <v>7084.7</v>
      </c>
      <c r="Y249" s="31">
        <v>210</v>
      </c>
      <c r="Z249" s="31">
        <f t="shared" si="32"/>
        <v>10260.6</v>
      </c>
      <c r="AA249" s="29">
        <f t="shared" si="33"/>
        <v>29316</v>
      </c>
    </row>
    <row r="250" spans="1:27" s="32" customFormat="1" x14ac:dyDescent="0.25">
      <c r="A250" s="18">
        <v>254</v>
      </c>
      <c r="B250" s="19">
        <v>46028</v>
      </c>
      <c r="C250" s="19">
        <v>46029</v>
      </c>
      <c r="D250" s="20">
        <v>260107002</v>
      </c>
      <c r="E250" s="21" t="s">
        <v>501</v>
      </c>
      <c r="F250" s="21" t="s">
        <v>502</v>
      </c>
      <c r="G250" s="21">
        <v>46</v>
      </c>
      <c r="H250" s="48">
        <v>53</v>
      </c>
      <c r="I250" s="52" t="s">
        <v>57</v>
      </c>
      <c r="J250" s="49" t="s">
        <v>23</v>
      </c>
      <c r="K250" s="23" t="s">
        <v>31</v>
      </c>
      <c r="L250" s="20" t="s">
        <v>46</v>
      </c>
      <c r="M250" s="21" t="s">
        <v>63</v>
      </c>
      <c r="N250" s="37">
        <v>60.96</v>
      </c>
      <c r="O250" s="37">
        <v>14.86</v>
      </c>
      <c r="P250" s="26">
        <f t="shared" si="30"/>
        <v>46.1</v>
      </c>
      <c r="Q250" s="27">
        <v>425</v>
      </c>
      <c r="R250" s="28">
        <f t="shared" si="34"/>
        <v>19592.5</v>
      </c>
      <c r="S250" s="27"/>
      <c r="T250" s="29"/>
      <c r="V250" s="29" t="s">
        <v>24</v>
      </c>
      <c r="W250" s="27">
        <v>145</v>
      </c>
      <c r="X250" s="30">
        <f t="shared" si="31"/>
        <v>6684.5</v>
      </c>
      <c r="Y250" s="31">
        <v>210</v>
      </c>
      <c r="Z250" s="31">
        <f t="shared" si="32"/>
        <v>9681</v>
      </c>
      <c r="AA250" s="29">
        <f t="shared" si="33"/>
        <v>35958</v>
      </c>
    </row>
    <row r="251" spans="1:27" s="32" customFormat="1" x14ac:dyDescent="0.25">
      <c r="A251" s="18">
        <v>255</v>
      </c>
      <c r="B251" s="19">
        <v>46028</v>
      </c>
      <c r="C251" s="19">
        <v>46029</v>
      </c>
      <c r="D251" s="20">
        <v>260107003</v>
      </c>
      <c r="E251" s="21" t="s">
        <v>503</v>
      </c>
      <c r="F251" s="21" t="s">
        <v>504</v>
      </c>
      <c r="G251" s="21">
        <v>47</v>
      </c>
      <c r="H251" s="48">
        <v>53</v>
      </c>
      <c r="I251" s="52" t="s">
        <v>57</v>
      </c>
      <c r="J251" s="49" t="s">
        <v>23</v>
      </c>
      <c r="K251" s="23" t="s">
        <v>31</v>
      </c>
      <c r="L251" s="20" t="s">
        <v>55</v>
      </c>
      <c r="M251" s="21" t="s">
        <v>63</v>
      </c>
      <c r="N251" s="37">
        <v>66.14</v>
      </c>
      <c r="O251" s="37">
        <v>18.5</v>
      </c>
      <c r="P251" s="26">
        <f t="shared" si="30"/>
        <v>47.64</v>
      </c>
      <c r="Q251" s="27">
        <v>425</v>
      </c>
      <c r="R251" s="28">
        <f t="shared" si="34"/>
        <v>20247</v>
      </c>
      <c r="S251" s="27"/>
      <c r="T251" s="29"/>
      <c r="V251" s="29" t="s">
        <v>24</v>
      </c>
      <c r="W251" s="27">
        <v>145</v>
      </c>
      <c r="X251" s="30">
        <f t="shared" si="31"/>
        <v>6907.8</v>
      </c>
      <c r="Y251" s="31">
        <v>210</v>
      </c>
      <c r="Z251" s="31">
        <f t="shared" si="32"/>
        <v>10004.4</v>
      </c>
      <c r="AA251" s="29">
        <f t="shared" si="33"/>
        <v>37159.199999999997</v>
      </c>
    </row>
    <row r="252" spans="1:27" s="38" customFormat="1" x14ac:dyDescent="0.25">
      <c r="A252" s="18">
        <v>256</v>
      </c>
      <c r="B252" s="19">
        <v>46028</v>
      </c>
      <c r="C252" s="19">
        <v>46029</v>
      </c>
      <c r="D252" s="20">
        <v>260107004</v>
      </c>
      <c r="E252" s="21" t="s">
        <v>505</v>
      </c>
      <c r="F252" s="21" t="s">
        <v>506</v>
      </c>
      <c r="G252" s="21">
        <v>45</v>
      </c>
      <c r="H252" s="48">
        <v>53</v>
      </c>
      <c r="I252" s="52" t="s">
        <v>57</v>
      </c>
      <c r="J252" s="49" t="s">
        <v>23</v>
      </c>
      <c r="K252" s="23" t="s">
        <v>31</v>
      </c>
      <c r="L252" s="25" t="s">
        <v>507</v>
      </c>
      <c r="M252" s="21" t="s">
        <v>63</v>
      </c>
      <c r="N252" s="37">
        <v>60.28</v>
      </c>
      <c r="O252" s="37">
        <v>14.88</v>
      </c>
      <c r="P252" s="26">
        <f t="shared" si="30"/>
        <v>45.4</v>
      </c>
      <c r="Q252" s="27">
        <v>425</v>
      </c>
      <c r="R252" s="28">
        <f t="shared" si="34"/>
        <v>19295</v>
      </c>
      <c r="S252" s="21"/>
      <c r="T252" s="29"/>
      <c r="V252" s="29" t="s">
        <v>24</v>
      </c>
      <c r="W252" s="27">
        <v>145</v>
      </c>
      <c r="X252" s="30">
        <f t="shared" si="31"/>
        <v>6583</v>
      </c>
      <c r="Y252" s="31">
        <v>210</v>
      </c>
      <c r="Z252" s="31">
        <f t="shared" si="32"/>
        <v>9534</v>
      </c>
      <c r="AA252" s="29">
        <f t="shared" si="33"/>
        <v>35412</v>
      </c>
    </row>
    <row r="253" spans="1:27" s="38" customFormat="1" x14ac:dyDescent="0.25">
      <c r="A253" s="18">
        <v>257</v>
      </c>
      <c r="B253" s="19">
        <v>46028</v>
      </c>
      <c r="C253" s="19">
        <v>46029</v>
      </c>
      <c r="D253" s="20">
        <v>260107005</v>
      </c>
      <c r="E253" s="21" t="s">
        <v>508</v>
      </c>
      <c r="F253" s="21" t="s">
        <v>509</v>
      </c>
      <c r="G253" s="21">
        <v>39</v>
      </c>
      <c r="H253" s="48">
        <v>53</v>
      </c>
      <c r="I253" s="52" t="s">
        <v>57</v>
      </c>
      <c r="J253" s="49" t="s">
        <v>23</v>
      </c>
      <c r="K253" s="23" t="s">
        <v>31</v>
      </c>
      <c r="L253" s="25" t="s">
        <v>39</v>
      </c>
      <c r="M253" s="21" t="s">
        <v>49</v>
      </c>
      <c r="N253" s="37">
        <v>51.38</v>
      </c>
      <c r="O253" s="37">
        <v>11.86</v>
      </c>
      <c r="P253" s="26">
        <f t="shared" si="30"/>
        <v>39.520000000000003</v>
      </c>
      <c r="Q253" s="27">
        <v>245</v>
      </c>
      <c r="R253" s="28">
        <f t="shared" si="34"/>
        <v>9682.4000000000015</v>
      </c>
      <c r="S253" s="21"/>
      <c r="T253" s="29"/>
      <c r="V253" s="29" t="s">
        <v>24</v>
      </c>
      <c r="W253" s="27">
        <v>145</v>
      </c>
      <c r="X253" s="30">
        <f t="shared" si="31"/>
        <v>5730.4000000000005</v>
      </c>
      <c r="Y253" s="31">
        <v>210</v>
      </c>
      <c r="Z253" s="31">
        <f t="shared" si="32"/>
        <v>8299.2000000000007</v>
      </c>
      <c r="AA253" s="29">
        <f t="shared" si="33"/>
        <v>23712.000000000004</v>
      </c>
    </row>
    <row r="254" spans="1:27" s="32" customFormat="1" x14ac:dyDescent="0.25">
      <c r="A254" s="18">
        <v>258</v>
      </c>
      <c r="B254" s="19">
        <v>46028</v>
      </c>
      <c r="C254" s="19">
        <v>46029</v>
      </c>
      <c r="D254" s="20">
        <v>260107006</v>
      </c>
      <c r="E254" s="21" t="s">
        <v>510</v>
      </c>
      <c r="F254" s="21" t="s">
        <v>511</v>
      </c>
      <c r="G254" s="21">
        <v>47</v>
      </c>
      <c r="H254" s="48">
        <v>53</v>
      </c>
      <c r="I254" s="52" t="s">
        <v>57</v>
      </c>
      <c r="J254" s="49" t="s">
        <v>23</v>
      </c>
      <c r="K254" s="23" t="s">
        <v>31</v>
      </c>
      <c r="L254" s="25" t="s">
        <v>56</v>
      </c>
      <c r="M254" s="21" t="s">
        <v>49</v>
      </c>
      <c r="N254" s="37">
        <v>66.34</v>
      </c>
      <c r="O254" s="37">
        <v>19.04</v>
      </c>
      <c r="P254" s="26">
        <f t="shared" si="30"/>
        <v>47.300000000000004</v>
      </c>
      <c r="Q254" s="27">
        <v>245</v>
      </c>
      <c r="R254" s="28">
        <f t="shared" si="34"/>
        <v>11588.500000000002</v>
      </c>
      <c r="S254" s="27"/>
      <c r="T254" s="29"/>
      <c r="V254" s="29" t="s">
        <v>24</v>
      </c>
      <c r="W254" s="27">
        <v>145</v>
      </c>
      <c r="X254" s="30">
        <f t="shared" si="31"/>
        <v>6858.5000000000009</v>
      </c>
      <c r="Y254" s="31">
        <v>210</v>
      </c>
      <c r="Z254" s="31">
        <f t="shared" si="32"/>
        <v>9933</v>
      </c>
      <c r="AA254" s="29">
        <f t="shared" si="33"/>
        <v>28380.000000000004</v>
      </c>
    </row>
    <row r="255" spans="1:27" s="38" customFormat="1" x14ac:dyDescent="0.25">
      <c r="A255" s="18">
        <v>259</v>
      </c>
      <c r="B255" s="19">
        <v>46028</v>
      </c>
      <c r="C255" s="19">
        <v>46029</v>
      </c>
      <c r="D255" s="20">
        <v>260107007</v>
      </c>
      <c r="E255" s="21" t="s">
        <v>512</v>
      </c>
      <c r="F255" s="21" t="s">
        <v>513</v>
      </c>
      <c r="G255" s="21">
        <v>48</v>
      </c>
      <c r="H255" s="48">
        <v>53</v>
      </c>
      <c r="I255" s="52" t="s">
        <v>57</v>
      </c>
      <c r="J255" s="49" t="s">
        <v>23</v>
      </c>
      <c r="K255" s="23" t="s">
        <v>31</v>
      </c>
      <c r="L255" s="25" t="s">
        <v>401</v>
      </c>
      <c r="M255" s="21" t="s">
        <v>49</v>
      </c>
      <c r="N255" s="37">
        <v>65.900000000000006</v>
      </c>
      <c r="O255" s="37">
        <v>17.760000000000002</v>
      </c>
      <c r="P255" s="26">
        <f t="shared" si="30"/>
        <v>48.14</v>
      </c>
      <c r="Q255" s="27">
        <v>245</v>
      </c>
      <c r="R255" s="28">
        <f t="shared" si="34"/>
        <v>11794.3</v>
      </c>
      <c r="S255" s="27"/>
      <c r="T255" s="29"/>
      <c r="V255" s="29" t="s">
        <v>24</v>
      </c>
      <c r="W255" s="27">
        <v>145</v>
      </c>
      <c r="X255" s="30">
        <f t="shared" si="31"/>
        <v>6980.3</v>
      </c>
      <c r="Y255" s="31">
        <v>210</v>
      </c>
      <c r="Z255" s="31">
        <f t="shared" si="32"/>
        <v>10109.4</v>
      </c>
      <c r="AA255" s="29">
        <f t="shared" si="33"/>
        <v>28884</v>
      </c>
    </row>
    <row r="256" spans="1:27" s="32" customFormat="1" x14ac:dyDescent="0.25">
      <c r="A256" s="18">
        <v>260</v>
      </c>
      <c r="B256" s="19">
        <v>46028</v>
      </c>
      <c r="C256" s="19">
        <v>46029</v>
      </c>
      <c r="D256" s="20">
        <v>260107008</v>
      </c>
      <c r="E256" s="21" t="s">
        <v>514</v>
      </c>
      <c r="F256" s="21" t="s">
        <v>515</v>
      </c>
      <c r="G256" s="21">
        <v>37</v>
      </c>
      <c r="H256" s="48">
        <v>53</v>
      </c>
      <c r="I256" s="52" t="s">
        <v>57</v>
      </c>
      <c r="J256" s="49" t="s">
        <v>23</v>
      </c>
      <c r="K256" s="23" t="s">
        <v>31</v>
      </c>
      <c r="L256" s="25" t="s">
        <v>51</v>
      </c>
      <c r="M256" s="21" t="s">
        <v>49</v>
      </c>
      <c r="N256" s="37">
        <v>49.04</v>
      </c>
      <c r="O256" s="37">
        <v>11.4</v>
      </c>
      <c r="P256" s="26">
        <f t="shared" si="30"/>
        <v>37.64</v>
      </c>
      <c r="Q256" s="27">
        <v>245</v>
      </c>
      <c r="R256" s="28">
        <f t="shared" si="34"/>
        <v>9221.7999999999993</v>
      </c>
      <c r="S256" s="27"/>
      <c r="T256" s="29"/>
      <c r="V256" s="29" t="s">
        <v>24</v>
      </c>
      <c r="W256" s="27">
        <v>145</v>
      </c>
      <c r="X256" s="30">
        <f t="shared" si="31"/>
        <v>5457.8</v>
      </c>
      <c r="Y256" s="31">
        <v>210</v>
      </c>
      <c r="Z256" s="31">
        <f t="shared" si="32"/>
        <v>7904.4000000000005</v>
      </c>
      <c r="AA256" s="29">
        <f t="shared" si="33"/>
        <v>22584</v>
      </c>
    </row>
    <row r="257" spans="1:27" s="38" customFormat="1" x14ac:dyDescent="0.25">
      <c r="A257" s="18">
        <v>261</v>
      </c>
      <c r="B257" s="19">
        <v>46028</v>
      </c>
      <c r="C257" s="19">
        <v>46029</v>
      </c>
      <c r="D257" s="20">
        <v>260107009</v>
      </c>
      <c r="E257" s="21" t="s">
        <v>516</v>
      </c>
      <c r="F257" s="21" t="s">
        <v>517</v>
      </c>
      <c r="G257" s="21">
        <v>47</v>
      </c>
      <c r="H257" s="48">
        <v>53</v>
      </c>
      <c r="I257" s="52" t="s">
        <v>57</v>
      </c>
      <c r="J257" s="49" t="s">
        <v>23</v>
      </c>
      <c r="K257" s="23" t="s">
        <v>31</v>
      </c>
      <c r="L257" s="43" t="s">
        <v>37</v>
      </c>
      <c r="M257" s="21" t="s">
        <v>49</v>
      </c>
      <c r="N257" s="37">
        <v>62.98</v>
      </c>
      <c r="O257" s="37">
        <v>15.7</v>
      </c>
      <c r="P257" s="26">
        <f t="shared" si="30"/>
        <v>47.28</v>
      </c>
      <c r="Q257" s="27">
        <v>245</v>
      </c>
      <c r="R257" s="28">
        <f t="shared" si="34"/>
        <v>11583.6</v>
      </c>
      <c r="S257" s="21"/>
      <c r="T257" s="29"/>
      <c r="V257" s="29" t="s">
        <v>24</v>
      </c>
      <c r="W257" s="27">
        <v>145</v>
      </c>
      <c r="X257" s="30">
        <f t="shared" si="31"/>
        <v>6855.6</v>
      </c>
      <c r="Y257" s="31">
        <v>210</v>
      </c>
      <c r="Z257" s="31">
        <f t="shared" si="32"/>
        <v>9928.8000000000011</v>
      </c>
      <c r="AA257" s="29">
        <f t="shared" si="33"/>
        <v>28368</v>
      </c>
    </row>
    <row r="258" spans="1:27" s="32" customFormat="1" x14ac:dyDescent="0.25">
      <c r="A258" s="18">
        <v>262</v>
      </c>
      <c r="B258" s="19">
        <v>46028</v>
      </c>
      <c r="C258" s="19">
        <v>46029</v>
      </c>
      <c r="D258" s="20">
        <v>260107010</v>
      </c>
      <c r="E258" s="21" t="s">
        <v>518</v>
      </c>
      <c r="F258" s="21" t="s">
        <v>519</v>
      </c>
      <c r="G258" s="21">
        <v>46</v>
      </c>
      <c r="H258" s="48">
        <v>53</v>
      </c>
      <c r="I258" s="52" t="s">
        <v>57</v>
      </c>
      <c r="J258" s="49" t="s">
        <v>23</v>
      </c>
      <c r="K258" s="23" t="s">
        <v>31</v>
      </c>
      <c r="L258" s="25" t="s">
        <v>62</v>
      </c>
      <c r="M258" s="21" t="s">
        <v>63</v>
      </c>
      <c r="N258" s="21">
        <v>61.44</v>
      </c>
      <c r="O258" s="37">
        <v>15.38</v>
      </c>
      <c r="P258" s="26">
        <f t="shared" si="30"/>
        <v>46.059999999999995</v>
      </c>
      <c r="Q258" s="27">
        <v>425</v>
      </c>
      <c r="R258" s="28">
        <f t="shared" si="34"/>
        <v>19575.499999999996</v>
      </c>
      <c r="S258" s="27"/>
      <c r="T258" s="29"/>
      <c r="V258" s="29" t="s">
        <v>24</v>
      </c>
      <c r="W258" s="27">
        <v>145</v>
      </c>
      <c r="X258" s="30">
        <f t="shared" si="31"/>
        <v>6678.6999999999989</v>
      </c>
      <c r="Y258" s="31">
        <v>210</v>
      </c>
      <c r="Z258" s="31">
        <f t="shared" si="32"/>
        <v>9672.5999999999985</v>
      </c>
      <c r="AA258" s="29">
        <f t="shared" si="33"/>
        <v>35926.799999999996</v>
      </c>
    </row>
    <row r="259" spans="1:27" s="32" customFormat="1" x14ac:dyDescent="0.25">
      <c r="A259" s="18">
        <v>263</v>
      </c>
      <c r="B259" s="19">
        <v>46028</v>
      </c>
      <c r="C259" s="19">
        <v>46029</v>
      </c>
      <c r="D259" s="20">
        <v>260107011</v>
      </c>
      <c r="E259" s="21" t="s">
        <v>520</v>
      </c>
      <c r="F259" s="21" t="s">
        <v>521</v>
      </c>
      <c r="G259" s="21">
        <v>50</v>
      </c>
      <c r="H259" s="48">
        <v>53</v>
      </c>
      <c r="I259" s="52" t="s">
        <v>57</v>
      </c>
      <c r="J259" s="49" t="s">
        <v>23</v>
      </c>
      <c r="K259" s="23" t="s">
        <v>31</v>
      </c>
      <c r="L259" s="25" t="s">
        <v>58</v>
      </c>
      <c r="M259" s="21" t="s">
        <v>49</v>
      </c>
      <c r="N259" s="21">
        <v>65.680000000000007</v>
      </c>
      <c r="O259" s="37">
        <v>15.66</v>
      </c>
      <c r="P259" s="26">
        <f t="shared" si="30"/>
        <v>50.02000000000001</v>
      </c>
      <c r="Q259" s="27">
        <v>245</v>
      </c>
      <c r="R259" s="28">
        <f t="shared" si="34"/>
        <v>12254.900000000003</v>
      </c>
      <c r="S259" s="27"/>
      <c r="T259" s="29"/>
      <c r="V259" s="29" t="s">
        <v>24</v>
      </c>
      <c r="W259" s="27">
        <v>145</v>
      </c>
      <c r="X259" s="30">
        <f t="shared" si="31"/>
        <v>7252.9000000000015</v>
      </c>
      <c r="Y259" s="31">
        <v>210</v>
      </c>
      <c r="Z259" s="31">
        <f t="shared" si="32"/>
        <v>10504.200000000003</v>
      </c>
      <c r="AA259" s="29">
        <f t="shared" si="33"/>
        <v>30012.000000000007</v>
      </c>
    </row>
    <row r="260" spans="1:27" s="32" customFormat="1" x14ac:dyDescent="0.25">
      <c r="A260" s="18">
        <v>264</v>
      </c>
      <c r="B260" s="19">
        <v>46028</v>
      </c>
      <c r="C260" s="19">
        <v>46029</v>
      </c>
      <c r="D260" s="20">
        <v>260107013</v>
      </c>
      <c r="E260" s="21" t="s">
        <v>522</v>
      </c>
      <c r="F260" s="21" t="s">
        <v>523</v>
      </c>
      <c r="G260" s="21">
        <v>36</v>
      </c>
      <c r="H260" s="44">
        <v>115</v>
      </c>
      <c r="I260" s="23" t="s">
        <v>33</v>
      </c>
      <c r="J260" s="24" t="s">
        <v>23</v>
      </c>
      <c r="K260" s="35" t="s">
        <v>31</v>
      </c>
      <c r="L260" s="25" t="s">
        <v>124</v>
      </c>
      <c r="M260" s="21" t="s">
        <v>32</v>
      </c>
      <c r="N260" s="37">
        <v>49.68</v>
      </c>
      <c r="O260" s="37">
        <v>12.78</v>
      </c>
      <c r="P260" s="26">
        <f t="shared" si="30"/>
        <v>36.9</v>
      </c>
      <c r="Q260" s="27">
        <v>315</v>
      </c>
      <c r="R260" s="28">
        <f t="shared" si="34"/>
        <v>11623.5</v>
      </c>
      <c r="S260" s="27"/>
      <c r="T260" s="29"/>
      <c r="V260" s="29" t="s">
        <v>24</v>
      </c>
      <c r="W260" s="27">
        <v>145</v>
      </c>
      <c r="X260" s="30">
        <f t="shared" si="31"/>
        <v>5350.5</v>
      </c>
      <c r="Y260" s="31">
        <v>260</v>
      </c>
      <c r="Z260" s="31">
        <f t="shared" si="32"/>
        <v>9594</v>
      </c>
      <c r="AA260" s="29">
        <f t="shared" si="33"/>
        <v>26568</v>
      </c>
    </row>
    <row r="261" spans="1:27" s="32" customFormat="1" x14ac:dyDescent="0.25">
      <c r="A261" s="18">
        <v>265</v>
      </c>
      <c r="B261" s="19">
        <v>46028</v>
      </c>
      <c r="C261" s="19">
        <v>46029</v>
      </c>
      <c r="D261" s="20">
        <v>260107014</v>
      </c>
      <c r="E261" s="21" t="s">
        <v>524</v>
      </c>
      <c r="F261" s="21" t="s">
        <v>525</v>
      </c>
      <c r="G261" s="21">
        <v>62</v>
      </c>
      <c r="H261" s="44">
        <v>115</v>
      </c>
      <c r="I261" s="23" t="s">
        <v>33</v>
      </c>
      <c r="J261" s="24" t="s">
        <v>23</v>
      </c>
      <c r="K261" s="35" t="s">
        <v>31</v>
      </c>
      <c r="L261" s="25" t="s">
        <v>206</v>
      </c>
      <c r="M261" s="21" t="s">
        <v>34</v>
      </c>
      <c r="N261" s="37">
        <v>79.58</v>
      </c>
      <c r="O261" s="37">
        <v>17.18</v>
      </c>
      <c r="P261" s="26">
        <f t="shared" si="30"/>
        <v>62.4</v>
      </c>
      <c r="Q261" s="27">
        <v>545</v>
      </c>
      <c r="R261" s="28">
        <f t="shared" si="34"/>
        <v>34008</v>
      </c>
      <c r="S261" s="27"/>
      <c r="T261" s="29"/>
      <c r="V261" s="29" t="s">
        <v>24</v>
      </c>
      <c r="W261" s="27">
        <v>145</v>
      </c>
      <c r="X261" s="30">
        <f t="shared" si="31"/>
        <v>9048</v>
      </c>
      <c r="Y261" s="31">
        <v>260</v>
      </c>
      <c r="Z261" s="31">
        <f t="shared" si="32"/>
        <v>16224</v>
      </c>
      <c r="AA261" s="29">
        <f t="shared" si="33"/>
        <v>59280</v>
      </c>
    </row>
    <row r="262" spans="1:27" s="32" customFormat="1" x14ac:dyDescent="0.25">
      <c r="A262" s="18">
        <v>266</v>
      </c>
      <c r="B262" s="19">
        <v>46028</v>
      </c>
      <c r="C262" s="19">
        <v>46029</v>
      </c>
      <c r="D262" s="20">
        <v>260107015</v>
      </c>
      <c r="E262" s="21" t="s">
        <v>526</v>
      </c>
      <c r="F262" s="21" t="s">
        <v>527</v>
      </c>
      <c r="G262" s="21">
        <v>38</v>
      </c>
      <c r="H262" s="44">
        <v>115</v>
      </c>
      <c r="I262" s="23" t="s">
        <v>33</v>
      </c>
      <c r="J262" s="24" t="s">
        <v>23</v>
      </c>
      <c r="K262" s="35" t="s">
        <v>31</v>
      </c>
      <c r="L262" s="21" t="s">
        <v>40</v>
      </c>
      <c r="M262" s="21" t="s">
        <v>35</v>
      </c>
      <c r="N262" s="37">
        <v>50.22</v>
      </c>
      <c r="O262" s="37">
        <v>11.38</v>
      </c>
      <c r="P262" s="26">
        <f t="shared" si="30"/>
        <v>38.839999999999996</v>
      </c>
      <c r="Q262" s="27">
        <v>445</v>
      </c>
      <c r="R262" s="28">
        <f t="shared" si="34"/>
        <v>17283.8</v>
      </c>
      <c r="S262" s="27"/>
      <c r="T262" s="29"/>
      <c r="V262" s="29" t="s">
        <v>24</v>
      </c>
      <c r="W262" s="27">
        <v>145</v>
      </c>
      <c r="X262" s="30">
        <f t="shared" si="31"/>
        <v>5631.7999999999993</v>
      </c>
      <c r="Y262" s="31">
        <v>260</v>
      </c>
      <c r="Z262" s="31">
        <f t="shared" si="32"/>
        <v>10098.4</v>
      </c>
      <c r="AA262" s="29">
        <f t="shared" si="33"/>
        <v>33014</v>
      </c>
    </row>
    <row r="263" spans="1:27" s="38" customFormat="1" x14ac:dyDescent="0.25">
      <c r="A263" s="18">
        <v>267</v>
      </c>
      <c r="B263" s="19">
        <v>46028</v>
      </c>
      <c r="C263" s="19">
        <v>46029</v>
      </c>
      <c r="D263" s="20">
        <v>260107016</v>
      </c>
      <c r="E263" s="21" t="s">
        <v>528</v>
      </c>
      <c r="F263" s="21" t="s">
        <v>529</v>
      </c>
      <c r="G263" s="21">
        <v>39</v>
      </c>
      <c r="H263" s="44">
        <v>115</v>
      </c>
      <c r="I263" s="23" t="s">
        <v>33</v>
      </c>
      <c r="J263" s="24" t="s">
        <v>23</v>
      </c>
      <c r="K263" s="35" t="s">
        <v>31</v>
      </c>
      <c r="L263" s="21" t="s">
        <v>42</v>
      </c>
      <c r="M263" s="21" t="s">
        <v>35</v>
      </c>
      <c r="N263" s="37">
        <v>51.5</v>
      </c>
      <c r="O263" s="37">
        <v>11.78</v>
      </c>
      <c r="P263" s="26">
        <f t="shared" si="30"/>
        <v>39.72</v>
      </c>
      <c r="Q263" s="27">
        <v>445</v>
      </c>
      <c r="R263" s="28">
        <f t="shared" si="34"/>
        <v>17675.399999999998</v>
      </c>
      <c r="S263" s="27"/>
      <c r="T263" s="29"/>
      <c r="V263" s="29" t="s">
        <v>24</v>
      </c>
      <c r="W263" s="27">
        <v>145</v>
      </c>
      <c r="X263" s="30">
        <f t="shared" si="31"/>
        <v>5759.4</v>
      </c>
      <c r="Y263" s="31">
        <v>260</v>
      </c>
      <c r="Z263" s="31">
        <f t="shared" si="32"/>
        <v>10327.199999999999</v>
      </c>
      <c r="AA263" s="29">
        <f t="shared" si="33"/>
        <v>33761.999999999993</v>
      </c>
    </row>
    <row r="264" spans="1:27" s="32" customFormat="1" x14ac:dyDescent="0.25">
      <c r="A264" s="18">
        <v>268</v>
      </c>
      <c r="B264" s="19">
        <v>46028</v>
      </c>
      <c r="C264" s="19">
        <v>46029</v>
      </c>
      <c r="D264" s="20">
        <v>260107017</v>
      </c>
      <c r="E264" s="21" t="s">
        <v>530</v>
      </c>
      <c r="F264" s="21" t="s">
        <v>531</v>
      </c>
      <c r="G264" s="21">
        <v>43</v>
      </c>
      <c r="H264" s="44">
        <v>115</v>
      </c>
      <c r="I264" s="23" t="s">
        <v>33</v>
      </c>
      <c r="J264" s="24" t="s">
        <v>23</v>
      </c>
      <c r="K264" s="35" t="s">
        <v>31</v>
      </c>
      <c r="L264" s="47" t="s">
        <v>41</v>
      </c>
      <c r="M264" s="21" t="s">
        <v>32</v>
      </c>
      <c r="N264" s="37">
        <v>60.84</v>
      </c>
      <c r="O264" s="37">
        <v>15.9</v>
      </c>
      <c r="P264" s="26">
        <f t="shared" si="30"/>
        <v>44.940000000000005</v>
      </c>
      <c r="Q264" s="27">
        <v>315</v>
      </c>
      <c r="R264" s="28">
        <f t="shared" si="34"/>
        <v>14156.100000000002</v>
      </c>
      <c r="S264" s="27"/>
      <c r="T264" s="29"/>
      <c r="V264" s="29" t="s">
        <v>24</v>
      </c>
      <c r="W264" s="27">
        <v>145</v>
      </c>
      <c r="X264" s="30">
        <f t="shared" si="31"/>
        <v>6516.3000000000011</v>
      </c>
      <c r="Y264" s="31">
        <v>260</v>
      </c>
      <c r="Z264" s="31">
        <f t="shared" si="32"/>
        <v>11684.400000000001</v>
      </c>
      <c r="AA264" s="29">
        <f t="shared" si="33"/>
        <v>32356.800000000003</v>
      </c>
    </row>
    <row r="265" spans="1:27" s="32" customFormat="1" x14ac:dyDescent="0.25">
      <c r="A265" s="18">
        <v>269</v>
      </c>
      <c r="B265" s="19">
        <v>46028</v>
      </c>
      <c r="C265" s="19">
        <v>46029</v>
      </c>
      <c r="D265" s="20">
        <v>260107018</v>
      </c>
      <c r="E265" s="21" t="s">
        <v>532</v>
      </c>
      <c r="F265" s="21" t="s">
        <v>533</v>
      </c>
      <c r="G265" s="21">
        <v>44</v>
      </c>
      <c r="H265" s="48">
        <v>53</v>
      </c>
      <c r="I265" s="52" t="s">
        <v>57</v>
      </c>
      <c r="J265" s="49" t="s">
        <v>23</v>
      </c>
      <c r="K265" s="23" t="s">
        <v>31</v>
      </c>
      <c r="L265" s="25" t="s">
        <v>534</v>
      </c>
      <c r="M265" s="21" t="s">
        <v>63</v>
      </c>
      <c r="N265" s="37">
        <v>60.26</v>
      </c>
      <c r="O265" s="37">
        <v>15.76</v>
      </c>
      <c r="P265" s="26">
        <f t="shared" si="30"/>
        <v>44.5</v>
      </c>
      <c r="Q265" s="27">
        <v>425</v>
      </c>
      <c r="R265" s="28">
        <f t="shared" si="34"/>
        <v>18912.5</v>
      </c>
      <c r="S265" s="27"/>
      <c r="T265" s="29"/>
      <c r="V265" s="29" t="s">
        <v>24</v>
      </c>
      <c r="W265" s="27">
        <v>145</v>
      </c>
      <c r="X265" s="30">
        <f t="shared" si="31"/>
        <v>6452.5</v>
      </c>
      <c r="Y265" s="31">
        <v>210</v>
      </c>
      <c r="Z265" s="31">
        <f t="shared" si="32"/>
        <v>9345</v>
      </c>
      <c r="AA265" s="29">
        <f t="shared" si="33"/>
        <v>34710</v>
      </c>
    </row>
    <row r="266" spans="1:27" s="32" customFormat="1" x14ac:dyDescent="0.25">
      <c r="A266" s="18">
        <v>270</v>
      </c>
      <c r="B266" s="19">
        <v>46028</v>
      </c>
      <c r="C266" s="19">
        <v>46029</v>
      </c>
      <c r="D266" s="20">
        <v>260107019</v>
      </c>
      <c r="E266" s="21" t="s">
        <v>535</v>
      </c>
      <c r="F266" s="21" t="s">
        <v>536</v>
      </c>
      <c r="G266" s="21">
        <v>46</v>
      </c>
      <c r="H266" s="44">
        <v>115</v>
      </c>
      <c r="I266" s="52" t="s">
        <v>57</v>
      </c>
      <c r="J266" s="24" t="s">
        <v>23</v>
      </c>
      <c r="K266" s="35" t="s">
        <v>31</v>
      </c>
      <c r="L266" s="21" t="s">
        <v>462</v>
      </c>
      <c r="M266" s="21" t="s">
        <v>49</v>
      </c>
      <c r="N266" s="37">
        <v>61.88</v>
      </c>
      <c r="O266" s="37">
        <v>15.66</v>
      </c>
      <c r="P266" s="26">
        <f t="shared" si="30"/>
        <v>46.22</v>
      </c>
      <c r="Q266" s="27">
        <v>245</v>
      </c>
      <c r="R266" s="28">
        <f t="shared" si="34"/>
        <v>11323.9</v>
      </c>
      <c r="S266" s="27"/>
      <c r="T266" s="29"/>
      <c r="V266" s="29" t="s">
        <v>24</v>
      </c>
      <c r="W266" s="27">
        <v>145</v>
      </c>
      <c r="X266" s="30">
        <f t="shared" si="31"/>
        <v>6701.9</v>
      </c>
      <c r="Y266" s="31">
        <v>210</v>
      </c>
      <c r="Z266" s="31">
        <f t="shared" si="32"/>
        <v>9706.1999999999989</v>
      </c>
      <c r="AA266" s="29">
        <f t="shared" si="33"/>
        <v>27732</v>
      </c>
    </row>
    <row r="267" spans="1:27" s="32" customFormat="1" x14ac:dyDescent="0.25">
      <c r="A267" s="18">
        <v>271</v>
      </c>
      <c r="B267" s="19">
        <v>46028</v>
      </c>
      <c r="C267" s="19">
        <v>46029</v>
      </c>
      <c r="D267" s="20">
        <v>260107020</v>
      </c>
      <c r="E267" s="21" t="s">
        <v>537</v>
      </c>
      <c r="F267" s="21" t="s">
        <v>538</v>
      </c>
      <c r="G267" s="21">
        <v>49</v>
      </c>
      <c r="H267" s="44">
        <v>115</v>
      </c>
      <c r="I267" s="23" t="s">
        <v>33</v>
      </c>
      <c r="J267" s="24" t="s">
        <v>23</v>
      </c>
      <c r="K267" s="35" t="s">
        <v>31</v>
      </c>
      <c r="L267" s="21" t="s">
        <v>140</v>
      </c>
      <c r="M267" s="21" t="s">
        <v>35</v>
      </c>
      <c r="N267" s="37">
        <v>66.959999999999994</v>
      </c>
      <c r="O267" s="21">
        <v>17.62</v>
      </c>
      <c r="P267" s="26">
        <f t="shared" si="30"/>
        <v>49.339999999999989</v>
      </c>
      <c r="Q267" s="27">
        <v>445</v>
      </c>
      <c r="R267" s="28">
        <f t="shared" si="34"/>
        <v>21956.299999999996</v>
      </c>
      <c r="S267" s="27"/>
      <c r="T267" s="29"/>
      <c r="V267" s="29" t="s">
        <v>24</v>
      </c>
      <c r="W267" s="27">
        <v>145</v>
      </c>
      <c r="X267" s="30">
        <f t="shared" si="31"/>
        <v>7154.2999999999984</v>
      </c>
      <c r="Y267" s="31">
        <v>260</v>
      </c>
      <c r="Z267" s="31">
        <f t="shared" si="32"/>
        <v>12828.399999999998</v>
      </c>
      <c r="AA267" s="29">
        <f t="shared" si="33"/>
        <v>41938.999999999993</v>
      </c>
    </row>
    <row r="268" spans="1:27" s="38" customFormat="1" x14ac:dyDescent="0.25">
      <c r="A268" s="18">
        <v>272</v>
      </c>
      <c r="B268" s="19">
        <v>46028</v>
      </c>
      <c r="C268" s="19">
        <v>46029</v>
      </c>
      <c r="D268" s="20">
        <v>260107021</v>
      </c>
      <c r="E268" s="21" t="s">
        <v>539</v>
      </c>
      <c r="F268" s="21" t="s">
        <v>540</v>
      </c>
      <c r="G268" s="21">
        <v>43</v>
      </c>
      <c r="H268" s="44">
        <v>115</v>
      </c>
      <c r="I268" s="52" t="s">
        <v>57</v>
      </c>
      <c r="J268" s="24" t="s">
        <v>23</v>
      </c>
      <c r="K268" s="35" t="s">
        <v>31</v>
      </c>
      <c r="L268" s="21" t="s">
        <v>67</v>
      </c>
      <c r="M268" s="21" t="s">
        <v>49</v>
      </c>
      <c r="N268" s="37">
        <v>56.44</v>
      </c>
      <c r="O268" s="37">
        <v>13.34</v>
      </c>
      <c r="P268" s="26">
        <f t="shared" si="30"/>
        <v>43.099999999999994</v>
      </c>
      <c r="Q268" s="27">
        <v>245</v>
      </c>
      <c r="R268" s="28">
        <f t="shared" si="34"/>
        <v>10559.499999999998</v>
      </c>
      <c r="S268" s="27"/>
      <c r="T268" s="29"/>
      <c r="V268" s="29" t="s">
        <v>24</v>
      </c>
      <c r="W268" s="27">
        <v>145</v>
      </c>
      <c r="X268" s="30">
        <f t="shared" si="31"/>
        <v>6249.4999999999991</v>
      </c>
      <c r="Y268" s="31">
        <v>210</v>
      </c>
      <c r="Z268" s="31">
        <f t="shared" si="32"/>
        <v>9050.9999999999982</v>
      </c>
      <c r="AA268" s="29">
        <f t="shared" si="33"/>
        <v>25859.999999999993</v>
      </c>
    </row>
    <row r="269" spans="1:27" s="38" customFormat="1" x14ac:dyDescent="0.25">
      <c r="A269" s="18">
        <v>273</v>
      </c>
      <c r="B269" s="19">
        <v>46028</v>
      </c>
      <c r="C269" s="19">
        <v>46029</v>
      </c>
      <c r="D269" s="20" t="s">
        <v>541</v>
      </c>
      <c r="E269" s="21"/>
      <c r="F269" s="21"/>
      <c r="G269" s="21"/>
      <c r="H269" s="59"/>
      <c r="I269" s="60" t="s">
        <v>201</v>
      </c>
      <c r="J269" s="24" t="s">
        <v>23</v>
      </c>
      <c r="K269" s="35" t="s">
        <v>31</v>
      </c>
      <c r="L269" s="53" t="s">
        <v>335</v>
      </c>
      <c r="M269" s="21" t="s">
        <v>203</v>
      </c>
      <c r="N269" s="37">
        <v>26.82</v>
      </c>
      <c r="O269" s="37">
        <v>14.26</v>
      </c>
      <c r="P269" s="26">
        <f t="shared" si="30"/>
        <v>12.56</v>
      </c>
      <c r="Q269" s="27">
        <v>0</v>
      </c>
      <c r="R269" s="28">
        <f t="shared" si="34"/>
        <v>0</v>
      </c>
      <c r="S269" s="21"/>
      <c r="T269" s="29"/>
      <c r="V269" s="29" t="s">
        <v>24</v>
      </c>
      <c r="W269" s="27"/>
      <c r="X269" s="30">
        <f t="shared" si="31"/>
        <v>0</v>
      </c>
      <c r="Y269" s="31"/>
      <c r="Z269" s="31">
        <f t="shared" si="32"/>
        <v>0</v>
      </c>
      <c r="AA269" s="29">
        <f t="shared" si="33"/>
        <v>0</v>
      </c>
    </row>
    <row r="270" spans="1:27" s="32" customFormat="1" x14ac:dyDescent="0.25">
      <c r="A270" s="18">
        <v>274</v>
      </c>
      <c r="B270" s="19">
        <v>46028</v>
      </c>
      <c r="C270" s="19">
        <v>46029</v>
      </c>
      <c r="D270" s="20" t="s">
        <v>542</v>
      </c>
      <c r="E270" s="21"/>
      <c r="F270" s="21"/>
      <c r="G270" s="21"/>
      <c r="H270" s="66"/>
      <c r="I270" s="60" t="s">
        <v>201</v>
      </c>
      <c r="J270" s="24" t="s">
        <v>23</v>
      </c>
      <c r="K270" s="35" t="s">
        <v>31</v>
      </c>
      <c r="L270" s="21" t="s">
        <v>337</v>
      </c>
      <c r="M270" s="21" t="s">
        <v>203</v>
      </c>
      <c r="N270" s="37">
        <v>28.36</v>
      </c>
      <c r="O270" s="21">
        <v>15.11</v>
      </c>
      <c r="P270" s="26">
        <f t="shared" si="30"/>
        <v>13.25</v>
      </c>
      <c r="Q270" s="27">
        <v>0</v>
      </c>
      <c r="R270" s="28">
        <f t="shared" si="34"/>
        <v>0</v>
      </c>
      <c r="S270" s="27"/>
      <c r="T270" s="29"/>
      <c r="V270" s="29" t="s">
        <v>24</v>
      </c>
      <c r="W270" s="27"/>
      <c r="X270" s="30">
        <f t="shared" si="31"/>
        <v>0</v>
      </c>
      <c r="Y270" s="31"/>
      <c r="Z270" s="31">
        <f t="shared" si="32"/>
        <v>0</v>
      </c>
      <c r="AA270" s="29">
        <f t="shared" si="33"/>
        <v>0</v>
      </c>
    </row>
    <row r="271" spans="1:27" s="32" customFormat="1" x14ac:dyDescent="0.25">
      <c r="A271" s="18">
        <v>275</v>
      </c>
      <c r="B271" s="19">
        <v>46029</v>
      </c>
      <c r="C271" s="19">
        <v>46029</v>
      </c>
      <c r="D271" s="20">
        <v>260107022</v>
      </c>
      <c r="E271" s="21" t="s">
        <v>543</v>
      </c>
      <c r="F271" s="21" t="s">
        <v>544</v>
      </c>
      <c r="G271" s="21">
        <v>42</v>
      </c>
      <c r="H271" s="36">
        <v>122</v>
      </c>
      <c r="I271" s="23" t="s">
        <v>342</v>
      </c>
      <c r="J271" s="24" t="s">
        <v>23</v>
      </c>
      <c r="K271" s="23" t="s">
        <v>31</v>
      </c>
      <c r="L271" s="25" t="s">
        <v>219</v>
      </c>
      <c r="M271" s="21" t="s">
        <v>343</v>
      </c>
      <c r="N271" s="21">
        <v>57.78</v>
      </c>
      <c r="O271" s="21">
        <v>15.5</v>
      </c>
      <c r="P271" s="26">
        <f>N271-O271</f>
        <v>42.28</v>
      </c>
      <c r="Q271" s="27">
        <v>395</v>
      </c>
      <c r="R271" s="28">
        <f>P271*Q271</f>
        <v>16700.600000000002</v>
      </c>
      <c r="S271" s="27"/>
      <c r="T271" s="29"/>
      <c r="V271" s="29" t="s">
        <v>24</v>
      </c>
      <c r="W271" s="27">
        <v>145</v>
      </c>
      <c r="X271" s="30">
        <f t="shared" ref="X271:X302" si="35">W271*P271</f>
        <v>6130.6</v>
      </c>
      <c r="Y271" s="31">
        <v>250</v>
      </c>
      <c r="Z271" s="31">
        <f t="shared" ref="Z271:Z302" si="36">Y271*P271</f>
        <v>10570</v>
      </c>
      <c r="AA271" s="29">
        <f t="shared" ref="AA271:AA302" si="37">R271+X271+Z271</f>
        <v>33401.200000000004</v>
      </c>
    </row>
    <row r="272" spans="1:27" s="32" customFormat="1" x14ac:dyDescent="0.25">
      <c r="A272" s="18">
        <v>276</v>
      </c>
      <c r="B272" s="19">
        <v>46029</v>
      </c>
      <c r="C272" s="19">
        <v>46029</v>
      </c>
      <c r="D272" s="20">
        <v>260107023</v>
      </c>
      <c r="E272" s="21" t="s">
        <v>545</v>
      </c>
      <c r="F272" s="21" t="s">
        <v>546</v>
      </c>
      <c r="G272" s="21">
        <v>32</v>
      </c>
      <c r="H272" s="36">
        <v>122</v>
      </c>
      <c r="I272" s="23" t="s">
        <v>342</v>
      </c>
      <c r="J272" s="24" t="s">
        <v>23</v>
      </c>
      <c r="K272" s="23" t="s">
        <v>31</v>
      </c>
      <c r="L272" s="25" t="s">
        <v>547</v>
      </c>
      <c r="M272" s="21" t="s">
        <v>343</v>
      </c>
      <c r="N272" s="21">
        <v>43.96</v>
      </c>
      <c r="O272" s="21">
        <v>11.36</v>
      </c>
      <c r="P272" s="26">
        <f t="shared" ref="P272:P311" si="38">N272-O272</f>
        <v>32.6</v>
      </c>
      <c r="Q272" s="27">
        <v>395</v>
      </c>
      <c r="R272" s="28">
        <f t="shared" ref="R272:R311" si="39">P272*Q272</f>
        <v>12877</v>
      </c>
      <c r="S272" s="27"/>
      <c r="T272" s="29"/>
      <c r="V272" s="29" t="s">
        <v>24</v>
      </c>
      <c r="W272" s="27">
        <v>145</v>
      </c>
      <c r="X272" s="30">
        <f t="shared" si="35"/>
        <v>4727</v>
      </c>
      <c r="Y272" s="31">
        <v>250</v>
      </c>
      <c r="Z272" s="31">
        <f t="shared" si="36"/>
        <v>8150</v>
      </c>
      <c r="AA272" s="29">
        <f t="shared" si="37"/>
        <v>25754</v>
      </c>
    </row>
    <row r="273" spans="1:38" s="32" customFormat="1" x14ac:dyDescent="0.25">
      <c r="A273" s="18">
        <v>277</v>
      </c>
      <c r="B273" s="19">
        <v>46029</v>
      </c>
      <c r="C273" s="19">
        <v>46029</v>
      </c>
      <c r="D273" s="20">
        <v>260107025</v>
      </c>
      <c r="E273" s="21" t="s">
        <v>548</v>
      </c>
      <c r="F273" s="21" t="s">
        <v>549</v>
      </c>
      <c r="G273" s="21">
        <v>45</v>
      </c>
      <c r="H273" s="44">
        <v>117</v>
      </c>
      <c r="I273" s="45" t="s">
        <v>47</v>
      </c>
      <c r="J273" s="24" t="s">
        <v>23</v>
      </c>
      <c r="K273" s="23" t="s">
        <v>31</v>
      </c>
      <c r="L273" s="25" t="s">
        <v>285</v>
      </c>
      <c r="M273" s="21" t="s">
        <v>34</v>
      </c>
      <c r="N273" s="21">
        <v>60.78</v>
      </c>
      <c r="O273" s="21">
        <v>15.88</v>
      </c>
      <c r="P273" s="26">
        <f t="shared" si="38"/>
        <v>44.9</v>
      </c>
      <c r="Q273" s="27">
        <v>555</v>
      </c>
      <c r="R273" s="28">
        <f t="shared" si="39"/>
        <v>24919.5</v>
      </c>
      <c r="S273" s="27"/>
      <c r="T273" s="29"/>
      <c r="V273" s="29" t="s">
        <v>24</v>
      </c>
      <c r="W273" s="27">
        <v>145</v>
      </c>
      <c r="X273" s="30">
        <f t="shared" si="35"/>
        <v>6510.5</v>
      </c>
      <c r="Y273" s="31">
        <v>230</v>
      </c>
      <c r="Z273" s="31">
        <f t="shared" si="36"/>
        <v>10327</v>
      </c>
      <c r="AA273" s="29">
        <f t="shared" si="37"/>
        <v>41757</v>
      </c>
    </row>
    <row r="274" spans="1:38" s="38" customFormat="1" x14ac:dyDescent="0.25">
      <c r="A274" s="18">
        <v>278</v>
      </c>
      <c r="B274" s="19">
        <v>46029</v>
      </c>
      <c r="C274" s="19">
        <v>46029</v>
      </c>
      <c r="D274" s="20">
        <v>260107024</v>
      </c>
      <c r="E274" s="21" t="s">
        <v>550</v>
      </c>
      <c r="F274" s="21" t="s">
        <v>551</v>
      </c>
      <c r="G274" s="21">
        <v>41</v>
      </c>
      <c r="H274" s="44">
        <v>117</v>
      </c>
      <c r="I274" s="45" t="s">
        <v>47</v>
      </c>
      <c r="J274" s="24" t="s">
        <v>23</v>
      </c>
      <c r="K274" s="23" t="s">
        <v>31</v>
      </c>
      <c r="L274" s="25" t="s">
        <v>69</v>
      </c>
      <c r="M274" s="21" t="s">
        <v>32</v>
      </c>
      <c r="N274" s="21">
        <v>55.18</v>
      </c>
      <c r="O274" s="37">
        <v>14.18</v>
      </c>
      <c r="P274" s="26">
        <f t="shared" si="38"/>
        <v>41</v>
      </c>
      <c r="Q274" s="27">
        <v>335</v>
      </c>
      <c r="R274" s="28">
        <f t="shared" si="39"/>
        <v>13735</v>
      </c>
      <c r="S274" s="27"/>
      <c r="T274" s="29"/>
      <c r="V274" s="29" t="s">
        <v>24</v>
      </c>
      <c r="W274" s="27">
        <v>145</v>
      </c>
      <c r="X274" s="30">
        <f t="shared" si="35"/>
        <v>5945</v>
      </c>
      <c r="Y274" s="31">
        <v>230</v>
      </c>
      <c r="Z274" s="31">
        <f t="shared" si="36"/>
        <v>9430</v>
      </c>
      <c r="AA274" s="29">
        <f t="shared" si="37"/>
        <v>29110</v>
      </c>
    </row>
    <row r="275" spans="1:38" s="32" customFormat="1" x14ac:dyDescent="0.25">
      <c r="A275" s="18">
        <v>279</v>
      </c>
      <c r="B275" s="19">
        <v>46029</v>
      </c>
      <c r="C275" s="19">
        <v>46029</v>
      </c>
      <c r="D275" s="20">
        <v>260107026</v>
      </c>
      <c r="E275" s="21" t="s">
        <v>552</v>
      </c>
      <c r="F275" s="21" t="s">
        <v>553</v>
      </c>
      <c r="G275" s="21">
        <v>13</v>
      </c>
      <c r="H275" s="44">
        <v>96</v>
      </c>
      <c r="I275" s="71" t="s">
        <v>458</v>
      </c>
      <c r="J275" s="65" t="s">
        <v>23</v>
      </c>
      <c r="K275" s="35" t="s">
        <v>31</v>
      </c>
      <c r="L275" s="25" t="s">
        <v>554</v>
      </c>
      <c r="M275" s="21" t="s">
        <v>34</v>
      </c>
      <c r="N275" s="37">
        <v>20.7</v>
      </c>
      <c r="O275" s="21">
        <v>7.48</v>
      </c>
      <c r="P275" s="26">
        <f t="shared" si="38"/>
        <v>13.219999999999999</v>
      </c>
      <c r="Q275" s="27">
        <v>520</v>
      </c>
      <c r="R275" s="28">
        <f t="shared" si="39"/>
        <v>6874.4</v>
      </c>
      <c r="S275" s="27"/>
      <c r="T275" s="29"/>
      <c r="V275" s="29" t="s">
        <v>24</v>
      </c>
      <c r="W275" s="27">
        <v>150</v>
      </c>
      <c r="X275" s="30">
        <f t="shared" si="35"/>
        <v>1982.9999999999998</v>
      </c>
      <c r="Y275" s="31"/>
      <c r="Z275" s="31">
        <f t="shared" si="36"/>
        <v>0</v>
      </c>
      <c r="AA275" s="29">
        <f t="shared" si="37"/>
        <v>8857.4</v>
      </c>
    </row>
    <row r="276" spans="1:38" s="32" customFormat="1" x14ac:dyDescent="0.25">
      <c r="A276" s="18">
        <v>280</v>
      </c>
      <c r="B276" s="19">
        <v>46029</v>
      </c>
      <c r="C276" s="19">
        <v>46029</v>
      </c>
      <c r="D276" s="20" t="s">
        <v>555</v>
      </c>
      <c r="E276" s="21"/>
      <c r="F276" s="21"/>
      <c r="G276" s="21"/>
      <c r="H276" s="66"/>
      <c r="I276" s="52" t="s">
        <v>556</v>
      </c>
      <c r="J276" s="65" t="s">
        <v>23</v>
      </c>
      <c r="K276" s="35" t="s">
        <v>31</v>
      </c>
      <c r="L276" s="25" t="s">
        <v>557</v>
      </c>
      <c r="M276" s="21" t="s">
        <v>35</v>
      </c>
      <c r="N276" s="37">
        <v>14.02</v>
      </c>
      <c r="O276" s="37">
        <v>11.34</v>
      </c>
      <c r="P276" s="26">
        <f t="shared" si="38"/>
        <v>2.6799999999999997</v>
      </c>
      <c r="Q276" s="27">
        <v>0</v>
      </c>
      <c r="R276" s="28">
        <f t="shared" si="39"/>
        <v>0</v>
      </c>
      <c r="S276" s="27"/>
      <c r="T276" s="29"/>
      <c r="V276" s="29" t="s">
        <v>24</v>
      </c>
      <c r="W276" s="27"/>
      <c r="X276" s="30">
        <f t="shared" si="35"/>
        <v>0</v>
      </c>
      <c r="Y276" s="31"/>
      <c r="Z276" s="31">
        <f t="shared" si="36"/>
        <v>0</v>
      </c>
      <c r="AA276" s="29">
        <f t="shared" si="37"/>
        <v>0</v>
      </c>
    </row>
    <row r="277" spans="1:38" s="32" customFormat="1" x14ac:dyDescent="0.25">
      <c r="A277" s="18">
        <v>281</v>
      </c>
      <c r="B277" s="19">
        <v>46029</v>
      </c>
      <c r="C277" s="19">
        <v>46029</v>
      </c>
      <c r="D277" s="20" t="s">
        <v>558</v>
      </c>
      <c r="E277" s="21"/>
      <c r="F277" s="21"/>
      <c r="G277" s="21"/>
      <c r="H277" s="66"/>
      <c r="I277" s="52" t="s">
        <v>559</v>
      </c>
      <c r="J277" s="65" t="s">
        <v>23</v>
      </c>
      <c r="K277" s="35" t="s">
        <v>31</v>
      </c>
      <c r="L277" s="25" t="s">
        <v>409</v>
      </c>
      <c r="M277" s="21" t="s">
        <v>203</v>
      </c>
      <c r="N277" s="37">
        <v>26.64</v>
      </c>
      <c r="O277" s="37">
        <v>14.14</v>
      </c>
      <c r="P277" s="26">
        <f t="shared" si="38"/>
        <v>12.5</v>
      </c>
      <c r="Q277" s="27">
        <v>0</v>
      </c>
      <c r="R277" s="28">
        <f t="shared" si="39"/>
        <v>0</v>
      </c>
      <c r="S277" s="27"/>
      <c r="T277" s="29"/>
      <c r="V277" s="29" t="s">
        <v>24</v>
      </c>
      <c r="W277" s="27"/>
      <c r="X277" s="30">
        <f t="shared" si="35"/>
        <v>0</v>
      </c>
      <c r="Y277" s="31"/>
      <c r="Z277" s="31">
        <f t="shared" si="36"/>
        <v>0</v>
      </c>
      <c r="AA277" s="29">
        <f t="shared" si="37"/>
        <v>0</v>
      </c>
    </row>
    <row r="278" spans="1:38" s="32" customFormat="1" x14ac:dyDescent="0.25">
      <c r="A278" s="18">
        <v>282</v>
      </c>
      <c r="B278" s="19">
        <v>46029</v>
      </c>
      <c r="C278" s="19">
        <v>46029</v>
      </c>
      <c r="D278" s="20" t="s">
        <v>560</v>
      </c>
      <c r="E278" s="21"/>
      <c r="F278" s="21"/>
      <c r="G278" s="21"/>
      <c r="H278" s="66"/>
      <c r="I278" s="52" t="s">
        <v>559</v>
      </c>
      <c r="J278" s="65" t="s">
        <v>23</v>
      </c>
      <c r="K278" s="35" t="s">
        <v>31</v>
      </c>
      <c r="L278" s="25" t="s">
        <v>561</v>
      </c>
      <c r="M278" s="21" t="s">
        <v>203</v>
      </c>
      <c r="N278" s="37">
        <v>25.4</v>
      </c>
      <c r="O278" s="37">
        <v>14.9</v>
      </c>
      <c r="P278" s="26">
        <f t="shared" si="38"/>
        <v>10.499999999999998</v>
      </c>
      <c r="Q278" s="27">
        <v>0</v>
      </c>
      <c r="R278" s="28">
        <f t="shared" si="39"/>
        <v>0</v>
      </c>
      <c r="S278" s="27"/>
      <c r="T278" s="29"/>
      <c r="V278" s="29" t="s">
        <v>24</v>
      </c>
      <c r="W278" s="27"/>
      <c r="X278" s="30">
        <f t="shared" si="35"/>
        <v>0</v>
      </c>
      <c r="Y278" s="31"/>
      <c r="Z278" s="31">
        <f t="shared" si="36"/>
        <v>0</v>
      </c>
      <c r="AA278" s="29">
        <f t="shared" si="37"/>
        <v>0</v>
      </c>
      <c r="AB278" s="40"/>
      <c r="AC278" s="39"/>
      <c r="AD278" s="41"/>
      <c r="AE278" s="42"/>
      <c r="AF278" s="39"/>
      <c r="AG278" s="42"/>
      <c r="AH278" s="39"/>
      <c r="AI278" s="41"/>
      <c r="AJ278" s="39"/>
      <c r="AK278" s="41"/>
      <c r="AL278" s="41"/>
    </row>
    <row r="279" spans="1:38" s="32" customFormat="1" x14ac:dyDescent="0.25">
      <c r="A279" s="18">
        <v>283</v>
      </c>
      <c r="B279" s="19">
        <v>46029</v>
      </c>
      <c r="C279" s="19">
        <v>46029</v>
      </c>
      <c r="D279" s="20" t="s">
        <v>562</v>
      </c>
      <c r="E279" s="21"/>
      <c r="F279" s="21"/>
      <c r="G279" s="21"/>
      <c r="H279" s="33">
        <v>241</v>
      </c>
      <c r="I279" s="23" t="s">
        <v>248</v>
      </c>
      <c r="J279" s="24" t="s">
        <v>23</v>
      </c>
      <c r="K279" s="23" t="s">
        <v>31</v>
      </c>
      <c r="L279" s="25" t="s">
        <v>563</v>
      </c>
      <c r="M279" s="21" t="s">
        <v>34</v>
      </c>
      <c r="N279" s="37">
        <v>45.12</v>
      </c>
      <c r="O279" s="37">
        <v>11.62</v>
      </c>
      <c r="P279" s="26">
        <f t="shared" si="38"/>
        <v>33.5</v>
      </c>
      <c r="Q279" s="27">
        <v>540</v>
      </c>
      <c r="R279" s="28">
        <f t="shared" si="39"/>
        <v>18090</v>
      </c>
      <c r="S279" s="27"/>
      <c r="T279" s="29"/>
      <c r="V279" s="29" t="s">
        <v>24</v>
      </c>
      <c r="W279" s="27"/>
      <c r="X279" s="30">
        <f t="shared" si="35"/>
        <v>0</v>
      </c>
      <c r="Y279" s="31"/>
      <c r="Z279" s="31">
        <f t="shared" si="36"/>
        <v>0</v>
      </c>
      <c r="AA279" s="29">
        <f t="shared" si="37"/>
        <v>18090</v>
      </c>
    </row>
    <row r="280" spans="1:38" s="32" customFormat="1" x14ac:dyDescent="0.25">
      <c r="A280" s="18">
        <v>284</v>
      </c>
      <c r="B280" s="19">
        <v>46029</v>
      </c>
      <c r="C280" s="19">
        <v>46029</v>
      </c>
      <c r="D280" s="20">
        <v>260107027</v>
      </c>
      <c r="E280" s="21" t="s">
        <v>564</v>
      </c>
      <c r="F280" s="21" t="s">
        <v>565</v>
      </c>
      <c r="G280" s="21">
        <v>43</v>
      </c>
      <c r="H280" s="36">
        <v>122</v>
      </c>
      <c r="I280" s="23" t="s">
        <v>342</v>
      </c>
      <c r="J280" s="24" t="s">
        <v>23</v>
      </c>
      <c r="K280" s="23" t="s">
        <v>31</v>
      </c>
      <c r="L280" s="25" t="s">
        <v>54</v>
      </c>
      <c r="M280" s="21" t="s">
        <v>343</v>
      </c>
      <c r="N280" s="37">
        <v>59.7</v>
      </c>
      <c r="O280" s="37">
        <v>15.76</v>
      </c>
      <c r="P280" s="26">
        <f t="shared" si="38"/>
        <v>43.940000000000005</v>
      </c>
      <c r="Q280" s="27">
        <v>395</v>
      </c>
      <c r="R280" s="28">
        <f t="shared" si="39"/>
        <v>17356.300000000003</v>
      </c>
      <c r="S280" s="27"/>
      <c r="T280" s="29"/>
      <c r="V280" s="29" t="s">
        <v>24</v>
      </c>
      <c r="W280" s="27">
        <v>145</v>
      </c>
      <c r="X280" s="30">
        <f t="shared" si="35"/>
        <v>6371.3000000000011</v>
      </c>
      <c r="Y280" s="31">
        <v>250</v>
      </c>
      <c r="Z280" s="31">
        <f t="shared" si="36"/>
        <v>10985.000000000002</v>
      </c>
      <c r="AA280" s="29">
        <f t="shared" si="37"/>
        <v>34712.600000000006</v>
      </c>
    </row>
    <row r="281" spans="1:38" s="32" customFormat="1" x14ac:dyDescent="0.25">
      <c r="A281" s="18">
        <v>285</v>
      </c>
      <c r="B281" s="19">
        <v>46029</v>
      </c>
      <c r="C281" s="19">
        <v>46029</v>
      </c>
      <c r="D281" s="20">
        <v>260107028</v>
      </c>
      <c r="E281" s="21" t="s">
        <v>566</v>
      </c>
      <c r="F281" s="21" t="s">
        <v>567</v>
      </c>
      <c r="G281" s="21">
        <v>48</v>
      </c>
      <c r="H281" s="48">
        <v>53</v>
      </c>
      <c r="I281" s="52" t="s">
        <v>57</v>
      </c>
      <c r="J281" s="49" t="s">
        <v>23</v>
      </c>
      <c r="K281" s="23" t="s">
        <v>31</v>
      </c>
      <c r="L281" s="25" t="s">
        <v>55</v>
      </c>
      <c r="M281" s="21" t="s">
        <v>63</v>
      </c>
      <c r="N281" s="37">
        <v>66.62</v>
      </c>
      <c r="O281" s="37">
        <v>18.18</v>
      </c>
      <c r="P281" s="26">
        <f t="shared" si="38"/>
        <v>48.440000000000005</v>
      </c>
      <c r="Q281" s="27">
        <v>425</v>
      </c>
      <c r="R281" s="28">
        <f t="shared" si="39"/>
        <v>20587.000000000004</v>
      </c>
      <c r="S281" s="27"/>
      <c r="T281" s="29"/>
      <c r="V281" s="29" t="s">
        <v>24</v>
      </c>
      <c r="W281" s="27">
        <v>145</v>
      </c>
      <c r="X281" s="30">
        <f t="shared" si="35"/>
        <v>7023.8000000000011</v>
      </c>
      <c r="Y281" s="31">
        <v>210</v>
      </c>
      <c r="Z281" s="31">
        <f t="shared" si="36"/>
        <v>10172.400000000001</v>
      </c>
      <c r="AA281" s="29">
        <f t="shared" si="37"/>
        <v>37783.200000000004</v>
      </c>
    </row>
    <row r="282" spans="1:38" s="32" customFormat="1" x14ac:dyDescent="0.25">
      <c r="A282" s="18">
        <v>286</v>
      </c>
      <c r="B282" s="19">
        <v>46029</v>
      </c>
      <c r="C282" s="19">
        <v>46029</v>
      </c>
      <c r="D282" s="20">
        <v>260107031</v>
      </c>
      <c r="E282" s="21" t="s">
        <v>568</v>
      </c>
      <c r="F282" s="21" t="s">
        <v>569</v>
      </c>
      <c r="G282" s="21">
        <v>33</v>
      </c>
      <c r="H282" s="48">
        <v>53</v>
      </c>
      <c r="I282" s="52" t="s">
        <v>57</v>
      </c>
      <c r="J282" s="49" t="s">
        <v>23</v>
      </c>
      <c r="K282" s="23" t="s">
        <v>31</v>
      </c>
      <c r="L282" s="25" t="s">
        <v>51</v>
      </c>
      <c r="M282" s="21" t="s">
        <v>63</v>
      </c>
      <c r="N282" s="37">
        <v>44.68</v>
      </c>
      <c r="O282" s="37">
        <v>11.52</v>
      </c>
      <c r="P282" s="26">
        <f t="shared" si="38"/>
        <v>33.159999999999997</v>
      </c>
      <c r="Q282" s="27">
        <v>425</v>
      </c>
      <c r="R282" s="28">
        <f t="shared" si="39"/>
        <v>14092.999999999998</v>
      </c>
      <c r="S282" s="27"/>
      <c r="T282" s="29"/>
      <c r="V282" s="29" t="s">
        <v>24</v>
      </c>
      <c r="W282" s="27">
        <v>145</v>
      </c>
      <c r="X282" s="30">
        <f t="shared" si="35"/>
        <v>4808.2</v>
      </c>
      <c r="Y282" s="31">
        <v>210</v>
      </c>
      <c r="Z282" s="31">
        <f t="shared" si="36"/>
        <v>6963.5999999999995</v>
      </c>
      <c r="AA282" s="29">
        <f t="shared" si="37"/>
        <v>25864.799999999996</v>
      </c>
    </row>
    <row r="283" spans="1:38" s="38" customFormat="1" x14ac:dyDescent="0.25">
      <c r="A283" s="18">
        <v>287</v>
      </c>
      <c r="B283" s="19">
        <v>46029</v>
      </c>
      <c r="C283" s="19">
        <v>46029</v>
      </c>
      <c r="D283" s="20">
        <v>260107031</v>
      </c>
      <c r="E283" s="21" t="s">
        <v>570</v>
      </c>
      <c r="F283" s="21" t="s">
        <v>571</v>
      </c>
      <c r="G283" s="21">
        <v>33</v>
      </c>
      <c r="H283" s="48">
        <v>53</v>
      </c>
      <c r="I283" s="52" t="s">
        <v>57</v>
      </c>
      <c r="J283" s="49" t="s">
        <v>23</v>
      </c>
      <c r="K283" s="23" t="s">
        <v>31</v>
      </c>
      <c r="L283" s="25" t="s">
        <v>39</v>
      </c>
      <c r="M283" s="21" t="s">
        <v>63</v>
      </c>
      <c r="N283" s="37">
        <v>45.06</v>
      </c>
      <c r="O283" s="37">
        <v>11.82</v>
      </c>
      <c r="P283" s="26">
        <f t="shared" si="38"/>
        <v>33.24</v>
      </c>
      <c r="Q283" s="27">
        <v>425</v>
      </c>
      <c r="R283" s="28">
        <f t="shared" si="39"/>
        <v>14127</v>
      </c>
      <c r="S283" s="27"/>
      <c r="T283" s="29"/>
      <c r="V283" s="29" t="s">
        <v>24</v>
      </c>
      <c r="W283" s="27">
        <v>145</v>
      </c>
      <c r="X283" s="30">
        <f t="shared" si="35"/>
        <v>4819.8</v>
      </c>
      <c r="Y283" s="31">
        <v>210</v>
      </c>
      <c r="Z283" s="31">
        <f t="shared" si="36"/>
        <v>6980.4000000000005</v>
      </c>
      <c r="AA283" s="29">
        <f t="shared" si="37"/>
        <v>25927.200000000001</v>
      </c>
    </row>
    <row r="284" spans="1:38" s="38" customFormat="1" x14ac:dyDescent="0.25">
      <c r="A284" s="18">
        <v>288</v>
      </c>
      <c r="B284" s="19">
        <v>46029</v>
      </c>
      <c r="C284" s="19">
        <v>46029</v>
      </c>
      <c r="D284" s="20">
        <v>260107033</v>
      </c>
      <c r="E284" s="21" t="s">
        <v>572</v>
      </c>
      <c r="F284" s="21" t="s">
        <v>573</v>
      </c>
      <c r="G284" s="21">
        <v>44</v>
      </c>
      <c r="H284" s="48">
        <v>53</v>
      </c>
      <c r="I284" s="52" t="s">
        <v>57</v>
      </c>
      <c r="J284" s="49" t="s">
        <v>23</v>
      </c>
      <c r="K284" s="23" t="s">
        <v>31</v>
      </c>
      <c r="L284" s="25" t="s">
        <v>37</v>
      </c>
      <c r="M284" s="21" t="s">
        <v>63</v>
      </c>
      <c r="N284" s="37">
        <v>59.66</v>
      </c>
      <c r="O284" s="37">
        <v>15.52</v>
      </c>
      <c r="P284" s="26">
        <f t="shared" si="38"/>
        <v>44.14</v>
      </c>
      <c r="Q284" s="27">
        <v>425</v>
      </c>
      <c r="R284" s="28">
        <f t="shared" si="39"/>
        <v>18759.5</v>
      </c>
      <c r="S284" s="27"/>
      <c r="T284" s="29"/>
      <c r="V284" s="29" t="s">
        <v>24</v>
      </c>
      <c r="W284" s="27">
        <v>145</v>
      </c>
      <c r="X284" s="30">
        <f t="shared" si="35"/>
        <v>6400.3</v>
      </c>
      <c r="Y284" s="31">
        <v>210</v>
      </c>
      <c r="Z284" s="31">
        <f t="shared" si="36"/>
        <v>9269.4</v>
      </c>
      <c r="AA284" s="29">
        <f t="shared" si="37"/>
        <v>34429.199999999997</v>
      </c>
    </row>
    <row r="285" spans="1:38" s="32" customFormat="1" x14ac:dyDescent="0.25">
      <c r="A285" s="18">
        <v>289</v>
      </c>
      <c r="B285" s="19">
        <v>46029</v>
      </c>
      <c r="C285" s="19">
        <v>46029</v>
      </c>
      <c r="D285" s="20">
        <v>260107032</v>
      </c>
      <c r="E285" s="21" t="s">
        <v>574</v>
      </c>
      <c r="F285" s="21" t="s">
        <v>575</v>
      </c>
      <c r="G285" s="21">
        <v>47</v>
      </c>
      <c r="H285" s="48">
        <v>53</v>
      </c>
      <c r="I285" s="52" t="s">
        <v>57</v>
      </c>
      <c r="J285" s="49" t="s">
        <v>23</v>
      </c>
      <c r="K285" s="23" t="s">
        <v>31</v>
      </c>
      <c r="L285" s="25" t="s">
        <v>59</v>
      </c>
      <c r="M285" s="21" t="s">
        <v>63</v>
      </c>
      <c r="N285" s="37">
        <v>64.3</v>
      </c>
      <c r="O285" s="37">
        <v>16.38</v>
      </c>
      <c r="P285" s="26">
        <f t="shared" si="38"/>
        <v>47.92</v>
      </c>
      <c r="Q285" s="27">
        <v>425</v>
      </c>
      <c r="R285" s="28">
        <f t="shared" si="39"/>
        <v>20366</v>
      </c>
      <c r="S285" s="27"/>
      <c r="T285" s="29"/>
      <c r="V285" s="29" t="s">
        <v>24</v>
      </c>
      <c r="W285" s="27">
        <v>145</v>
      </c>
      <c r="X285" s="30">
        <f t="shared" si="35"/>
        <v>6948.4000000000005</v>
      </c>
      <c r="Y285" s="31">
        <v>210</v>
      </c>
      <c r="Z285" s="31">
        <f t="shared" si="36"/>
        <v>10063.200000000001</v>
      </c>
      <c r="AA285" s="29">
        <f t="shared" si="37"/>
        <v>37377.600000000006</v>
      </c>
    </row>
    <row r="286" spans="1:38" s="32" customFormat="1" x14ac:dyDescent="0.25">
      <c r="A286" s="18">
        <v>290</v>
      </c>
      <c r="B286" s="19">
        <v>46029</v>
      </c>
      <c r="C286" s="19">
        <v>46029</v>
      </c>
      <c r="D286" s="20" t="s">
        <v>576</v>
      </c>
      <c r="E286" s="21"/>
      <c r="F286" s="21"/>
      <c r="G286" s="21"/>
      <c r="H286" s="33">
        <v>102</v>
      </c>
      <c r="I286" s="60" t="s">
        <v>287</v>
      </c>
      <c r="J286" s="34" t="s">
        <v>23</v>
      </c>
      <c r="K286" s="35" t="s">
        <v>31</v>
      </c>
      <c r="L286" s="25" t="s">
        <v>288</v>
      </c>
      <c r="M286" s="21" t="s">
        <v>289</v>
      </c>
      <c r="N286" s="37">
        <v>9.4</v>
      </c>
      <c r="O286" s="37">
        <v>3.54</v>
      </c>
      <c r="P286" s="26">
        <f t="shared" si="38"/>
        <v>5.86</v>
      </c>
      <c r="Q286" s="27">
        <v>140</v>
      </c>
      <c r="R286" s="28">
        <f t="shared" si="39"/>
        <v>820.40000000000009</v>
      </c>
      <c r="S286" s="27"/>
      <c r="T286" s="29"/>
      <c r="V286" s="29" t="s">
        <v>253</v>
      </c>
      <c r="W286" s="27"/>
      <c r="X286" s="30">
        <f t="shared" si="35"/>
        <v>0</v>
      </c>
      <c r="Y286" s="31"/>
      <c r="Z286" s="31">
        <f t="shared" si="36"/>
        <v>0</v>
      </c>
      <c r="AA286" s="29">
        <f t="shared" si="37"/>
        <v>820.40000000000009</v>
      </c>
    </row>
    <row r="287" spans="1:38" s="32" customFormat="1" x14ac:dyDescent="0.25">
      <c r="A287" s="18">
        <v>291</v>
      </c>
      <c r="B287" s="19">
        <v>46029</v>
      </c>
      <c r="C287" s="19">
        <v>46029</v>
      </c>
      <c r="D287" s="20">
        <v>260107035</v>
      </c>
      <c r="E287" s="21" t="s">
        <v>577</v>
      </c>
      <c r="F287" s="21" t="s">
        <v>578</v>
      </c>
      <c r="G287" s="21">
        <v>46</v>
      </c>
      <c r="H287" s="48">
        <v>42</v>
      </c>
      <c r="I287" s="23" t="s">
        <v>44</v>
      </c>
      <c r="J287" s="49" t="s">
        <v>23</v>
      </c>
      <c r="K287" s="23" t="s">
        <v>31</v>
      </c>
      <c r="L287" s="25" t="s">
        <v>50</v>
      </c>
      <c r="M287" s="21" t="s">
        <v>32</v>
      </c>
      <c r="N287" s="37">
        <v>63.5</v>
      </c>
      <c r="O287" s="37">
        <v>16.86</v>
      </c>
      <c r="P287" s="26">
        <f t="shared" si="38"/>
        <v>46.64</v>
      </c>
      <c r="Q287" s="27">
        <v>285</v>
      </c>
      <c r="R287" s="28">
        <f t="shared" si="39"/>
        <v>13292.4</v>
      </c>
      <c r="S287" s="27"/>
      <c r="T287" s="29"/>
      <c r="V287" s="29" t="s">
        <v>24</v>
      </c>
      <c r="W287" s="27">
        <v>145</v>
      </c>
      <c r="X287" s="30">
        <f t="shared" si="35"/>
        <v>6762.8</v>
      </c>
      <c r="Y287" s="31">
        <v>260</v>
      </c>
      <c r="Z287" s="31">
        <f t="shared" si="36"/>
        <v>12126.4</v>
      </c>
      <c r="AA287" s="29">
        <f t="shared" si="37"/>
        <v>32181.599999999999</v>
      </c>
    </row>
    <row r="288" spans="1:38" s="38" customFormat="1" x14ac:dyDescent="0.25">
      <c r="A288" s="18">
        <v>292</v>
      </c>
      <c r="B288" s="19">
        <v>46029</v>
      </c>
      <c r="C288" s="19">
        <v>46029</v>
      </c>
      <c r="D288" s="20">
        <v>260107036</v>
      </c>
      <c r="E288" s="21" t="s">
        <v>579</v>
      </c>
      <c r="F288" s="21" t="s">
        <v>580</v>
      </c>
      <c r="G288" s="21">
        <v>44</v>
      </c>
      <c r="H288" s="48">
        <v>42</v>
      </c>
      <c r="I288" s="23" t="s">
        <v>44</v>
      </c>
      <c r="J288" s="49" t="s">
        <v>23</v>
      </c>
      <c r="K288" s="23" t="s">
        <v>31</v>
      </c>
      <c r="L288" s="50" t="s">
        <v>62</v>
      </c>
      <c r="M288" s="21" t="s">
        <v>32</v>
      </c>
      <c r="N288" s="37">
        <v>59.32</v>
      </c>
      <c r="O288" s="37">
        <v>15.26</v>
      </c>
      <c r="P288" s="26">
        <f t="shared" si="38"/>
        <v>44.06</v>
      </c>
      <c r="Q288" s="27">
        <v>285</v>
      </c>
      <c r="R288" s="28">
        <f t="shared" si="39"/>
        <v>12557.1</v>
      </c>
      <c r="S288" s="27"/>
      <c r="T288" s="29"/>
      <c r="V288" s="29" t="s">
        <v>24</v>
      </c>
      <c r="W288" s="27">
        <v>145</v>
      </c>
      <c r="X288" s="30">
        <f t="shared" si="35"/>
        <v>6388.7000000000007</v>
      </c>
      <c r="Y288" s="31">
        <v>260</v>
      </c>
      <c r="Z288" s="31">
        <f t="shared" si="36"/>
        <v>11455.6</v>
      </c>
      <c r="AA288" s="29">
        <f t="shared" si="37"/>
        <v>30401.4</v>
      </c>
    </row>
    <row r="289" spans="1:27" s="38" customFormat="1" x14ac:dyDescent="0.25">
      <c r="A289" s="18">
        <v>293</v>
      </c>
      <c r="B289" s="19">
        <v>46029</v>
      </c>
      <c r="C289" s="19">
        <v>46029</v>
      </c>
      <c r="D289" s="20">
        <v>260107037</v>
      </c>
      <c r="E289" s="21" t="s">
        <v>581</v>
      </c>
      <c r="F289" s="21" t="s">
        <v>582</v>
      </c>
      <c r="G289" s="21">
        <v>47</v>
      </c>
      <c r="H289" s="48">
        <v>42</v>
      </c>
      <c r="I289" s="23" t="s">
        <v>44</v>
      </c>
      <c r="J289" s="49" t="s">
        <v>23</v>
      </c>
      <c r="K289" s="23" t="s">
        <v>31</v>
      </c>
      <c r="L289" s="20" t="s">
        <v>401</v>
      </c>
      <c r="M289" s="21" t="s">
        <v>35</v>
      </c>
      <c r="N289" s="37">
        <v>64.819999999999993</v>
      </c>
      <c r="O289" s="37">
        <v>17.66</v>
      </c>
      <c r="P289" s="26">
        <f t="shared" si="38"/>
        <v>47.16</v>
      </c>
      <c r="Q289" s="27">
        <v>470</v>
      </c>
      <c r="R289" s="28">
        <f t="shared" si="39"/>
        <v>22165.199999999997</v>
      </c>
      <c r="S289" s="27"/>
      <c r="T289" s="29"/>
      <c r="V289" s="29" t="s">
        <v>24</v>
      </c>
      <c r="W289" s="27">
        <v>145</v>
      </c>
      <c r="X289" s="30">
        <f t="shared" si="35"/>
        <v>6838.2</v>
      </c>
      <c r="Y289" s="31">
        <v>260</v>
      </c>
      <c r="Z289" s="31">
        <f t="shared" si="36"/>
        <v>12261.599999999999</v>
      </c>
      <c r="AA289" s="29">
        <f t="shared" si="37"/>
        <v>41265</v>
      </c>
    </row>
    <row r="290" spans="1:27" s="32" customFormat="1" x14ac:dyDescent="0.25">
      <c r="A290" s="18">
        <v>294</v>
      </c>
      <c r="B290" s="19">
        <v>46029</v>
      </c>
      <c r="C290" s="19">
        <v>46029</v>
      </c>
      <c r="D290" s="20" t="s">
        <v>583</v>
      </c>
      <c r="E290" s="21"/>
      <c r="F290" s="21"/>
      <c r="G290" s="21"/>
      <c r="H290" s="33">
        <v>102</v>
      </c>
      <c r="I290" s="60" t="s">
        <v>287</v>
      </c>
      <c r="J290" s="34" t="s">
        <v>23</v>
      </c>
      <c r="K290" s="35" t="s">
        <v>31</v>
      </c>
      <c r="L290" s="50" t="s">
        <v>584</v>
      </c>
      <c r="M290" s="21" t="s">
        <v>289</v>
      </c>
      <c r="N290" s="37">
        <v>8.84</v>
      </c>
      <c r="O290" s="37">
        <v>3.56</v>
      </c>
      <c r="P290" s="26">
        <f t="shared" si="38"/>
        <v>5.2799999999999994</v>
      </c>
      <c r="Q290" s="27">
        <v>140</v>
      </c>
      <c r="R290" s="28">
        <f t="shared" si="39"/>
        <v>739.19999999999993</v>
      </c>
      <c r="S290" s="27"/>
      <c r="T290" s="29"/>
      <c r="V290" s="29" t="s">
        <v>253</v>
      </c>
      <c r="W290" s="27"/>
      <c r="X290" s="30">
        <f t="shared" si="35"/>
        <v>0</v>
      </c>
      <c r="Y290" s="31"/>
      <c r="Z290" s="31">
        <f t="shared" si="36"/>
        <v>0</v>
      </c>
      <c r="AA290" s="29">
        <f t="shared" si="37"/>
        <v>739.19999999999993</v>
      </c>
    </row>
    <row r="291" spans="1:27" s="32" customFormat="1" x14ac:dyDescent="0.25">
      <c r="A291" s="18">
        <v>295</v>
      </c>
      <c r="B291" s="19">
        <v>46029</v>
      </c>
      <c r="C291" s="19">
        <v>46029</v>
      </c>
      <c r="D291" s="20" t="s">
        <v>585</v>
      </c>
      <c r="E291" s="21"/>
      <c r="F291" s="21"/>
      <c r="G291" s="21"/>
      <c r="H291" s="66"/>
      <c r="I291" s="52" t="s">
        <v>559</v>
      </c>
      <c r="J291" s="65" t="s">
        <v>23</v>
      </c>
      <c r="K291" s="35" t="s">
        <v>31</v>
      </c>
      <c r="L291" s="25" t="s">
        <v>414</v>
      </c>
      <c r="M291" s="21" t="s">
        <v>203</v>
      </c>
      <c r="N291" s="37">
        <v>28.06</v>
      </c>
      <c r="O291" s="37">
        <v>14.2</v>
      </c>
      <c r="P291" s="26">
        <f t="shared" si="38"/>
        <v>13.86</v>
      </c>
      <c r="Q291" s="27">
        <v>0</v>
      </c>
      <c r="R291" s="28">
        <f t="shared" si="39"/>
        <v>0</v>
      </c>
      <c r="S291" s="27"/>
      <c r="T291" s="29"/>
      <c r="V291" s="29" t="s">
        <v>24</v>
      </c>
      <c r="W291" s="27"/>
      <c r="X291" s="30">
        <f t="shared" si="35"/>
        <v>0</v>
      </c>
      <c r="Y291" s="31"/>
      <c r="Z291" s="31">
        <f t="shared" si="36"/>
        <v>0</v>
      </c>
      <c r="AA291" s="29">
        <f t="shared" si="37"/>
        <v>0</v>
      </c>
    </row>
    <row r="292" spans="1:27" s="32" customFormat="1" x14ac:dyDescent="0.25">
      <c r="A292" s="18">
        <v>296</v>
      </c>
      <c r="B292" s="19">
        <v>46029</v>
      </c>
      <c r="C292" s="19">
        <v>46029</v>
      </c>
      <c r="D292" s="20" t="s">
        <v>586</v>
      </c>
      <c r="E292" s="21"/>
      <c r="F292" s="21"/>
      <c r="G292" s="21"/>
      <c r="H292" s="66"/>
      <c r="I292" s="52" t="s">
        <v>559</v>
      </c>
      <c r="J292" s="65" t="s">
        <v>23</v>
      </c>
      <c r="K292" s="35" t="s">
        <v>31</v>
      </c>
      <c r="L292" s="25" t="s">
        <v>561</v>
      </c>
      <c r="M292" s="21" t="s">
        <v>203</v>
      </c>
      <c r="N292" s="37">
        <v>26.14</v>
      </c>
      <c r="O292" s="37">
        <v>14.96</v>
      </c>
      <c r="P292" s="26">
        <f t="shared" si="38"/>
        <v>11.18</v>
      </c>
      <c r="Q292" s="27">
        <v>0</v>
      </c>
      <c r="R292" s="28">
        <f t="shared" si="39"/>
        <v>0</v>
      </c>
      <c r="S292" s="27"/>
      <c r="T292" s="29"/>
      <c r="V292" s="29" t="s">
        <v>24</v>
      </c>
      <c r="W292" s="27"/>
      <c r="X292" s="30">
        <f t="shared" si="35"/>
        <v>0</v>
      </c>
      <c r="Y292" s="31"/>
      <c r="Z292" s="31">
        <f t="shared" si="36"/>
        <v>0</v>
      </c>
      <c r="AA292" s="29">
        <f t="shared" si="37"/>
        <v>0</v>
      </c>
    </row>
    <row r="293" spans="1:27" s="32" customFormat="1" x14ac:dyDescent="0.25">
      <c r="A293" s="18">
        <v>297</v>
      </c>
      <c r="B293" s="19">
        <v>46029</v>
      </c>
      <c r="C293" s="19">
        <v>46029</v>
      </c>
      <c r="D293" s="20" t="s">
        <v>587</v>
      </c>
      <c r="E293" s="21"/>
      <c r="F293" s="21"/>
      <c r="G293" s="21"/>
      <c r="H293" s="66"/>
      <c r="I293" s="52" t="s">
        <v>559</v>
      </c>
      <c r="J293" s="65" t="s">
        <v>23</v>
      </c>
      <c r="K293" s="35" t="s">
        <v>31</v>
      </c>
      <c r="L293" s="20" t="s">
        <v>272</v>
      </c>
      <c r="M293" s="21" t="s">
        <v>203</v>
      </c>
      <c r="N293" s="37">
        <v>24.14</v>
      </c>
      <c r="O293" s="37">
        <v>14.3</v>
      </c>
      <c r="P293" s="26">
        <f t="shared" si="38"/>
        <v>9.84</v>
      </c>
      <c r="Q293" s="27">
        <v>0</v>
      </c>
      <c r="R293" s="28">
        <f t="shared" si="39"/>
        <v>0</v>
      </c>
      <c r="S293" s="27"/>
      <c r="T293" s="29"/>
      <c r="V293" s="29" t="s">
        <v>24</v>
      </c>
      <c r="W293" s="27"/>
      <c r="X293" s="30">
        <f t="shared" si="35"/>
        <v>0</v>
      </c>
      <c r="Y293" s="31"/>
      <c r="Z293" s="31">
        <f t="shared" si="36"/>
        <v>0</v>
      </c>
      <c r="AA293" s="29">
        <f t="shared" si="37"/>
        <v>0</v>
      </c>
    </row>
    <row r="294" spans="1:27" s="32" customFormat="1" x14ac:dyDescent="0.25">
      <c r="A294" s="18">
        <v>298</v>
      </c>
      <c r="B294" s="19">
        <v>46029</v>
      </c>
      <c r="C294" s="19">
        <v>46029</v>
      </c>
      <c r="D294" s="20" t="s">
        <v>588</v>
      </c>
      <c r="E294" s="21"/>
      <c r="F294" s="21"/>
      <c r="G294" s="21"/>
      <c r="H294" s="66"/>
      <c r="I294" s="52" t="s">
        <v>589</v>
      </c>
      <c r="J294" s="65" t="s">
        <v>23</v>
      </c>
      <c r="K294" s="35" t="s">
        <v>31</v>
      </c>
      <c r="L294" s="20" t="s">
        <v>563</v>
      </c>
      <c r="M294" s="21" t="s">
        <v>34</v>
      </c>
      <c r="N294" s="37">
        <v>41.7</v>
      </c>
      <c r="O294" s="37">
        <v>11.68</v>
      </c>
      <c r="P294" s="26">
        <f t="shared" si="38"/>
        <v>30.020000000000003</v>
      </c>
      <c r="Q294" s="27">
        <v>540</v>
      </c>
      <c r="R294" s="28">
        <f t="shared" si="39"/>
        <v>16210.800000000001</v>
      </c>
      <c r="S294" s="27"/>
      <c r="T294" s="29"/>
      <c r="V294" s="29" t="s">
        <v>45</v>
      </c>
      <c r="W294" s="27"/>
      <c r="X294" s="30">
        <f t="shared" si="35"/>
        <v>0</v>
      </c>
      <c r="Y294" s="31"/>
      <c r="Z294" s="31">
        <f t="shared" si="36"/>
        <v>0</v>
      </c>
      <c r="AA294" s="29">
        <f t="shared" si="37"/>
        <v>16210.800000000001</v>
      </c>
    </row>
    <row r="295" spans="1:27" s="38" customFormat="1" x14ac:dyDescent="0.25">
      <c r="A295" s="18">
        <v>299</v>
      </c>
      <c r="B295" s="19">
        <v>46029</v>
      </c>
      <c r="C295" s="19">
        <v>46029</v>
      </c>
      <c r="D295" s="69">
        <v>260107038</v>
      </c>
      <c r="E295" s="21" t="s">
        <v>590</v>
      </c>
      <c r="F295" s="21" t="s">
        <v>591</v>
      </c>
      <c r="G295" s="21">
        <v>43</v>
      </c>
      <c r="H295" s="36">
        <v>133</v>
      </c>
      <c r="I295" s="23" t="s">
        <v>592</v>
      </c>
      <c r="J295" s="24" t="s">
        <v>23</v>
      </c>
      <c r="K295" s="23" t="s">
        <v>31</v>
      </c>
      <c r="L295" s="25" t="s">
        <v>593</v>
      </c>
      <c r="M295" s="21" t="s">
        <v>343</v>
      </c>
      <c r="N295" s="37">
        <v>57.78</v>
      </c>
      <c r="O295" s="37">
        <v>14.1</v>
      </c>
      <c r="P295" s="26">
        <f t="shared" si="38"/>
        <v>43.68</v>
      </c>
      <c r="Q295" s="27">
        <v>455</v>
      </c>
      <c r="R295" s="28">
        <f t="shared" si="39"/>
        <v>19874.400000000001</v>
      </c>
      <c r="S295" s="21"/>
      <c r="T295" s="29"/>
      <c r="V295" s="29" t="s">
        <v>24</v>
      </c>
      <c r="W295" s="27">
        <v>145</v>
      </c>
      <c r="X295" s="30">
        <f t="shared" si="35"/>
        <v>6333.6</v>
      </c>
      <c r="Y295" s="31"/>
      <c r="Z295" s="31">
        <f t="shared" si="36"/>
        <v>0</v>
      </c>
      <c r="AA295" s="29">
        <f t="shared" si="37"/>
        <v>26208</v>
      </c>
    </row>
    <row r="296" spans="1:27" s="38" customFormat="1" x14ac:dyDescent="0.25">
      <c r="A296" s="18">
        <v>300</v>
      </c>
      <c r="B296" s="19">
        <v>46029</v>
      </c>
      <c r="C296" s="19">
        <v>46029</v>
      </c>
      <c r="D296" s="20">
        <v>260107039</v>
      </c>
      <c r="E296" s="21" t="s">
        <v>594</v>
      </c>
      <c r="F296" s="21" t="s">
        <v>595</v>
      </c>
      <c r="G296" s="21">
        <v>44</v>
      </c>
      <c r="H296" s="36">
        <v>133</v>
      </c>
      <c r="I296" s="23" t="s">
        <v>592</v>
      </c>
      <c r="J296" s="24" t="s">
        <v>23</v>
      </c>
      <c r="K296" s="23" t="s">
        <v>31</v>
      </c>
      <c r="L296" s="25" t="s">
        <v>596</v>
      </c>
      <c r="M296" s="21" t="s">
        <v>343</v>
      </c>
      <c r="N296" s="37">
        <v>60.08</v>
      </c>
      <c r="O296" s="37">
        <v>15.46</v>
      </c>
      <c r="P296" s="26">
        <f t="shared" si="38"/>
        <v>44.62</v>
      </c>
      <c r="Q296" s="27">
        <v>455</v>
      </c>
      <c r="R296" s="28">
        <f t="shared" si="39"/>
        <v>20302.099999999999</v>
      </c>
      <c r="S296" s="21"/>
      <c r="T296" s="29"/>
      <c r="V296" s="29" t="s">
        <v>24</v>
      </c>
      <c r="W296" s="27">
        <v>145</v>
      </c>
      <c r="X296" s="30">
        <f t="shared" si="35"/>
        <v>6469.9</v>
      </c>
      <c r="Y296" s="31"/>
      <c r="Z296" s="31">
        <f t="shared" si="36"/>
        <v>0</v>
      </c>
      <c r="AA296" s="29">
        <f t="shared" si="37"/>
        <v>26772</v>
      </c>
    </row>
    <row r="297" spans="1:27" s="32" customFormat="1" x14ac:dyDescent="0.25">
      <c r="A297" s="18">
        <v>301</v>
      </c>
      <c r="B297" s="19">
        <v>46029</v>
      </c>
      <c r="C297" s="19">
        <v>46029</v>
      </c>
      <c r="D297" s="20">
        <v>260107040</v>
      </c>
      <c r="E297" s="21" t="s">
        <v>597</v>
      </c>
      <c r="F297" s="21" t="s">
        <v>598</v>
      </c>
      <c r="G297" s="21">
        <v>39</v>
      </c>
      <c r="H297" s="44">
        <v>115</v>
      </c>
      <c r="I297" s="23" t="s">
        <v>33</v>
      </c>
      <c r="J297" s="24" t="s">
        <v>23</v>
      </c>
      <c r="K297" s="35" t="s">
        <v>31</v>
      </c>
      <c r="L297" s="25" t="s">
        <v>42</v>
      </c>
      <c r="M297" s="21" t="s">
        <v>35</v>
      </c>
      <c r="N297" s="37">
        <v>50.9</v>
      </c>
      <c r="O297" s="37">
        <v>11.82</v>
      </c>
      <c r="P297" s="26">
        <f t="shared" si="38"/>
        <v>39.08</v>
      </c>
      <c r="Q297" s="27">
        <v>445</v>
      </c>
      <c r="R297" s="28">
        <f t="shared" si="39"/>
        <v>17390.599999999999</v>
      </c>
      <c r="S297" s="27"/>
      <c r="T297" s="29"/>
      <c r="V297" s="29" t="s">
        <v>24</v>
      </c>
      <c r="W297" s="27">
        <v>145</v>
      </c>
      <c r="X297" s="30">
        <f t="shared" si="35"/>
        <v>5666.5999999999995</v>
      </c>
      <c r="Y297" s="31">
        <v>260</v>
      </c>
      <c r="Z297" s="31">
        <f t="shared" si="36"/>
        <v>10160.799999999999</v>
      </c>
      <c r="AA297" s="29">
        <f t="shared" si="37"/>
        <v>33218</v>
      </c>
    </row>
    <row r="298" spans="1:27" s="38" customFormat="1" x14ac:dyDescent="0.25">
      <c r="A298" s="18">
        <v>302</v>
      </c>
      <c r="B298" s="19">
        <v>46029</v>
      </c>
      <c r="C298" s="19">
        <v>46029</v>
      </c>
      <c r="D298" s="20">
        <v>260107041</v>
      </c>
      <c r="E298" s="21" t="s">
        <v>599</v>
      </c>
      <c r="F298" s="21" t="s">
        <v>600</v>
      </c>
      <c r="G298" s="21">
        <v>62</v>
      </c>
      <c r="H298" s="44">
        <v>115</v>
      </c>
      <c r="I298" s="23" t="s">
        <v>33</v>
      </c>
      <c r="J298" s="24" t="s">
        <v>23</v>
      </c>
      <c r="K298" s="35" t="s">
        <v>31</v>
      </c>
      <c r="L298" s="25" t="s">
        <v>206</v>
      </c>
      <c r="M298" s="21" t="s">
        <v>34</v>
      </c>
      <c r="N298" s="37">
        <v>79.48</v>
      </c>
      <c r="O298" s="37">
        <v>17.34</v>
      </c>
      <c r="P298" s="26">
        <f t="shared" si="38"/>
        <v>62.14</v>
      </c>
      <c r="Q298" s="27">
        <v>545</v>
      </c>
      <c r="R298" s="28">
        <f t="shared" si="39"/>
        <v>33866.300000000003</v>
      </c>
      <c r="S298" s="27"/>
      <c r="T298" s="29"/>
      <c r="V298" s="29" t="s">
        <v>24</v>
      </c>
      <c r="W298" s="27">
        <v>145</v>
      </c>
      <c r="X298" s="30">
        <f t="shared" si="35"/>
        <v>9010.2999999999993</v>
      </c>
      <c r="Y298" s="31">
        <v>260</v>
      </c>
      <c r="Z298" s="31">
        <f t="shared" si="36"/>
        <v>16156.4</v>
      </c>
      <c r="AA298" s="29">
        <f t="shared" si="37"/>
        <v>59033.000000000007</v>
      </c>
    </row>
    <row r="299" spans="1:27" s="32" customFormat="1" x14ac:dyDescent="0.25">
      <c r="A299" s="18">
        <v>303</v>
      </c>
      <c r="B299" s="19">
        <v>46029</v>
      </c>
      <c r="C299" s="19">
        <v>46029</v>
      </c>
      <c r="D299" s="20">
        <v>260107042</v>
      </c>
      <c r="E299" s="21" t="s">
        <v>601</v>
      </c>
      <c r="F299" s="21" t="s">
        <v>602</v>
      </c>
      <c r="G299" s="21">
        <v>46</v>
      </c>
      <c r="H299" s="44">
        <v>115</v>
      </c>
      <c r="I299" s="23" t="s">
        <v>33</v>
      </c>
      <c r="J299" s="24" t="s">
        <v>23</v>
      </c>
      <c r="K299" s="35" t="s">
        <v>31</v>
      </c>
      <c r="L299" s="25" t="s">
        <v>41</v>
      </c>
      <c r="M299" s="21" t="s">
        <v>34</v>
      </c>
      <c r="N299" s="37">
        <v>62.08</v>
      </c>
      <c r="O299" s="37">
        <v>15.86</v>
      </c>
      <c r="P299" s="26">
        <f t="shared" si="38"/>
        <v>46.22</v>
      </c>
      <c r="Q299" s="27">
        <v>545</v>
      </c>
      <c r="R299" s="28">
        <f t="shared" si="39"/>
        <v>25189.899999999998</v>
      </c>
      <c r="S299" s="27"/>
      <c r="T299" s="29"/>
      <c r="V299" s="29" t="s">
        <v>24</v>
      </c>
      <c r="W299" s="27">
        <v>145</v>
      </c>
      <c r="X299" s="30">
        <f t="shared" si="35"/>
        <v>6701.9</v>
      </c>
      <c r="Y299" s="31">
        <v>260</v>
      </c>
      <c r="Z299" s="31">
        <f t="shared" si="36"/>
        <v>12017.199999999999</v>
      </c>
      <c r="AA299" s="29">
        <f t="shared" si="37"/>
        <v>43908.999999999993</v>
      </c>
    </row>
    <row r="300" spans="1:27" s="38" customFormat="1" x14ac:dyDescent="0.25">
      <c r="A300" s="18">
        <v>304</v>
      </c>
      <c r="B300" s="19">
        <v>46029</v>
      </c>
      <c r="C300" s="19">
        <v>46029</v>
      </c>
      <c r="D300" s="20">
        <v>260107043</v>
      </c>
      <c r="E300" s="21" t="s">
        <v>603</v>
      </c>
      <c r="F300" s="21" t="s">
        <v>604</v>
      </c>
      <c r="G300" s="21">
        <v>39</v>
      </c>
      <c r="H300" s="44">
        <v>115</v>
      </c>
      <c r="I300" s="23" t="s">
        <v>33</v>
      </c>
      <c r="J300" s="24" t="s">
        <v>23</v>
      </c>
      <c r="K300" s="35" t="s">
        <v>31</v>
      </c>
      <c r="L300" s="43" t="s">
        <v>40</v>
      </c>
      <c r="M300" s="21" t="s">
        <v>35</v>
      </c>
      <c r="N300" s="37">
        <v>50.7</v>
      </c>
      <c r="O300" s="37">
        <v>11.56</v>
      </c>
      <c r="P300" s="26">
        <f t="shared" si="38"/>
        <v>39.14</v>
      </c>
      <c r="Q300" s="27">
        <v>445</v>
      </c>
      <c r="R300" s="28">
        <f t="shared" si="39"/>
        <v>17417.3</v>
      </c>
      <c r="S300" s="21"/>
      <c r="T300" s="29"/>
      <c r="V300" s="29" t="s">
        <v>24</v>
      </c>
      <c r="W300" s="27">
        <v>145</v>
      </c>
      <c r="X300" s="30">
        <f t="shared" si="35"/>
        <v>5675.3</v>
      </c>
      <c r="Y300" s="31">
        <v>260</v>
      </c>
      <c r="Z300" s="31">
        <f t="shared" si="36"/>
        <v>10176.4</v>
      </c>
      <c r="AA300" s="29">
        <f t="shared" si="37"/>
        <v>33269</v>
      </c>
    </row>
    <row r="301" spans="1:27" s="32" customFormat="1" x14ac:dyDescent="0.25">
      <c r="A301" s="18">
        <v>305</v>
      </c>
      <c r="B301" s="19">
        <v>46029</v>
      </c>
      <c r="C301" s="19">
        <v>46029</v>
      </c>
      <c r="D301" s="20">
        <v>260107044</v>
      </c>
      <c r="E301" s="21" t="s">
        <v>605</v>
      </c>
      <c r="F301" s="21" t="s">
        <v>606</v>
      </c>
      <c r="G301" s="21">
        <v>49</v>
      </c>
      <c r="H301" s="44">
        <v>115</v>
      </c>
      <c r="I301" s="23" t="s">
        <v>33</v>
      </c>
      <c r="J301" s="24" t="s">
        <v>23</v>
      </c>
      <c r="K301" s="35" t="s">
        <v>31</v>
      </c>
      <c r="L301" s="25" t="s">
        <v>140</v>
      </c>
      <c r="M301" s="21" t="s">
        <v>32</v>
      </c>
      <c r="N301" s="21">
        <v>66.900000000000006</v>
      </c>
      <c r="O301" s="37">
        <v>17.68</v>
      </c>
      <c r="P301" s="26">
        <f t="shared" si="38"/>
        <v>49.220000000000006</v>
      </c>
      <c r="Q301" s="27">
        <v>315</v>
      </c>
      <c r="R301" s="28">
        <f t="shared" si="39"/>
        <v>15504.300000000001</v>
      </c>
      <c r="S301" s="27"/>
      <c r="T301" s="29"/>
      <c r="V301" s="29" t="s">
        <v>24</v>
      </c>
      <c r="W301" s="27">
        <v>145</v>
      </c>
      <c r="X301" s="30">
        <f t="shared" si="35"/>
        <v>7136.9000000000005</v>
      </c>
      <c r="Y301" s="31">
        <v>260</v>
      </c>
      <c r="Z301" s="31">
        <f t="shared" si="36"/>
        <v>12797.2</v>
      </c>
      <c r="AA301" s="29">
        <f t="shared" si="37"/>
        <v>35438.400000000001</v>
      </c>
    </row>
    <row r="302" spans="1:27" s="32" customFormat="1" x14ac:dyDescent="0.25">
      <c r="A302" s="18">
        <v>306</v>
      </c>
      <c r="B302" s="19">
        <v>46029</v>
      </c>
      <c r="C302" s="19">
        <v>46029</v>
      </c>
      <c r="D302" s="20">
        <v>260107045</v>
      </c>
      <c r="E302" s="21" t="s">
        <v>607</v>
      </c>
      <c r="F302" s="21" t="s">
        <v>608</v>
      </c>
      <c r="G302" s="21">
        <v>38</v>
      </c>
      <c r="H302" s="44">
        <v>115</v>
      </c>
      <c r="I302" s="23" t="s">
        <v>33</v>
      </c>
      <c r="J302" s="24" t="s">
        <v>23</v>
      </c>
      <c r="K302" s="35" t="s">
        <v>31</v>
      </c>
      <c r="L302" s="25" t="s">
        <v>39</v>
      </c>
      <c r="M302" s="21" t="s">
        <v>35</v>
      </c>
      <c r="N302" s="21">
        <v>49.84</v>
      </c>
      <c r="O302" s="37">
        <v>11.76</v>
      </c>
      <c r="P302" s="26">
        <f t="shared" si="38"/>
        <v>38.080000000000005</v>
      </c>
      <c r="Q302" s="27">
        <v>445</v>
      </c>
      <c r="R302" s="28">
        <f t="shared" si="39"/>
        <v>16945.600000000002</v>
      </c>
      <c r="S302" s="27"/>
      <c r="T302" s="29"/>
      <c r="V302" s="29" t="s">
        <v>24</v>
      </c>
      <c r="W302" s="27">
        <v>145</v>
      </c>
      <c r="X302" s="30">
        <f t="shared" si="35"/>
        <v>5521.6</v>
      </c>
      <c r="Y302" s="31">
        <v>260</v>
      </c>
      <c r="Z302" s="31">
        <f t="shared" si="36"/>
        <v>9900.8000000000011</v>
      </c>
      <c r="AA302" s="29">
        <f t="shared" si="37"/>
        <v>32368.000000000007</v>
      </c>
    </row>
    <row r="303" spans="1:27" s="32" customFormat="1" x14ac:dyDescent="0.25">
      <c r="A303" s="18">
        <v>307</v>
      </c>
      <c r="B303" s="19">
        <v>46029</v>
      </c>
      <c r="C303" s="19">
        <v>46029</v>
      </c>
      <c r="D303" s="20">
        <v>260107046</v>
      </c>
      <c r="E303" s="21" t="s">
        <v>609</v>
      </c>
      <c r="F303" s="21" t="s">
        <v>610</v>
      </c>
      <c r="G303" s="21">
        <v>37</v>
      </c>
      <c r="H303" s="44">
        <v>115</v>
      </c>
      <c r="I303" s="23" t="s">
        <v>33</v>
      </c>
      <c r="J303" s="24" t="s">
        <v>23</v>
      </c>
      <c r="K303" s="35" t="s">
        <v>31</v>
      </c>
      <c r="L303" s="25" t="s">
        <v>51</v>
      </c>
      <c r="M303" s="21" t="s">
        <v>35</v>
      </c>
      <c r="N303" s="37">
        <v>49.26</v>
      </c>
      <c r="O303" s="37">
        <v>11.44</v>
      </c>
      <c r="P303" s="26">
        <f t="shared" si="38"/>
        <v>37.82</v>
      </c>
      <c r="Q303" s="27">
        <v>445</v>
      </c>
      <c r="R303" s="28">
        <f t="shared" si="39"/>
        <v>16829.900000000001</v>
      </c>
      <c r="S303" s="27"/>
      <c r="T303" s="29"/>
      <c r="V303" s="29" t="s">
        <v>24</v>
      </c>
      <c r="W303" s="27">
        <v>145</v>
      </c>
      <c r="X303" s="30">
        <f t="shared" ref="X303:X319" si="40">W303*P303</f>
        <v>5483.9</v>
      </c>
      <c r="Y303" s="31">
        <v>260</v>
      </c>
      <c r="Z303" s="31">
        <f t="shared" ref="Z303:Z319" si="41">Y303*P303</f>
        <v>9833.2000000000007</v>
      </c>
      <c r="AA303" s="29">
        <f t="shared" ref="AA303:AA319" si="42">R303+X303+Z303</f>
        <v>32147.000000000004</v>
      </c>
    </row>
    <row r="304" spans="1:27" s="32" customFormat="1" x14ac:dyDescent="0.25">
      <c r="A304" s="18">
        <v>308</v>
      </c>
      <c r="B304" s="19">
        <v>46029</v>
      </c>
      <c r="C304" s="19">
        <v>46029</v>
      </c>
      <c r="D304" s="20">
        <v>260107047</v>
      </c>
      <c r="E304" s="21" t="s">
        <v>611</v>
      </c>
      <c r="F304" s="21" t="s">
        <v>612</v>
      </c>
      <c r="G304" s="21">
        <v>47</v>
      </c>
      <c r="H304" s="44">
        <v>115</v>
      </c>
      <c r="I304" s="23" t="s">
        <v>33</v>
      </c>
      <c r="J304" s="24" t="s">
        <v>23</v>
      </c>
      <c r="K304" s="35" t="s">
        <v>31</v>
      </c>
      <c r="L304" s="25" t="s">
        <v>46</v>
      </c>
      <c r="M304" s="21" t="s">
        <v>34</v>
      </c>
      <c r="N304" s="37">
        <v>62.56</v>
      </c>
      <c r="O304" s="37">
        <v>14.84</v>
      </c>
      <c r="P304" s="26">
        <f t="shared" si="38"/>
        <v>47.72</v>
      </c>
      <c r="Q304" s="27">
        <v>545</v>
      </c>
      <c r="R304" s="28">
        <f t="shared" si="39"/>
        <v>26007.399999999998</v>
      </c>
      <c r="S304" s="27"/>
      <c r="T304" s="29"/>
      <c r="V304" s="29" t="s">
        <v>24</v>
      </c>
      <c r="W304" s="27">
        <v>145</v>
      </c>
      <c r="X304" s="30">
        <f t="shared" si="40"/>
        <v>6919.4</v>
      </c>
      <c r="Y304" s="31">
        <v>260</v>
      </c>
      <c r="Z304" s="31">
        <f t="shared" si="41"/>
        <v>12407.199999999999</v>
      </c>
      <c r="AA304" s="29">
        <f t="shared" si="42"/>
        <v>45333.999999999993</v>
      </c>
    </row>
    <row r="305" spans="1:27" s="32" customFormat="1" x14ac:dyDescent="0.25">
      <c r="A305" s="18">
        <v>309</v>
      </c>
      <c r="B305" s="19">
        <v>46029</v>
      </c>
      <c r="C305" s="19">
        <v>46029</v>
      </c>
      <c r="D305" s="20">
        <v>260107048</v>
      </c>
      <c r="E305" s="21" t="s">
        <v>613</v>
      </c>
      <c r="F305" s="21" t="s">
        <v>614</v>
      </c>
      <c r="G305" s="21">
        <v>48</v>
      </c>
      <c r="H305" s="44">
        <v>115</v>
      </c>
      <c r="I305" s="23" t="s">
        <v>33</v>
      </c>
      <c r="J305" s="24" t="s">
        <v>23</v>
      </c>
      <c r="K305" s="35" t="s">
        <v>31</v>
      </c>
      <c r="L305" s="21" t="s">
        <v>50</v>
      </c>
      <c r="M305" s="21" t="s">
        <v>34</v>
      </c>
      <c r="N305" s="37">
        <v>65.260000000000005</v>
      </c>
      <c r="O305" s="37">
        <v>16.78</v>
      </c>
      <c r="P305" s="26">
        <f t="shared" si="38"/>
        <v>48.480000000000004</v>
      </c>
      <c r="Q305" s="27">
        <v>545</v>
      </c>
      <c r="R305" s="28">
        <f t="shared" si="39"/>
        <v>26421.600000000002</v>
      </c>
      <c r="S305" s="27"/>
      <c r="T305" s="29"/>
      <c r="V305" s="29" t="s">
        <v>24</v>
      </c>
      <c r="W305" s="27">
        <v>145</v>
      </c>
      <c r="X305" s="30">
        <f t="shared" si="40"/>
        <v>7029.6</v>
      </c>
      <c r="Y305" s="31">
        <v>260</v>
      </c>
      <c r="Z305" s="31">
        <f t="shared" si="41"/>
        <v>12604.800000000001</v>
      </c>
      <c r="AA305" s="29">
        <f t="shared" si="42"/>
        <v>46056.000000000007</v>
      </c>
    </row>
    <row r="306" spans="1:27" s="38" customFormat="1" x14ac:dyDescent="0.25">
      <c r="A306" s="18">
        <v>310</v>
      </c>
      <c r="B306" s="19">
        <v>46029</v>
      </c>
      <c r="C306" s="19">
        <v>46030</v>
      </c>
      <c r="D306" s="47" t="s">
        <v>615</v>
      </c>
      <c r="E306" s="21"/>
      <c r="F306" s="21"/>
      <c r="G306" s="21"/>
      <c r="H306" s="59"/>
      <c r="I306" s="23" t="s">
        <v>419</v>
      </c>
      <c r="J306" s="24" t="s">
        <v>23</v>
      </c>
      <c r="K306" s="35" t="s">
        <v>30</v>
      </c>
      <c r="L306" s="21" t="s">
        <v>616</v>
      </c>
      <c r="M306" s="21" t="s">
        <v>343</v>
      </c>
      <c r="N306" s="37">
        <v>34.22</v>
      </c>
      <c r="O306" s="37">
        <v>12.5</v>
      </c>
      <c r="P306" s="26">
        <f t="shared" si="38"/>
        <v>21.72</v>
      </c>
      <c r="Q306" s="27">
        <v>450</v>
      </c>
      <c r="R306" s="28">
        <f t="shared" si="39"/>
        <v>9774</v>
      </c>
      <c r="S306" s="27">
        <v>9774</v>
      </c>
      <c r="T306" s="29"/>
      <c r="V306" s="29" t="s">
        <v>24</v>
      </c>
      <c r="W306" s="27"/>
      <c r="X306" s="30">
        <f t="shared" si="40"/>
        <v>0</v>
      </c>
      <c r="Y306" s="31"/>
      <c r="Z306" s="31">
        <f t="shared" si="41"/>
        <v>0</v>
      </c>
      <c r="AA306" s="29">
        <f t="shared" si="42"/>
        <v>9774</v>
      </c>
    </row>
    <row r="307" spans="1:27" s="32" customFormat="1" x14ac:dyDescent="0.25">
      <c r="A307" s="18">
        <v>311</v>
      </c>
      <c r="B307" s="19">
        <v>46029</v>
      </c>
      <c r="C307" s="19">
        <v>46030</v>
      </c>
      <c r="D307" s="70">
        <v>260108001</v>
      </c>
      <c r="E307" s="21" t="s">
        <v>617</v>
      </c>
      <c r="F307" s="21" t="s">
        <v>618</v>
      </c>
      <c r="G307" s="21">
        <v>47</v>
      </c>
      <c r="H307" s="48">
        <v>53</v>
      </c>
      <c r="I307" s="52" t="s">
        <v>57</v>
      </c>
      <c r="J307" s="24" t="s">
        <v>23</v>
      </c>
      <c r="K307" s="35" t="s">
        <v>31</v>
      </c>
      <c r="L307" s="47" t="s">
        <v>55</v>
      </c>
      <c r="M307" s="21" t="s">
        <v>63</v>
      </c>
      <c r="N307" s="37">
        <v>65.94</v>
      </c>
      <c r="O307" s="37">
        <v>18.28</v>
      </c>
      <c r="P307" s="26">
        <f t="shared" si="38"/>
        <v>47.66</v>
      </c>
      <c r="Q307" s="27">
        <v>425</v>
      </c>
      <c r="R307" s="28">
        <f t="shared" si="39"/>
        <v>20255.5</v>
      </c>
      <c r="S307" s="27"/>
      <c r="T307" s="29"/>
      <c r="V307" s="29" t="s">
        <v>24</v>
      </c>
      <c r="W307" s="27">
        <v>145</v>
      </c>
      <c r="X307" s="30">
        <f t="shared" si="40"/>
        <v>6910.7</v>
      </c>
      <c r="Y307" s="31">
        <v>210</v>
      </c>
      <c r="Z307" s="31">
        <f t="shared" si="41"/>
        <v>10008.599999999999</v>
      </c>
      <c r="AA307" s="29">
        <f t="shared" si="42"/>
        <v>37174.800000000003</v>
      </c>
    </row>
    <row r="308" spans="1:27" s="32" customFormat="1" x14ac:dyDescent="0.25">
      <c r="A308" s="18">
        <v>312</v>
      </c>
      <c r="B308" s="19">
        <v>46029</v>
      </c>
      <c r="C308" s="19">
        <v>46030</v>
      </c>
      <c r="D308" s="70">
        <v>260108002</v>
      </c>
      <c r="E308" s="21" t="s">
        <v>619</v>
      </c>
      <c r="F308" s="21" t="s">
        <v>620</v>
      </c>
      <c r="G308" s="21">
        <v>43</v>
      </c>
      <c r="H308" s="48">
        <v>53</v>
      </c>
      <c r="I308" s="52" t="s">
        <v>57</v>
      </c>
      <c r="J308" s="24" t="s">
        <v>23</v>
      </c>
      <c r="K308" s="35" t="s">
        <v>31</v>
      </c>
      <c r="L308" s="25" t="s">
        <v>37</v>
      </c>
      <c r="M308" s="21" t="s">
        <v>63</v>
      </c>
      <c r="N308" s="37">
        <v>58.82</v>
      </c>
      <c r="O308" s="37">
        <v>15.76</v>
      </c>
      <c r="P308" s="26">
        <f t="shared" si="38"/>
        <v>43.06</v>
      </c>
      <c r="Q308" s="27">
        <v>425</v>
      </c>
      <c r="R308" s="28">
        <f t="shared" si="39"/>
        <v>18300.5</v>
      </c>
      <c r="S308" s="27"/>
      <c r="T308" s="29"/>
      <c r="V308" s="29" t="s">
        <v>24</v>
      </c>
      <c r="W308" s="27">
        <v>145</v>
      </c>
      <c r="X308" s="30">
        <f t="shared" si="40"/>
        <v>6243.7000000000007</v>
      </c>
      <c r="Y308" s="31">
        <v>210</v>
      </c>
      <c r="Z308" s="31">
        <f t="shared" si="41"/>
        <v>9042.6</v>
      </c>
      <c r="AA308" s="29">
        <f t="shared" si="42"/>
        <v>33586.800000000003</v>
      </c>
    </row>
    <row r="309" spans="1:27" s="32" customFormat="1" x14ac:dyDescent="0.25">
      <c r="A309" s="18">
        <v>313</v>
      </c>
      <c r="B309" s="19">
        <v>46029</v>
      </c>
      <c r="C309" s="19">
        <v>46030</v>
      </c>
      <c r="D309" s="70">
        <v>260108003</v>
      </c>
      <c r="E309" s="21" t="s">
        <v>621</v>
      </c>
      <c r="F309" s="21" t="s">
        <v>622</v>
      </c>
      <c r="G309" s="21">
        <v>44</v>
      </c>
      <c r="H309" s="48">
        <v>53</v>
      </c>
      <c r="I309" s="52" t="s">
        <v>57</v>
      </c>
      <c r="J309" s="24" t="s">
        <v>23</v>
      </c>
      <c r="K309" s="35" t="s">
        <v>31</v>
      </c>
      <c r="L309" s="21" t="s">
        <v>38</v>
      </c>
      <c r="M309" s="21" t="s">
        <v>63</v>
      </c>
      <c r="N309" s="37">
        <v>60.14</v>
      </c>
      <c r="O309" s="37">
        <v>15.16</v>
      </c>
      <c r="P309" s="26">
        <f t="shared" si="38"/>
        <v>44.980000000000004</v>
      </c>
      <c r="Q309" s="27">
        <v>425</v>
      </c>
      <c r="R309" s="28">
        <f t="shared" si="39"/>
        <v>19116.5</v>
      </c>
      <c r="S309" s="27"/>
      <c r="T309" s="29"/>
      <c r="V309" s="29" t="s">
        <v>24</v>
      </c>
      <c r="W309" s="27">
        <v>145</v>
      </c>
      <c r="X309" s="30">
        <f t="shared" si="40"/>
        <v>6522.1</v>
      </c>
      <c r="Y309" s="31">
        <v>210</v>
      </c>
      <c r="Z309" s="31">
        <f t="shared" si="41"/>
        <v>9445.8000000000011</v>
      </c>
      <c r="AA309" s="29">
        <f t="shared" si="42"/>
        <v>35084.400000000001</v>
      </c>
    </row>
    <row r="310" spans="1:27" s="32" customFormat="1" x14ac:dyDescent="0.25">
      <c r="A310" s="18">
        <v>314</v>
      </c>
      <c r="B310" s="19">
        <v>46029</v>
      </c>
      <c r="C310" s="19">
        <v>46030</v>
      </c>
      <c r="D310" s="70">
        <v>260108004</v>
      </c>
      <c r="E310" s="21" t="s">
        <v>623</v>
      </c>
      <c r="F310" s="21" t="s">
        <v>624</v>
      </c>
      <c r="G310" s="21">
        <v>44</v>
      </c>
      <c r="H310" s="48">
        <v>53</v>
      </c>
      <c r="I310" s="52" t="s">
        <v>57</v>
      </c>
      <c r="J310" s="24" t="s">
        <v>23</v>
      </c>
      <c r="K310" s="35" t="s">
        <v>31</v>
      </c>
      <c r="L310" s="21" t="s">
        <v>62</v>
      </c>
      <c r="M310" s="21" t="s">
        <v>63</v>
      </c>
      <c r="N310" s="37">
        <v>59.74</v>
      </c>
      <c r="O310" s="21">
        <v>15.32</v>
      </c>
      <c r="P310" s="26">
        <f t="shared" si="38"/>
        <v>44.42</v>
      </c>
      <c r="Q310" s="27">
        <v>425</v>
      </c>
      <c r="R310" s="28">
        <f t="shared" si="39"/>
        <v>18878.5</v>
      </c>
      <c r="S310" s="27"/>
      <c r="T310" s="29"/>
      <c r="V310" s="29" t="s">
        <v>24</v>
      </c>
      <c r="W310" s="27">
        <v>145</v>
      </c>
      <c r="X310" s="30">
        <f t="shared" si="40"/>
        <v>6440.9000000000005</v>
      </c>
      <c r="Y310" s="31">
        <v>210</v>
      </c>
      <c r="Z310" s="31">
        <f t="shared" si="41"/>
        <v>9328.2000000000007</v>
      </c>
      <c r="AA310" s="29">
        <f t="shared" si="42"/>
        <v>34647.600000000006</v>
      </c>
    </row>
    <row r="311" spans="1:27" s="38" customFormat="1" x14ac:dyDescent="0.25">
      <c r="A311" s="18">
        <v>315</v>
      </c>
      <c r="B311" s="19">
        <v>46029</v>
      </c>
      <c r="C311" s="19">
        <v>46030</v>
      </c>
      <c r="D311" s="70">
        <v>260108005</v>
      </c>
      <c r="E311" s="21" t="s">
        <v>625</v>
      </c>
      <c r="F311" s="21" t="s">
        <v>626</v>
      </c>
      <c r="G311" s="21">
        <v>47</v>
      </c>
      <c r="H311" s="48">
        <v>53</v>
      </c>
      <c r="I311" s="52" t="s">
        <v>57</v>
      </c>
      <c r="J311" s="24" t="s">
        <v>23</v>
      </c>
      <c r="K311" s="35" t="s">
        <v>31</v>
      </c>
      <c r="L311" s="21" t="s">
        <v>58</v>
      </c>
      <c r="M311" s="21" t="s">
        <v>63</v>
      </c>
      <c r="N311" s="37">
        <v>62.62</v>
      </c>
      <c r="O311" s="37">
        <v>15.62</v>
      </c>
      <c r="P311" s="26">
        <f t="shared" si="38"/>
        <v>47</v>
      </c>
      <c r="Q311" s="27">
        <v>425</v>
      </c>
      <c r="R311" s="28">
        <f t="shared" si="39"/>
        <v>19975</v>
      </c>
      <c r="S311" s="27"/>
      <c r="T311" s="29"/>
      <c r="V311" s="29" t="s">
        <v>24</v>
      </c>
      <c r="W311" s="27">
        <v>145</v>
      </c>
      <c r="X311" s="30">
        <f t="shared" si="40"/>
        <v>6815</v>
      </c>
      <c r="Y311" s="31">
        <v>210</v>
      </c>
      <c r="Z311" s="31">
        <f t="shared" si="41"/>
        <v>9870</v>
      </c>
      <c r="AA311" s="29">
        <f t="shared" si="42"/>
        <v>36660</v>
      </c>
    </row>
    <row r="312" spans="1:27" s="32" customFormat="1" x14ac:dyDescent="0.25">
      <c r="A312" s="18">
        <v>316</v>
      </c>
      <c r="B312" s="19">
        <v>46029</v>
      </c>
      <c r="C312" s="19">
        <v>46030</v>
      </c>
      <c r="D312" s="70">
        <v>260108007</v>
      </c>
      <c r="E312" s="21" t="s">
        <v>627</v>
      </c>
      <c r="F312" s="21" t="s">
        <v>628</v>
      </c>
      <c r="G312" s="21">
        <v>49</v>
      </c>
      <c r="H312" s="48">
        <v>53</v>
      </c>
      <c r="I312" s="52" t="s">
        <v>57</v>
      </c>
      <c r="J312" s="24" t="s">
        <v>23</v>
      </c>
      <c r="K312" s="35" t="s">
        <v>31</v>
      </c>
      <c r="L312" s="21" t="s">
        <v>462</v>
      </c>
      <c r="M312" s="21" t="s">
        <v>49</v>
      </c>
      <c r="N312" s="37">
        <v>64.86</v>
      </c>
      <c r="O312" s="21">
        <v>15.84</v>
      </c>
      <c r="P312" s="26">
        <f>N312-O312</f>
        <v>49.019999999999996</v>
      </c>
      <c r="Q312" s="27">
        <v>245</v>
      </c>
      <c r="R312" s="28">
        <f>P312*Q312</f>
        <v>12009.9</v>
      </c>
      <c r="S312" s="27"/>
      <c r="T312" s="29"/>
      <c r="V312" s="29" t="s">
        <v>24</v>
      </c>
      <c r="W312" s="27">
        <v>145</v>
      </c>
      <c r="X312" s="30">
        <f t="shared" si="40"/>
        <v>7107.9</v>
      </c>
      <c r="Y312" s="31">
        <v>210</v>
      </c>
      <c r="Z312" s="31">
        <f t="shared" si="41"/>
        <v>10294.199999999999</v>
      </c>
      <c r="AA312" s="29">
        <f t="shared" si="42"/>
        <v>29412</v>
      </c>
    </row>
    <row r="313" spans="1:27" s="32" customFormat="1" x14ac:dyDescent="0.25">
      <c r="A313" s="18">
        <v>317</v>
      </c>
      <c r="B313" s="19">
        <v>46029</v>
      </c>
      <c r="C313" s="19">
        <v>46030</v>
      </c>
      <c r="D313" s="70">
        <v>260108008</v>
      </c>
      <c r="E313" s="21" t="s">
        <v>629</v>
      </c>
      <c r="F313" s="21" t="s">
        <v>630</v>
      </c>
      <c r="G313" s="21">
        <v>47</v>
      </c>
      <c r="H313" s="48">
        <v>53</v>
      </c>
      <c r="I313" s="52" t="s">
        <v>57</v>
      </c>
      <c r="J313" s="24" t="s">
        <v>23</v>
      </c>
      <c r="K313" s="35" t="s">
        <v>31</v>
      </c>
      <c r="L313" s="21" t="s">
        <v>534</v>
      </c>
      <c r="M313" s="21" t="s">
        <v>49</v>
      </c>
      <c r="N313" s="21">
        <v>63.44</v>
      </c>
      <c r="O313" s="37">
        <v>15.84</v>
      </c>
      <c r="P313" s="26">
        <f>N313-O313</f>
        <v>47.599999999999994</v>
      </c>
      <c r="Q313" s="27">
        <v>245</v>
      </c>
      <c r="R313" s="28">
        <f>P313*Q313</f>
        <v>11661.999999999998</v>
      </c>
      <c r="S313" s="27"/>
      <c r="T313" s="29"/>
      <c r="V313" s="29" t="s">
        <v>24</v>
      </c>
      <c r="W313" s="27">
        <v>145</v>
      </c>
      <c r="X313" s="30">
        <f t="shared" si="40"/>
        <v>6901.9999999999991</v>
      </c>
      <c r="Y313" s="31">
        <v>210</v>
      </c>
      <c r="Z313" s="31">
        <f t="shared" si="41"/>
        <v>9995.9999999999982</v>
      </c>
      <c r="AA313" s="29">
        <f t="shared" si="42"/>
        <v>28559.999999999993</v>
      </c>
    </row>
    <row r="314" spans="1:27" s="32" customFormat="1" x14ac:dyDescent="0.25">
      <c r="A314" s="18">
        <v>318</v>
      </c>
      <c r="B314" s="19">
        <v>46029</v>
      </c>
      <c r="C314" s="19">
        <v>46030</v>
      </c>
      <c r="D314" s="70">
        <v>260108009</v>
      </c>
      <c r="E314" s="21" t="s">
        <v>631</v>
      </c>
      <c r="F314" s="21" t="s">
        <v>632</v>
      </c>
      <c r="G314" s="21">
        <v>37</v>
      </c>
      <c r="H314" s="48">
        <v>53</v>
      </c>
      <c r="I314" s="52" t="s">
        <v>57</v>
      </c>
      <c r="J314" s="24" t="s">
        <v>23</v>
      </c>
      <c r="K314" s="35" t="s">
        <v>31</v>
      </c>
      <c r="L314" s="21" t="s">
        <v>51</v>
      </c>
      <c r="M314" s="21" t="s">
        <v>49</v>
      </c>
      <c r="N314" s="21">
        <v>48.96</v>
      </c>
      <c r="O314" s="21">
        <v>11.48</v>
      </c>
      <c r="P314" s="26">
        <f>N314-O314</f>
        <v>37.480000000000004</v>
      </c>
      <c r="Q314" s="27">
        <v>245</v>
      </c>
      <c r="R314" s="28">
        <f>P314*Q314</f>
        <v>9182.6</v>
      </c>
      <c r="S314" s="27"/>
      <c r="T314" s="29"/>
      <c r="V314" s="29" t="s">
        <v>24</v>
      </c>
      <c r="W314" s="27">
        <v>145</v>
      </c>
      <c r="X314" s="30">
        <f t="shared" si="40"/>
        <v>5434.6</v>
      </c>
      <c r="Y314" s="31">
        <v>210</v>
      </c>
      <c r="Z314" s="31">
        <f t="shared" si="41"/>
        <v>7870.8000000000011</v>
      </c>
      <c r="AA314" s="29">
        <f t="shared" si="42"/>
        <v>22488</v>
      </c>
    </row>
    <row r="315" spans="1:27" s="32" customFormat="1" x14ac:dyDescent="0.25">
      <c r="A315" s="18">
        <v>319</v>
      </c>
      <c r="B315" s="19">
        <v>46029</v>
      </c>
      <c r="C315" s="19">
        <v>46030</v>
      </c>
      <c r="D315" s="70">
        <v>260108010</v>
      </c>
      <c r="E315" s="21" t="s">
        <v>633</v>
      </c>
      <c r="F315" s="21" t="s">
        <v>634</v>
      </c>
      <c r="G315" s="21">
        <v>37</v>
      </c>
      <c r="H315" s="48">
        <v>53</v>
      </c>
      <c r="I315" s="52" t="s">
        <v>57</v>
      </c>
      <c r="J315" s="24" t="s">
        <v>23</v>
      </c>
      <c r="K315" s="35" t="s">
        <v>31</v>
      </c>
      <c r="L315" s="21" t="s">
        <v>39</v>
      </c>
      <c r="M315" s="21" t="s">
        <v>49</v>
      </c>
      <c r="N315" s="21">
        <v>49.06</v>
      </c>
      <c r="O315" s="21">
        <v>11.82</v>
      </c>
      <c r="P315" s="26">
        <f>N315-O315</f>
        <v>37.24</v>
      </c>
      <c r="Q315" s="27">
        <v>245</v>
      </c>
      <c r="R315" s="28">
        <f>P315*Q315</f>
        <v>9123.8000000000011</v>
      </c>
      <c r="S315" s="27"/>
      <c r="T315" s="29"/>
      <c r="V315" s="29" t="s">
        <v>24</v>
      </c>
      <c r="W315" s="27">
        <v>145</v>
      </c>
      <c r="X315" s="30">
        <f t="shared" si="40"/>
        <v>5399.8</v>
      </c>
      <c r="Y315" s="31">
        <v>210</v>
      </c>
      <c r="Z315" s="31">
        <f t="shared" si="41"/>
        <v>7820.4000000000005</v>
      </c>
      <c r="AA315" s="29">
        <f t="shared" si="42"/>
        <v>22344.000000000004</v>
      </c>
    </row>
    <row r="316" spans="1:27" s="32" customFormat="1" x14ac:dyDescent="0.25">
      <c r="A316" s="18">
        <v>320</v>
      </c>
      <c r="B316" s="19">
        <v>46029</v>
      </c>
      <c r="C316" s="19">
        <v>46030</v>
      </c>
      <c r="D316" s="70">
        <v>260108012</v>
      </c>
      <c r="E316" s="21" t="s">
        <v>635</v>
      </c>
      <c r="F316" s="21" t="s">
        <v>636</v>
      </c>
      <c r="G316" s="21">
        <v>48</v>
      </c>
      <c r="H316" s="48">
        <v>53</v>
      </c>
      <c r="I316" s="52" t="s">
        <v>57</v>
      </c>
      <c r="J316" s="24" t="s">
        <v>23</v>
      </c>
      <c r="K316" s="35" t="s">
        <v>31</v>
      </c>
      <c r="L316" s="21" t="s">
        <v>59</v>
      </c>
      <c r="M316" s="21" t="s">
        <v>49</v>
      </c>
      <c r="N316" s="21">
        <v>64.64</v>
      </c>
      <c r="O316" s="37">
        <v>16.3</v>
      </c>
      <c r="P316" s="26">
        <f>N316-O316</f>
        <v>48.34</v>
      </c>
      <c r="Q316" s="27">
        <v>245</v>
      </c>
      <c r="R316" s="28">
        <f t="shared" ref="R316:R319" si="43">Q316*P316</f>
        <v>11843.300000000001</v>
      </c>
      <c r="S316" s="27"/>
      <c r="T316" s="29"/>
      <c r="V316" s="29" t="s">
        <v>24</v>
      </c>
      <c r="W316" s="27">
        <v>145</v>
      </c>
      <c r="X316" s="30">
        <f t="shared" si="40"/>
        <v>7009.3</v>
      </c>
      <c r="Y316" s="31">
        <v>210</v>
      </c>
      <c r="Z316" s="31">
        <f t="shared" si="41"/>
        <v>10151.400000000001</v>
      </c>
      <c r="AA316" s="29">
        <f t="shared" si="42"/>
        <v>29004.000000000004</v>
      </c>
    </row>
    <row r="317" spans="1:27" s="32" customFormat="1" x14ac:dyDescent="0.25">
      <c r="A317" s="18">
        <v>321</v>
      </c>
      <c r="B317" s="19">
        <v>46029</v>
      </c>
      <c r="C317" s="19">
        <v>46030</v>
      </c>
      <c r="D317" s="70" t="s">
        <v>637</v>
      </c>
      <c r="E317" s="21"/>
      <c r="F317" s="21"/>
      <c r="G317" s="21"/>
      <c r="H317" s="33">
        <v>102</v>
      </c>
      <c r="I317" s="60" t="s">
        <v>287</v>
      </c>
      <c r="J317" s="34" t="s">
        <v>23</v>
      </c>
      <c r="K317" s="35" t="s">
        <v>31</v>
      </c>
      <c r="L317" s="25" t="s">
        <v>288</v>
      </c>
      <c r="M317" s="21" t="s">
        <v>289</v>
      </c>
      <c r="N317" s="21">
        <v>8.94</v>
      </c>
      <c r="O317" s="21">
        <v>3.58</v>
      </c>
      <c r="P317" s="26">
        <f t="shared" ref="P317:P319" si="44">N317-O317</f>
        <v>5.3599999999999994</v>
      </c>
      <c r="Q317" s="27">
        <v>140</v>
      </c>
      <c r="R317" s="28">
        <f t="shared" si="43"/>
        <v>750.39999999999986</v>
      </c>
      <c r="S317" s="27"/>
      <c r="T317" s="29"/>
      <c r="V317" s="29" t="s">
        <v>253</v>
      </c>
      <c r="W317" s="27"/>
      <c r="X317" s="30">
        <f t="shared" si="40"/>
        <v>0</v>
      </c>
      <c r="Y317" s="31"/>
      <c r="Z317" s="31">
        <f t="shared" si="41"/>
        <v>0</v>
      </c>
      <c r="AA317" s="29">
        <f t="shared" si="42"/>
        <v>750.39999999999986</v>
      </c>
    </row>
    <row r="318" spans="1:27" s="32" customFormat="1" x14ac:dyDescent="0.25">
      <c r="A318" s="18">
        <v>322</v>
      </c>
      <c r="B318" s="19">
        <v>46029</v>
      </c>
      <c r="C318" s="19">
        <v>46030</v>
      </c>
      <c r="D318" s="70" t="s">
        <v>638</v>
      </c>
      <c r="E318" s="21"/>
      <c r="F318" s="55"/>
      <c r="G318" s="21"/>
      <c r="H318" s="33">
        <v>102</v>
      </c>
      <c r="I318" s="60" t="s">
        <v>287</v>
      </c>
      <c r="J318" s="34" t="s">
        <v>23</v>
      </c>
      <c r="K318" s="35" t="s">
        <v>31</v>
      </c>
      <c r="L318" s="25" t="s">
        <v>639</v>
      </c>
      <c r="M318" s="21" t="s">
        <v>289</v>
      </c>
      <c r="N318" s="21">
        <v>9.16</v>
      </c>
      <c r="O318" s="21">
        <v>3.54</v>
      </c>
      <c r="P318" s="26">
        <f t="shared" si="44"/>
        <v>5.62</v>
      </c>
      <c r="Q318" s="27">
        <v>140</v>
      </c>
      <c r="R318" s="28">
        <f t="shared" si="43"/>
        <v>786.80000000000007</v>
      </c>
      <c r="S318" s="27"/>
      <c r="T318" s="29"/>
      <c r="V318" s="29" t="s">
        <v>253</v>
      </c>
      <c r="W318" s="27"/>
      <c r="X318" s="30">
        <f t="shared" si="40"/>
        <v>0</v>
      </c>
      <c r="Y318" s="31"/>
      <c r="Z318" s="31">
        <f t="shared" si="41"/>
        <v>0</v>
      </c>
      <c r="AA318" s="29">
        <f t="shared" si="42"/>
        <v>786.80000000000007</v>
      </c>
    </row>
    <row r="319" spans="1:27" s="32" customFormat="1" x14ac:dyDescent="0.25">
      <c r="A319" s="18">
        <v>323</v>
      </c>
      <c r="B319" s="19">
        <v>46029</v>
      </c>
      <c r="C319" s="19">
        <v>46030</v>
      </c>
      <c r="D319" s="70" t="s">
        <v>640</v>
      </c>
      <c r="E319" s="21"/>
      <c r="F319" s="55"/>
      <c r="G319" s="55"/>
      <c r="H319" s="59"/>
      <c r="I319" s="72" t="s">
        <v>641</v>
      </c>
      <c r="J319" s="34" t="s">
        <v>23</v>
      </c>
      <c r="K319" s="60" t="s">
        <v>30</v>
      </c>
      <c r="L319" s="21" t="s">
        <v>642</v>
      </c>
      <c r="M319" s="21" t="s">
        <v>34</v>
      </c>
      <c r="N319" s="37">
        <v>9.64</v>
      </c>
      <c r="O319" s="37">
        <v>3.64</v>
      </c>
      <c r="P319" s="26">
        <f t="shared" si="44"/>
        <v>6</v>
      </c>
      <c r="Q319" s="27">
        <v>550</v>
      </c>
      <c r="R319" s="28">
        <f t="shared" si="43"/>
        <v>3300</v>
      </c>
      <c r="S319" s="27">
        <v>3300</v>
      </c>
      <c r="T319" s="29"/>
      <c r="V319" s="29" t="s">
        <v>24</v>
      </c>
      <c r="W319" s="27"/>
      <c r="X319" s="30">
        <f t="shared" si="40"/>
        <v>0</v>
      </c>
      <c r="Y319" s="31"/>
      <c r="Z319" s="31">
        <f t="shared" si="41"/>
        <v>0</v>
      </c>
      <c r="AA319" s="29">
        <f t="shared" si="42"/>
        <v>3300</v>
      </c>
    </row>
    <row r="320" spans="1:27" s="32" customFormat="1" x14ac:dyDescent="0.25">
      <c r="A320" s="18">
        <v>324</v>
      </c>
      <c r="B320" s="19">
        <v>46030</v>
      </c>
      <c r="C320" s="19">
        <v>46030</v>
      </c>
      <c r="D320" s="20">
        <v>260108011</v>
      </c>
      <c r="E320" s="21" t="s">
        <v>643</v>
      </c>
      <c r="F320" s="21" t="s">
        <v>644</v>
      </c>
      <c r="G320" s="21">
        <v>45</v>
      </c>
      <c r="H320" s="36">
        <v>122</v>
      </c>
      <c r="I320" s="23" t="s">
        <v>342</v>
      </c>
      <c r="J320" s="24" t="s">
        <v>23</v>
      </c>
      <c r="K320" s="23" t="s">
        <v>31</v>
      </c>
      <c r="L320" s="25" t="s">
        <v>54</v>
      </c>
      <c r="M320" s="21" t="s">
        <v>343</v>
      </c>
      <c r="N320" s="21">
        <v>61.14</v>
      </c>
      <c r="O320" s="21">
        <v>15.78</v>
      </c>
      <c r="P320" s="26">
        <f>N320-O320</f>
        <v>45.36</v>
      </c>
      <c r="Q320" s="27">
        <v>395</v>
      </c>
      <c r="R320" s="28">
        <f>P320*Q320</f>
        <v>17917.2</v>
      </c>
      <c r="S320" s="27"/>
      <c r="T320" s="29"/>
      <c r="V320" s="29" t="s">
        <v>24</v>
      </c>
      <c r="W320" s="27">
        <v>145</v>
      </c>
      <c r="X320" s="30">
        <f t="shared" ref="X320:X351" si="45">P320*W320</f>
        <v>6577.2</v>
      </c>
      <c r="Y320" s="31">
        <v>250</v>
      </c>
      <c r="Z320" s="31">
        <f t="shared" ref="Z320:Z351" si="46">P320*Y320</f>
        <v>11340</v>
      </c>
      <c r="AA320" s="29">
        <f t="shared" ref="AA320:AA351" si="47">R320+X320+Z320</f>
        <v>35834.400000000001</v>
      </c>
    </row>
    <row r="321" spans="1:38" s="32" customFormat="1" x14ac:dyDescent="0.25">
      <c r="A321" s="18">
        <v>325</v>
      </c>
      <c r="B321" s="19">
        <v>46030</v>
      </c>
      <c r="C321" s="19">
        <v>46030</v>
      </c>
      <c r="D321" s="20" t="s">
        <v>645</v>
      </c>
      <c r="E321" s="21"/>
      <c r="F321" s="21"/>
      <c r="G321" s="21"/>
      <c r="H321" s="60"/>
      <c r="I321" s="23" t="s">
        <v>201</v>
      </c>
      <c r="J321" s="24" t="s">
        <v>23</v>
      </c>
      <c r="K321" s="23" t="s">
        <v>31</v>
      </c>
      <c r="L321" s="25" t="s">
        <v>272</v>
      </c>
      <c r="M321" s="21" t="s">
        <v>203</v>
      </c>
      <c r="N321" s="21">
        <v>22.66</v>
      </c>
      <c r="O321" s="21">
        <v>14.12</v>
      </c>
      <c r="P321" s="26">
        <f>N321-O321</f>
        <v>8.5400000000000009</v>
      </c>
      <c r="Q321" s="27">
        <v>0</v>
      </c>
      <c r="R321" s="28">
        <f>P321*Q321</f>
        <v>0</v>
      </c>
      <c r="S321" s="27"/>
      <c r="T321" s="29"/>
      <c r="V321" s="29" t="s">
        <v>24</v>
      </c>
      <c r="W321" s="27"/>
      <c r="X321" s="30">
        <f t="shared" si="45"/>
        <v>0</v>
      </c>
      <c r="Y321" s="31"/>
      <c r="Z321" s="31">
        <f t="shared" si="46"/>
        <v>0</v>
      </c>
      <c r="AA321" s="29">
        <f t="shared" si="47"/>
        <v>0</v>
      </c>
    </row>
    <row r="322" spans="1:38" s="32" customFormat="1" x14ac:dyDescent="0.25">
      <c r="A322" s="18">
        <v>326</v>
      </c>
      <c r="B322" s="19">
        <v>46030</v>
      </c>
      <c r="C322" s="19">
        <v>46030</v>
      </c>
      <c r="D322" s="20" t="s">
        <v>646</v>
      </c>
      <c r="E322" s="21"/>
      <c r="F322" s="21"/>
      <c r="G322" s="21"/>
      <c r="H322" s="60"/>
      <c r="I322" s="23" t="s">
        <v>201</v>
      </c>
      <c r="J322" s="24" t="s">
        <v>23</v>
      </c>
      <c r="K322" s="23" t="s">
        <v>31</v>
      </c>
      <c r="L322" s="25" t="s">
        <v>337</v>
      </c>
      <c r="M322" s="21" t="s">
        <v>203</v>
      </c>
      <c r="N322" s="21">
        <v>25.94</v>
      </c>
      <c r="O322" s="21">
        <v>14.74</v>
      </c>
      <c r="P322" s="26">
        <f t="shared" ref="P322:P373" si="48">N322-O322</f>
        <v>11.200000000000001</v>
      </c>
      <c r="Q322" s="27">
        <v>0</v>
      </c>
      <c r="R322" s="28">
        <f t="shared" ref="R322:R371" si="49">P322*Q322</f>
        <v>0</v>
      </c>
      <c r="S322" s="27"/>
      <c r="T322" s="29"/>
      <c r="V322" s="29" t="s">
        <v>24</v>
      </c>
      <c r="W322" s="27"/>
      <c r="X322" s="30">
        <f t="shared" si="45"/>
        <v>0</v>
      </c>
      <c r="Y322" s="31"/>
      <c r="Z322" s="31">
        <f t="shared" si="46"/>
        <v>0</v>
      </c>
      <c r="AA322" s="29">
        <f t="shared" si="47"/>
        <v>0</v>
      </c>
    </row>
    <row r="323" spans="1:38" s="38" customFormat="1" x14ac:dyDescent="0.25">
      <c r="A323" s="18">
        <v>327</v>
      </c>
      <c r="B323" s="19">
        <v>46030</v>
      </c>
      <c r="C323" s="19">
        <v>46030</v>
      </c>
      <c r="D323" s="20">
        <v>260108016</v>
      </c>
      <c r="E323" s="21" t="s">
        <v>647</v>
      </c>
      <c r="F323" s="21" t="s">
        <v>648</v>
      </c>
      <c r="G323" s="21">
        <v>34</v>
      </c>
      <c r="H323" s="44">
        <v>96</v>
      </c>
      <c r="I323" s="71" t="s">
        <v>458</v>
      </c>
      <c r="J323" s="65" t="s">
        <v>23</v>
      </c>
      <c r="K323" s="35" t="s">
        <v>31</v>
      </c>
      <c r="L323" s="25" t="s">
        <v>649</v>
      </c>
      <c r="M323" s="21" t="s">
        <v>34</v>
      </c>
      <c r="N323" s="21">
        <v>46.96</v>
      </c>
      <c r="O323" s="37">
        <v>12.34</v>
      </c>
      <c r="P323" s="26">
        <f t="shared" si="48"/>
        <v>34.620000000000005</v>
      </c>
      <c r="Q323" s="27">
        <v>520</v>
      </c>
      <c r="R323" s="28">
        <f t="shared" si="49"/>
        <v>18002.400000000001</v>
      </c>
      <c r="S323" s="27"/>
      <c r="T323" s="29"/>
      <c r="V323" s="29" t="s">
        <v>24</v>
      </c>
      <c r="W323" s="27">
        <v>150</v>
      </c>
      <c r="X323" s="30">
        <f t="shared" si="45"/>
        <v>5193.0000000000009</v>
      </c>
      <c r="Y323" s="31"/>
      <c r="Z323" s="31">
        <f t="shared" si="46"/>
        <v>0</v>
      </c>
      <c r="AA323" s="29">
        <f t="shared" si="47"/>
        <v>23195.4</v>
      </c>
    </row>
    <row r="324" spans="1:38" s="32" customFormat="1" x14ac:dyDescent="0.25">
      <c r="A324" s="18">
        <v>328</v>
      </c>
      <c r="B324" s="19">
        <v>46030</v>
      </c>
      <c r="C324" s="19">
        <v>46030</v>
      </c>
      <c r="D324" s="20">
        <v>260108017</v>
      </c>
      <c r="E324" s="21" t="s">
        <v>650</v>
      </c>
      <c r="F324" s="21" t="s">
        <v>651</v>
      </c>
      <c r="G324" s="21">
        <v>45</v>
      </c>
      <c r="H324" s="48">
        <v>53</v>
      </c>
      <c r="I324" s="52" t="s">
        <v>57</v>
      </c>
      <c r="J324" s="49" t="s">
        <v>23</v>
      </c>
      <c r="K324" s="23" t="s">
        <v>31</v>
      </c>
      <c r="L324" s="25" t="s">
        <v>46</v>
      </c>
      <c r="M324" s="21" t="s">
        <v>63</v>
      </c>
      <c r="N324" s="37">
        <v>60.68</v>
      </c>
      <c r="O324" s="21">
        <v>15.02</v>
      </c>
      <c r="P324" s="26">
        <f t="shared" si="48"/>
        <v>45.66</v>
      </c>
      <c r="Q324" s="27">
        <v>425</v>
      </c>
      <c r="R324" s="28">
        <f t="shared" si="49"/>
        <v>19405.5</v>
      </c>
      <c r="S324" s="27"/>
      <c r="T324" s="29"/>
      <c r="V324" s="29" t="s">
        <v>24</v>
      </c>
      <c r="W324" s="27">
        <v>145</v>
      </c>
      <c r="X324" s="30">
        <f t="shared" si="45"/>
        <v>6620.7</v>
      </c>
      <c r="Y324" s="31">
        <v>210</v>
      </c>
      <c r="Z324" s="31">
        <f t="shared" si="46"/>
        <v>9588.5999999999985</v>
      </c>
      <c r="AA324" s="29">
        <f t="shared" si="47"/>
        <v>35614.800000000003</v>
      </c>
    </row>
    <row r="325" spans="1:38" s="32" customFormat="1" x14ac:dyDescent="0.25">
      <c r="A325" s="18">
        <v>329</v>
      </c>
      <c r="B325" s="19">
        <v>46030</v>
      </c>
      <c r="C325" s="19">
        <v>46030</v>
      </c>
      <c r="D325" s="20">
        <v>260108018</v>
      </c>
      <c r="E325" s="21" t="s">
        <v>652</v>
      </c>
      <c r="F325" s="21" t="s">
        <v>653</v>
      </c>
      <c r="G325" s="21">
        <v>40</v>
      </c>
      <c r="H325" s="48">
        <v>42</v>
      </c>
      <c r="I325" s="23" t="s">
        <v>44</v>
      </c>
      <c r="J325" s="49" t="s">
        <v>23</v>
      </c>
      <c r="K325" s="23" t="s">
        <v>31</v>
      </c>
      <c r="L325" s="25" t="s">
        <v>42</v>
      </c>
      <c r="M325" s="21" t="s">
        <v>35</v>
      </c>
      <c r="N325" s="37">
        <v>52.22</v>
      </c>
      <c r="O325" s="37">
        <v>11.72</v>
      </c>
      <c r="P325" s="26">
        <f t="shared" si="48"/>
        <v>40.5</v>
      </c>
      <c r="Q325" s="27">
        <v>470</v>
      </c>
      <c r="R325" s="28">
        <f t="shared" si="49"/>
        <v>19035</v>
      </c>
      <c r="S325" s="27"/>
      <c r="T325" s="29"/>
      <c r="V325" s="29" t="s">
        <v>24</v>
      </c>
      <c r="W325" s="27">
        <v>145</v>
      </c>
      <c r="X325" s="30">
        <f t="shared" si="45"/>
        <v>5872.5</v>
      </c>
      <c r="Y325" s="31">
        <v>260</v>
      </c>
      <c r="Z325" s="31">
        <f t="shared" si="46"/>
        <v>10530</v>
      </c>
      <c r="AA325" s="29">
        <f t="shared" si="47"/>
        <v>35437.5</v>
      </c>
    </row>
    <row r="326" spans="1:38" s="32" customFormat="1" x14ac:dyDescent="0.25">
      <c r="A326" s="18">
        <v>330</v>
      </c>
      <c r="B326" s="19">
        <v>46030</v>
      </c>
      <c r="C326" s="19">
        <v>46030</v>
      </c>
      <c r="D326" s="20">
        <v>260108019</v>
      </c>
      <c r="E326" s="21" t="s">
        <v>654</v>
      </c>
      <c r="F326" s="21" t="s">
        <v>655</v>
      </c>
      <c r="G326" s="21">
        <v>40</v>
      </c>
      <c r="H326" s="48">
        <v>42</v>
      </c>
      <c r="I326" s="23" t="s">
        <v>44</v>
      </c>
      <c r="J326" s="49" t="s">
        <v>23</v>
      </c>
      <c r="K326" s="23" t="s">
        <v>31</v>
      </c>
      <c r="L326" s="25" t="s">
        <v>40</v>
      </c>
      <c r="M326" s="21" t="s">
        <v>35</v>
      </c>
      <c r="N326" s="37">
        <v>51.44</v>
      </c>
      <c r="O326" s="37">
        <v>11.4</v>
      </c>
      <c r="P326" s="26">
        <f t="shared" si="48"/>
        <v>40.04</v>
      </c>
      <c r="Q326" s="27">
        <v>470</v>
      </c>
      <c r="R326" s="28">
        <f t="shared" si="49"/>
        <v>18818.8</v>
      </c>
      <c r="S326" s="27"/>
      <c r="T326" s="29"/>
      <c r="V326" s="29" t="s">
        <v>24</v>
      </c>
      <c r="W326" s="27">
        <v>145</v>
      </c>
      <c r="X326" s="30">
        <f t="shared" si="45"/>
        <v>5805.8</v>
      </c>
      <c r="Y326" s="31">
        <v>260</v>
      </c>
      <c r="Z326" s="31">
        <f t="shared" si="46"/>
        <v>10410.4</v>
      </c>
      <c r="AA326" s="29">
        <f t="shared" si="47"/>
        <v>35035</v>
      </c>
    </row>
    <row r="327" spans="1:38" s="32" customFormat="1" x14ac:dyDescent="0.25">
      <c r="A327" s="18">
        <v>331</v>
      </c>
      <c r="B327" s="19">
        <v>46030</v>
      </c>
      <c r="C327" s="19">
        <v>46030</v>
      </c>
      <c r="D327" s="20" t="s">
        <v>656</v>
      </c>
      <c r="E327" s="21"/>
      <c r="F327" s="21"/>
      <c r="G327" s="21"/>
      <c r="H327" s="66"/>
      <c r="I327" s="52" t="s">
        <v>657</v>
      </c>
      <c r="J327" s="49" t="s">
        <v>23</v>
      </c>
      <c r="K327" s="23" t="s">
        <v>31</v>
      </c>
      <c r="L327" s="25" t="s">
        <v>212</v>
      </c>
      <c r="M327" s="21" t="s">
        <v>35</v>
      </c>
      <c r="N327" s="37">
        <v>27</v>
      </c>
      <c r="O327" s="37">
        <v>14.86</v>
      </c>
      <c r="P327" s="26">
        <f t="shared" si="48"/>
        <v>12.14</v>
      </c>
      <c r="Q327" s="27">
        <v>0</v>
      </c>
      <c r="R327" s="28">
        <f t="shared" si="49"/>
        <v>0</v>
      </c>
      <c r="S327" s="27"/>
      <c r="T327" s="29"/>
      <c r="V327" s="29" t="s">
        <v>24</v>
      </c>
      <c r="W327" s="27"/>
      <c r="X327" s="30">
        <f t="shared" si="45"/>
        <v>0</v>
      </c>
      <c r="Y327" s="31"/>
      <c r="Z327" s="31">
        <f t="shared" si="46"/>
        <v>0</v>
      </c>
      <c r="AA327" s="29">
        <f t="shared" si="47"/>
        <v>0</v>
      </c>
      <c r="AB327" s="40"/>
      <c r="AC327" s="39"/>
      <c r="AD327" s="41"/>
      <c r="AE327" s="42"/>
      <c r="AF327" s="39"/>
      <c r="AG327" s="42"/>
      <c r="AH327" s="39"/>
      <c r="AI327" s="41"/>
      <c r="AJ327" s="39"/>
      <c r="AK327" s="41"/>
      <c r="AL327" s="41"/>
    </row>
    <row r="328" spans="1:38" s="32" customFormat="1" x14ac:dyDescent="0.25">
      <c r="A328" s="18">
        <v>332</v>
      </c>
      <c r="B328" s="19">
        <v>46030</v>
      </c>
      <c r="C328" s="19">
        <v>46030</v>
      </c>
      <c r="D328" s="20" t="s">
        <v>658</v>
      </c>
      <c r="E328" s="21"/>
      <c r="F328" s="21"/>
      <c r="G328" s="21"/>
      <c r="H328" s="60"/>
      <c r="I328" s="23" t="s">
        <v>201</v>
      </c>
      <c r="J328" s="24" t="s">
        <v>23</v>
      </c>
      <c r="K328" s="23" t="s">
        <v>31</v>
      </c>
      <c r="L328" s="25" t="s">
        <v>308</v>
      </c>
      <c r="M328" s="21" t="s">
        <v>203</v>
      </c>
      <c r="N328" s="37">
        <v>26.22</v>
      </c>
      <c r="O328" s="37">
        <v>14.06</v>
      </c>
      <c r="P328" s="26">
        <f t="shared" si="48"/>
        <v>12.159999999999998</v>
      </c>
      <c r="Q328" s="27">
        <v>0</v>
      </c>
      <c r="R328" s="28">
        <f t="shared" si="49"/>
        <v>0</v>
      </c>
      <c r="S328" s="27"/>
      <c r="T328" s="29"/>
      <c r="V328" s="29" t="s">
        <v>24</v>
      </c>
      <c r="W328" s="27"/>
      <c r="X328" s="30">
        <f t="shared" si="45"/>
        <v>0</v>
      </c>
      <c r="Y328" s="31"/>
      <c r="Z328" s="31">
        <f t="shared" si="46"/>
        <v>0</v>
      </c>
      <c r="AA328" s="29">
        <f t="shared" si="47"/>
        <v>0</v>
      </c>
    </row>
    <row r="329" spans="1:38" s="32" customFormat="1" x14ac:dyDescent="0.25">
      <c r="A329" s="18">
        <v>333</v>
      </c>
      <c r="B329" s="19">
        <v>46030</v>
      </c>
      <c r="C329" s="19">
        <v>46030</v>
      </c>
      <c r="D329" s="20">
        <v>260108013</v>
      </c>
      <c r="E329" s="21"/>
      <c r="F329" s="21" t="s">
        <v>659</v>
      </c>
      <c r="G329" s="21">
        <v>44</v>
      </c>
      <c r="H329" s="44">
        <v>96</v>
      </c>
      <c r="I329" s="71" t="s">
        <v>458</v>
      </c>
      <c r="J329" s="65" t="s">
        <v>23</v>
      </c>
      <c r="K329" s="35" t="s">
        <v>31</v>
      </c>
      <c r="L329" s="25" t="s">
        <v>660</v>
      </c>
      <c r="M329" s="21" t="s">
        <v>49</v>
      </c>
      <c r="N329" s="37">
        <v>58.46</v>
      </c>
      <c r="O329" s="37">
        <v>14.28</v>
      </c>
      <c r="P329" s="26">
        <f t="shared" si="48"/>
        <v>44.18</v>
      </c>
      <c r="Q329" s="27">
        <v>220</v>
      </c>
      <c r="R329" s="28">
        <f t="shared" si="49"/>
        <v>9719.6</v>
      </c>
      <c r="S329" s="27"/>
      <c r="T329" s="29"/>
      <c r="V329" s="29" t="s">
        <v>45</v>
      </c>
      <c r="W329" s="27"/>
      <c r="X329" s="30">
        <f t="shared" si="45"/>
        <v>0</v>
      </c>
      <c r="Y329" s="31"/>
      <c r="Z329" s="31">
        <f t="shared" si="46"/>
        <v>0</v>
      </c>
      <c r="AA329" s="29">
        <f t="shared" si="47"/>
        <v>9719.6</v>
      </c>
    </row>
    <row r="330" spans="1:38" s="32" customFormat="1" x14ac:dyDescent="0.25">
      <c r="A330" s="18">
        <v>334</v>
      </c>
      <c r="B330" s="19">
        <v>46030</v>
      </c>
      <c r="C330" s="19">
        <v>46030</v>
      </c>
      <c r="D330" s="20">
        <v>260108015</v>
      </c>
      <c r="E330" s="21"/>
      <c r="F330" s="21" t="s">
        <v>661</v>
      </c>
      <c r="G330" s="21">
        <v>44</v>
      </c>
      <c r="H330" s="44">
        <v>96</v>
      </c>
      <c r="I330" s="71" t="s">
        <v>458</v>
      </c>
      <c r="J330" s="65" t="s">
        <v>23</v>
      </c>
      <c r="K330" s="35" t="s">
        <v>31</v>
      </c>
      <c r="L330" s="25" t="s">
        <v>662</v>
      </c>
      <c r="M330" s="21" t="s">
        <v>49</v>
      </c>
      <c r="N330" s="37">
        <v>58.18</v>
      </c>
      <c r="O330" s="37">
        <v>13.7</v>
      </c>
      <c r="P330" s="26">
        <f t="shared" si="48"/>
        <v>44.480000000000004</v>
      </c>
      <c r="Q330" s="27">
        <v>220</v>
      </c>
      <c r="R330" s="28">
        <f t="shared" si="49"/>
        <v>9785.6</v>
      </c>
      <c r="S330" s="27"/>
      <c r="T330" s="29"/>
      <c r="V330" s="29" t="s">
        <v>45</v>
      </c>
      <c r="W330" s="27"/>
      <c r="X330" s="30">
        <f t="shared" si="45"/>
        <v>0</v>
      </c>
      <c r="Y330" s="31"/>
      <c r="Z330" s="31">
        <f t="shared" si="46"/>
        <v>0</v>
      </c>
      <c r="AA330" s="29">
        <f t="shared" si="47"/>
        <v>9785.6</v>
      </c>
    </row>
    <row r="331" spans="1:38" s="32" customFormat="1" x14ac:dyDescent="0.25">
      <c r="A331" s="18">
        <v>335</v>
      </c>
      <c r="B331" s="19">
        <v>46030</v>
      </c>
      <c r="C331" s="19">
        <v>46030</v>
      </c>
      <c r="D331" s="20">
        <v>260108014</v>
      </c>
      <c r="E331" s="21"/>
      <c r="F331" s="21" t="s">
        <v>663</v>
      </c>
      <c r="G331" s="21">
        <v>44</v>
      </c>
      <c r="H331" s="44">
        <v>96</v>
      </c>
      <c r="I331" s="71" t="s">
        <v>458</v>
      </c>
      <c r="J331" s="65" t="s">
        <v>23</v>
      </c>
      <c r="K331" s="35" t="s">
        <v>31</v>
      </c>
      <c r="L331" s="25" t="s">
        <v>664</v>
      </c>
      <c r="M331" s="21" t="s">
        <v>49</v>
      </c>
      <c r="N331" s="37">
        <v>59.04</v>
      </c>
      <c r="O331" s="37">
        <v>14.28</v>
      </c>
      <c r="P331" s="26">
        <f t="shared" si="48"/>
        <v>44.76</v>
      </c>
      <c r="Q331" s="27">
        <v>220</v>
      </c>
      <c r="R331" s="28">
        <f t="shared" si="49"/>
        <v>9847.1999999999989</v>
      </c>
      <c r="S331" s="27"/>
      <c r="T331" s="29"/>
      <c r="V331" s="29" t="s">
        <v>45</v>
      </c>
      <c r="W331" s="27"/>
      <c r="X331" s="30">
        <f t="shared" si="45"/>
        <v>0</v>
      </c>
      <c r="Y331" s="31"/>
      <c r="Z331" s="31">
        <f t="shared" si="46"/>
        <v>0</v>
      </c>
      <c r="AA331" s="29">
        <f t="shared" si="47"/>
        <v>9847.1999999999989</v>
      </c>
    </row>
    <row r="332" spans="1:38" s="38" customFormat="1" x14ac:dyDescent="0.25">
      <c r="A332" s="18">
        <v>336</v>
      </c>
      <c r="B332" s="19">
        <v>46030</v>
      </c>
      <c r="C332" s="19">
        <v>46030</v>
      </c>
      <c r="D332" s="20">
        <v>260108020</v>
      </c>
      <c r="E332" s="21" t="s">
        <v>665</v>
      </c>
      <c r="F332" s="21" t="s">
        <v>666</v>
      </c>
      <c r="G332" s="21">
        <v>47</v>
      </c>
      <c r="H332" s="48">
        <v>53</v>
      </c>
      <c r="I332" s="52" t="s">
        <v>57</v>
      </c>
      <c r="J332" s="49" t="s">
        <v>23</v>
      </c>
      <c r="K332" s="23" t="s">
        <v>31</v>
      </c>
      <c r="L332" s="25" t="s">
        <v>55</v>
      </c>
      <c r="M332" s="21" t="s">
        <v>63</v>
      </c>
      <c r="N332" s="37">
        <v>65.64</v>
      </c>
      <c r="O332" s="37">
        <v>18.18</v>
      </c>
      <c r="P332" s="26">
        <f t="shared" si="48"/>
        <v>47.46</v>
      </c>
      <c r="Q332" s="27">
        <v>425</v>
      </c>
      <c r="R332" s="28">
        <f t="shared" si="49"/>
        <v>20170.5</v>
      </c>
      <c r="S332" s="27"/>
      <c r="T332" s="29"/>
      <c r="V332" s="29" t="s">
        <v>24</v>
      </c>
      <c r="W332" s="27">
        <v>145</v>
      </c>
      <c r="X332" s="30">
        <f t="shared" si="45"/>
        <v>6881.7</v>
      </c>
      <c r="Y332" s="31">
        <v>210</v>
      </c>
      <c r="Z332" s="31">
        <f t="shared" si="46"/>
        <v>9966.6</v>
      </c>
      <c r="AA332" s="29">
        <f t="shared" si="47"/>
        <v>37018.800000000003</v>
      </c>
    </row>
    <row r="333" spans="1:38" s="38" customFormat="1" x14ac:dyDescent="0.25">
      <c r="A333" s="18">
        <v>337</v>
      </c>
      <c r="B333" s="19">
        <v>46030</v>
      </c>
      <c r="C333" s="19">
        <v>46030</v>
      </c>
      <c r="D333" s="20" t="s">
        <v>667</v>
      </c>
      <c r="E333" s="21"/>
      <c r="F333" s="21"/>
      <c r="G333" s="21"/>
      <c r="H333" s="33">
        <v>102</v>
      </c>
      <c r="I333" s="60" t="s">
        <v>287</v>
      </c>
      <c r="J333" s="34" t="s">
        <v>23</v>
      </c>
      <c r="K333" s="35" t="s">
        <v>31</v>
      </c>
      <c r="L333" s="25" t="s">
        <v>288</v>
      </c>
      <c r="M333" s="21" t="s">
        <v>289</v>
      </c>
      <c r="N333" s="37">
        <v>9.1199999999999992</v>
      </c>
      <c r="O333" s="37">
        <v>3.52</v>
      </c>
      <c r="P333" s="26">
        <f t="shared" si="48"/>
        <v>5.6</v>
      </c>
      <c r="Q333" s="27">
        <v>140</v>
      </c>
      <c r="R333" s="28">
        <f t="shared" si="49"/>
        <v>784</v>
      </c>
      <c r="S333" s="27"/>
      <c r="T333" s="29"/>
      <c r="V333" s="29" t="s">
        <v>253</v>
      </c>
      <c r="W333" s="27"/>
      <c r="X333" s="30">
        <f t="shared" si="45"/>
        <v>0</v>
      </c>
      <c r="Y333" s="31"/>
      <c r="Z333" s="31">
        <f t="shared" si="46"/>
        <v>0</v>
      </c>
      <c r="AA333" s="29">
        <f t="shared" si="47"/>
        <v>784</v>
      </c>
    </row>
    <row r="334" spans="1:38" s="32" customFormat="1" x14ac:dyDescent="0.25">
      <c r="A334" s="18">
        <v>338</v>
      </c>
      <c r="B334" s="19">
        <v>46030</v>
      </c>
      <c r="C334" s="19">
        <v>46030</v>
      </c>
      <c r="D334" s="20" t="s">
        <v>668</v>
      </c>
      <c r="E334" s="21"/>
      <c r="F334" s="21"/>
      <c r="G334" s="21"/>
      <c r="H334" s="33">
        <v>102</v>
      </c>
      <c r="I334" s="60" t="s">
        <v>287</v>
      </c>
      <c r="J334" s="34" t="s">
        <v>23</v>
      </c>
      <c r="K334" s="35" t="s">
        <v>31</v>
      </c>
      <c r="L334" s="25" t="s">
        <v>584</v>
      </c>
      <c r="M334" s="21" t="s">
        <v>289</v>
      </c>
      <c r="N334" s="37">
        <v>8.68</v>
      </c>
      <c r="O334" s="37">
        <v>3.56</v>
      </c>
      <c r="P334" s="26">
        <f t="shared" si="48"/>
        <v>5.1199999999999992</v>
      </c>
      <c r="Q334" s="27">
        <v>140</v>
      </c>
      <c r="R334" s="28">
        <f t="shared" si="49"/>
        <v>716.79999999999984</v>
      </c>
      <c r="S334" s="27"/>
      <c r="T334" s="29"/>
      <c r="V334" s="29" t="s">
        <v>253</v>
      </c>
      <c r="W334" s="27"/>
      <c r="X334" s="30">
        <f t="shared" si="45"/>
        <v>0</v>
      </c>
      <c r="Y334" s="31"/>
      <c r="Z334" s="31">
        <f t="shared" si="46"/>
        <v>0</v>
      </c>
      <c r="AA334" s="29">
        <f t="shared" si="47"/>
        <v>716.79999999999984</v>
      </c>
    </row>
    <row r="335" spans="1:38" s="32" customFormat="1" x14ac:dyDescent="0.25">
      <c r="A335" s="18">
        <v>339</v>
      </c>
      <c r="B335" s="19">
        <v>46030</v>
      </c>
      <c r="C335" s="19">
        <v>46030</v>
      </c>
      <c r="D335" s="20" t="s">
        <v>669</v>
      </c>
      <c r="E335" s="21"/>
      <c r="F335" s="21"/>
      <c r="G335" s="21"/>
      <c r="H335" s="33">
        <v>102</v>
      </c>
      <c r="I335" s="60" t="s">
        <v>287</v>
      </c>
      <c r="J335" s="34" t="s">
        <v>23</v>
      </c>
      <c r="K335" s="35" t="s">
        <v>31</v>
      </c>
      <c r="L335" s="25" t="s">
        <v>288</v>
      </c>
      <c r="M335" s="21" t="s">
        <v>289</v>
      </c>
      <c r="N335" s="37">
        <v>8.9</v>
      </c>
      <c r="O335" s="37">
        <v>3.56</v>
      </c>
      <c r="P335" s="26">
        <f t="shared" si="48"/>
        <v>5.34</v>
      </c>
      <c r="Q335" s="27">
        <v>140</v>
      </c>
      <c r="R335" s="28">
        <f t="shared" si="49"/>
        <v>747.6</v>
      </c>
      <c r="S335" s="27"/>
      <c r="T335" s="29"/>
      <c r="V335" s="29" t="s">
        <v>253</v>
      </c>
      <c r="W335" s="27"/>
      <c r="X335" s="30">
        <f t="shared" si="45"/>
        <v>0</v>
      </c>
      <c r="Y335" s="31"/>
      <c r="Z335" s="31">
        <f t="shared" si="46"/>
        <v>0</v>
      </c>
      <c r="AA335" s="29">
        <f t="shared" si="47"/>
        <v>747.6</v>
      </c>
    </row>
    <row r="336" spans="1:38" s="32" customFormat="1" x14ac:dyDescent="0.25">
      <c r="A336" s="18">
        <v>340</v>
      </c>
      <c r="B336" s="19">
        <v>46030</v>
      </c>
      <c r="C336" s="19">
        <v>46030</v>
      </c>
      <c r="D336" s="20" t="s">
        <v>670</v>
      </c>
      <c r="E336" s="21"/>
      <c r="F336" s="21"/>
      <c r="G336" s="21"/>
      <c r="H336" s="33">
        <v>102</v>
      </c>
      <c r="I336" s="60" t="s">
        <v>287</v>
      </c>
      <c r="J336" s="34" t="s">
        <v>23</v>
      </c>
      <c r="K336" s="35" t="s">
        <v>31</v>
      </c>
      <c r="L336" s="25" t="s">
        <v>584</v>
      </c>
      <c r="M336" s="21" t="s">
        <v>289</v>
      </c>
      <c r="N336" s="37">
        <v>8.9600000000000009</v>
      </c>
      <c r="O336" s="37">
        <v>3.48</v>
      </c>
      <c r="P336" s="26">
        <f t="shared" si="48"/>
        <v>5.48</v>
      </c>
      <c r="Q336" s="27">
        <v>140</v>
      </c>
      <c r="R336" s="28">
        <f t="shared" si="49"/>
        <v>767.2</v>
      </c>
      <c r="S336" s="27"/>
      <c r="T336" s="29"/>
      <c r="V336" s="29" t="s">
        <v>253</v>
      </c>
      <c r="W336" s="27"/>
      <c r="X336" s="30">
        <f t="shared" si="45"/>
        <v>0</v>
      </c>
      <c r="Y336" s="31"/>
      <c r="Z336" s="31">
        <f t="shared" si="46"/>
        <v>0</v>
      </c>
      <c r="AA336" s="29">
        <f t="shared" si="47"/>
        <v>767.2</v>
      </c>
    </row>
    <row r="337" spans="1:27" s="38" customFormat="1" x14ac:dyDescent="0.25">
      <c r="A337" s="18">
        <v>341</v>
      </c>
      <c r="B337" s="19">
        <v>46030</v>
      </c>
      <c r="C337" s="19">
        <v>46030</v>
      </c>
      <c r="D337" s="20">
        <v>260108021</v>
      </c>
      <c r="E337" s="21" t="s">
        <v>671</v>
      </c>
      <c r="F337" s="21" t="s">
        <v>672</v>
      </c>
      <c r="G337" s="21">
        <v>45</v>
      </c>
      <c r="H337" s="44">
        <v>115</v>
      </c>
      <c r="I337" s="23" t="s">
        <v>33</v>
      </c>
      <c r="J337" s="24" t="s">
        <v>23</v>
      </c>
      <c r="K337" s="35" t="s">
        <v>31</v>
      </c>
      <c r="L337" s="50" t="s">
        <v>401</v>
      </c>
      <c r="M337" s="21" t="s">
        <v>32</v>
      </c>
      <c r="N337" s="37">
        <v>63.38</v>
      </c>
      <c r="O337" s="37">
        <v>17.66</v>
      </c>
      <c r="P337" s="26">
        <f t="shared" si="48"/>
        <v>45.72</v>
      </c>
      <c r="Q337" s="27">
        <v>315</v>
      </c>
      <c r="R337" s="28">
        <f t="shared" si="49"/>
        <v>14401.8</v>
      </c>
      <c r="S337" s="27"/>
      <c r="T337" s="29"/>
      <c r="V337" s="29" t="s">
        <v>24</v>
      </c>
      <c r="W337" s="27">
        <v>145</v>
      </c>
      <c r="X337" s="30">
        <f t="shared" si="45"/>
        <v>6629.4</v>
      </c>
      <c r="Y337" s="31">
        <v>260</v>
      </c>
      <c r="Z337" s="31">
        <f t="shared" si="46"/>
        <v>11887.199999999999</v>
      </c>
      <c r="AA337" s="29">
        <f t="shared" si="47"/>
        <v>32918.399999999994</v>
      </c>
    </row>
    <row r="338" spans="1:27" s="38" customFormat="1" x14ac:dyDescent="0.25">
      <c r="A338" s="18">
        <v>342</v>
      </c>
      <c r="B338" s="19">
        <v>46030</v>
      </c>
      <c r="C338" s="19">
        <v>46030</v>
      </c>
      <c r="D338" s="20">
        <v>260108022</v>
      </c>
      <c r="E338" s="21" t="s">
        <v>673</v>
      </c>
      <c r="F338" s="21" t="s">
        <v>674</v>
      </c>
      <c r="G338" s="21">
        <v>59</v>
      </c>
      <c r="H338" s="44">
        <v>115</v>
      </c>
      <c r="I338" s="23" t="s">
        <v>33</v>
      </c>
      <c r="J338" s="24" t="s">
        <v>23</v>
      </c>
      <c r="K338" s="35" t="s">
        <v>31</v>
      </c>
      <c r="L338" s="20" t="s">
        <v>206</v>
      </c>
      <c r="M338" s="21" t="s">
        <v>34</v>
      </c>
      <c r="N338" s="37">
        <v>76.680000000000007</v>
      </c>
      <c r="O338" s="37">
        <v>17.260000000000002</v>
      </c>
      <c r="P338" s="26">
        <f t="shared" si="48"/>
        <v>59.42</v>
      </c>
      <c r="Q338" s="27">
        <v>545</v>
      </c>
      <c r="R338" s="28">
        <f t="shared" si="49"/>
        <v>32383.9</v>
      </c>
      <c r="S338" s="27"/>
      <c r="T338" s="29"/>
      <c r="V338" s="29" t="s">
        <v>24</v>
      </c>
      <c r="W338" s="27">
        <v>145</v>
      </c>
      <c r="X338" s="30">
        <f t="shared" si="45"/>
        <v>8615.9</v>
      </c>
      <c r="Y338" s="31">
        <v>260</v>
      </c>
      <c r="Z338" s="31">
        <f t="shared" si="46"/>
        <v>15449.2</v>
      </c>
      <c r="AA338" s="29">
        <f t="shared" si="47"/>
        <v>56449</v>
      </c>
    </row>
    <row r="339" spans="1:27" s="32" customFormat="1" x14ac:dyDescent="0.25">
      <c r="A339" s="18">
        <v>343</v>
      </c>
      <c r="B339" s="19">
        <v>46030</v>
      </c>
      <c r="C339" s="19">
        <v>46030</v>
      </c>
      <c r="D339" s="20">
        <v>260108026</v>
      </c>
      <c r="E339" s="21" t="s">
        <v>675</v>
      </c>
      <c r="F339" s="21" t="s">
        <v>676</v>
      </c>
      <c r="G339" s="21">
        <v>45</v>
      </c>
      <c r="H339" s="44">
        <v>115</v>
      </c>
      <c r="I339" s="23" t="s">
        <v>33</v>
      </c>
      <c r="J339" s="24" t="s">
        <v>23</v>
      </c>
      <c r="K339" s="35" t="s">
        <v>31</v>
      </c>
      <c r="L339" s="50" t="s">
        <v>62</v>
      </c>
      <c r="M339" s="21" t="s">
        <v>32</v>
      </c>
      <c r="N339" s="37">
        <v>60.9</v>
      </c>
      <c r="O339" s="37">
        <v>15.34</v>
      </c>
      <c r="P339" s="26">
        <f t="shared" si="48"/>
        <v>45.56</v>
      </c>
      <c r="Q339" s="27">
        <v>315</v>
      </c>
      <c r="R339" s="28">
        <f t="shared" si="49"/>
        <v>14351.400000000001</v>
      </c>
      <c r="S339" s="27"/>
      <c r="T339" s="29"/>
      <c r="V339" s="29" t="s">
        <v>24</v>
      </c>
      <c r="W339" s="27">
        <v>145</v>
      </c>
      <c r="X339" s="30">
        <f t="shared" si="45"/>
        <v>6606.2000000000007</v>
      </c>
      <c r="Y339" s="31">
        <v>260</v>
      </c>
      <c r="Z339" s="31">
        <f t="shared" si="46"/>
        <v>11845.6</v>
      </c>
      <c r="AA339" s="29">
        <f t="shared" si="47"/>
        <v>32803.200000000004</v>
      </c>
    </row>
    <row r="340" spans="1:27" s="32" customFormat="1" x14ac:dyDescent="0.25">
      <c r="A340" s="18">
        <v>344</v>
      </c>
      <c r="B340" s="19">
        <v>46030</v>
      </c>
      <c r="C340" s="19">
        <v>46030</v>
      </c>
      <c r="D340" s="20">
        <v>260108023</v>
      </c>
      <c r="E340" s="21" t="s">
        <v>677</v>
      </c>
      <c r="F340" s="21" t="s">
        <v>678</v>
      </c>
      <c r="G340" s="21">
        <v>46</v>
      </c>
      <c r="H340" s="44">
        <v>115</v>
      </c>
      <c r="I340" s="23" t="s">
        <v>33</v>
      </c>
      <c r="J340" s="24" t="s">
        <v>23</v>
      </c>
      <c r="K340" s="35" t="s">
        <v>31</v>
      </c>
      <c r="L340" s="25" t="s">
        <v>41</v>
      </c>
      <c r="M340" s="21" t="s">
        <v>34</v>
      </c>
      <c r="N340" s="37">
        <v>62.68</v>
      </c>
      <c r="O340" s="37">
        <v>15.78</v>
      </c>
      <c r="P340" s="26">
        <f t="shared" si="48"/>
        <v>46.9</v>
      </c>
      <c r="Q340" s="27">
        <v>545</v>
      </c>
      <c r="R340" s="28">
        <f t="shared" si="49"/>
        <v>25560.5</v>
      </c>
      <c r="S340" s="27"/>
      <c r="T340" s="29"/>
      <c r="V340" s="29" t="s">
        <v>24</v>
      </c>
      <c r="W340" s="27">
        <v>145</v>
      </c>
      <c r="X340" s="30">
        <f t="shared" si="45"/>
        <v>6800.5</v>
      </c>
      <c r="Y340" s="31">
        <v>260</v>
      </c>
      <c r="Z340" s="31">
        <f t="shared" si="46"/>
        <v>12194</v>
      </c>
      <c r="AA340" s="29">
        <f t="shared" si="47"/>
        <v>44555</v>
      </c>
    </row>
    <row r="341" spans="1:27" s="32" customFormat="1" x14ac:dyDescent="0.25">
      <c r="A341" s="18">
        <v>345</v>
      </c>
      <c r="B341" s="19">
        <v>46030</v>
      </c>
      <c r="C341" s="19">
        <v>46030</v>
      </c>
      <c r="D341" s="20">
        <v>260108027</v>
      </c>
      <c r="E341" s="21" t="s">
        <v>679</v>
      </c>
      <c r="F341" s="21" t="s">
        <v>680</v>
      </c>
      <c r="G341" s="21">
        <v>38</v>
      </c>
      <c r="H341" s="44">
        <v>115</v>
      </c>
      <c r="I341" s="23" t="s">
        <v>33</v>
      </c>
      <c r="J341" s="24" t="s">
        <v>23</v>
      </c>
      <c r="K341" s="35" t="s">
        <v>31</v>
      </c>
      <c r="L341" s="25" t="s">
        <v>51</v>
      </c>
      <c r="M341" s="21" t="s">
        <v>35</v>
      </c>
      <c r="N341" s="37">
        <v>50.36</v>
      </c>
      <c r="O341" s="37">
        <v>11.46</v>
      </c>
      <c r="P341" s="26">
        <f t="shared" si="48"/>
        <v>38.9</v>
      </c>
      <c r="Q341" s="27">
        <v>445</v>
      </c>
      <c r="R341" s="28">
        <f t="shared" si="49"/>
        <v>17310.5</v>
      </c>
      <c r="S341" s="27"/>
      <c r="T341" s="29"/>
      <c r="V341" s="29" t="s">
        <v>24</v>
      </c>
      <c r="W341" s="27">
        <v>145</v>
      </c>
      <c r="X341" s="30">
        <f t="shared" si="45"/>
        <v>5640.5</v>
      </c>
      <c r="Y341" s="31">
        <v>260</v>
      </c>
      <c r="Z341" s="31">
        <f t="shared" si="46"/>
        <v>10114</v>
      </c>
      <c r="AA341" s="29">
        <f t="shared" si="47"/>
        <v>33065</v>
      </c>
    </row>
    <row r="342" spans="1:27" s="32" customFormat="1" x14ac:dyDescent="0.25">
      <c r="A342" s="18">
        <v>346</v>
      </c>
      <c r="B342" s="19">
        <v>46030</v>
      </c>
      <c r="C342" s="19">
        <v>46030</v>
      </c>
      <c r="D342" s="20">
        <v>260108024</v>
      </c>
      <c r="E342" s="21" t="s">
        <v>681</v>
      </c>
      <c r="F342" s="21" t="s">
        <v>682</v>
      </c>
      <c r="G342" s="21">
        <v>52</v>
      </c>
      <c r="H342" s="44">
        <v>115</v>
      </c>
      <c r="I342" s="23" t="s">
        <v>33</v>
      </c>
      <c r="J342" s="24" t="s">
        <v>23</v>
      </c>
      <c r="K342" s="35" t="s">
        <v>31</v>
      </c>
      <c r="L342" s="20" t="s">
        <v>50</v>
      </c>
      <c r="M342" s="21" t="s">
        <v>35</v>
      </c>
      <c r="N342" s="37">
        <v>68.98</v>
      </c>
      <c r="O342" s="37">
        <v>16.68</v>
      </c>
      <c r="P342" s="26">
        <f t="shared" si="48"/>
        <v>52.300000000000004</v>
      </c>
      <c r="Q342" s="27">
        <v>445</v>
      </c>
      <c r="R342" s="28">
        <f t="shared" si="49"/>
        <v>23273.500000000004</v>
      </c>
      <c r="S342" s="27"/>
      <c r="T342" s="29"/>
      <c r="V342" s="29" t="s">
        <v>24</v>
      </c>
      <c r="W342" s="27">
        <v>145</v>
      </c>
      <c r="X342" s="30">
        <f t="shared" si="45"/>
        <v>7583.5000000000009</v>
      </c>
      <c r="Y342" s="31">
        <v>260</v>
      </c>
      <c r="Z342" s="31">
        <f t="shared" si="46"/>
        <v>13598.000000000002</v>
      </c>
      <c r="AA342" s="29">
        <f t="shared" si="47"/>
        <v>44455.000000000007</v>
      </c>
    </row>
    <row r="343" spans="1:27" s="32" customFormat="1" x14ac:dyDescent="0.25">
      <c r="A343" s="18">
        <v>347</v>
      </c>
      <c r="B343" s="19">
        <v>46030</v>
      </c>
      <c r="C343" s="19">
        <v>46030</v>
      </c>
      <c r="D343" s="20">
        <v>260108028</v>
      </c>
      <c r="E343" s="21" t="s">
        <v>683</v>
      </c>
      <c r="F343" s="21" t="s">
        <v>684</v>
      </c>
      <c r="G343" s="21">
        <v>51</v>
      </c>
      <c r="H343" s="44">
        <v>115</v>
      </c>
      <c r="I343" s="23" t="s">
        <v>33</v>
      </c>
      <c r="J343" s="24" t="s">
        <v>23</v>
      </c>
      <c r="K343" s="35" t="s">
        <v>31</v>
      </c>
      <c r="L343" s="20" t="s">
        <v>37</v>
      </c>
      <c r="M343" s="21" t="s">
        <v>35</v>
      </c>
      <c r="N343" s="37">
        <v>66.900000000000006</v>
      </c>
      <c r="O343" s="37">
        <v>15.78</v>
      </c>
      <c r="P343" s="26">
        <f t="shared" si="48"/>
        <v>51.120000000000005</v>
      </c>
      <c r="Q343" s="27">
        <v>445</v>
      </c>
      <c r="R343" s="28">
        <f t="shared" si="49"/>
        <v>22748.400000000001</v>
      </c>
      <c r="S343" s="27"/>
      <c r="T343" s="29"/>
      <c r="V343" s="29" t="s">
        <v>24</v>
      </c>
      <c r="W343" s="27">
        <v>145</v>
      </c>
      <c r="X343" s="30">
        <f t="shared" si="45"/>
        <v>7412.4000000000005</v>
      </c>
      <c r="Y343" s="31">
        <v>260</v>
      </c>
      <c r="Z343" s="31">
        <f t="shared" si="46"/>
        <v>13291.2</v>
      </c>
      <c r="AA343" s="29">
        <f t="shared" si="47"/>
        <v>43452</v>
      </c>
    </row>
    <row r="344" spans="1:27" s="38" customFormat="1" x14ac:dyDescent="0.25">
      <c r="A344" s="18">
        <v>348</v>
      </c>
      <c r="B344" s="19">
        <v>46030</v>
      </c>
      <c r="C344" s="19">
        <v>46030</v>
      </c>
      <c r="D344" s="20">
        <v>260108025</v>
      </c>
      <c r="E344" s="21" t="s">
        <v>685</v>
      </c>
      <c r="F344" s="21" t="s">
        <v>686</v>
      </c>
      <c r="G344" s="21">
        <v>47</v>
      </c>
      <c r="H344" s="44">
        <v>115</v>
      </c>
      <c r="I344" s="23" t="s">
        <v>33</v>
      </c>
      <c r="J344" s="24" t="s">
        <v>23</v>
      </c>
      <c r="K344" s="35" t="s">
        <v>31</v>
      </c>
      <c r="L344" s="25" t="s">
        <v>38</v>
      </c>
      <c r="M344" s="21" t="s">
        <v>35</v>
      </c>
      <c r="N344" s="37">
        <v>62.84</v>
      </c>
      <c r="O344" s="37">
        <v>15.02</v>
      </c>
      <c r="P344" s="26">
        <f t="shared" si="48"/>
        <v>47.820000000000007</v>
      </c>
      <c r="Q344" s="27">
        <v>445</v>
      </c>
      <c r="R344" s="28">
        <f t="shared" si="49"/>
        <v>21279.900000000005</v>
      </c>
      <c r="S344" s="21"/>
      <c r="T344" s="29"/>
      <c r="V344" s="29" t="s">
        <v>24</v>
      </c>
      <c r="W344" s="27">
        <v>145</v>
      </c>
      <c r="X344" s="30">
        <f t="shared" si="45"/>
        <v>6933.9000000000015</v>
      </c>
      <c r="Y344" s="31">
        <v>260</v>
      </c>
      <c r="Z344" s="31">
        <f t="shared" si="46"/>
        <v>12433.200000000003</v>
      </c>
      <c r="AA344" s="29">
        <f t="shared" si="47"/>
        <v>40647.000000000007</v>
      </c>
    </row>
    <row r="345" spans="1:27" s="38" customFormat="1" x14ac:dyDescent="0.25">
      <c r="A345" s="18">
        <v>349</v>
      </c>
      <c r="B345" s="19">
        <v>46030</v>
      </c>
      <c r="C345" s="19">
        <v>46030</v>
      </c>
      <c r="D345" s="20">
        <v>260108029</v>
      </c>
      <c r="E345" s="21" t="s">
        <v>687</v>
      </c>
      <c r="F345" s="21" t="s">
        <v>688</v>
      </c>
      <c r="G345" s="21">
        <v>39</v>
      </c>
      <c r="H345" s="44">
        <v>115</v>
      </c>
      <c r="I345" s="23" t="s">
        <v>33</v>
      </c>
      <c r="J345" s="24" t="s">
        <v>23</v>
      </c>
      <c r="K345" s="35" t="s">
        <v>31</v>
      </c>
      <c r="L345" s="25" t="s">
        <v>39</v>
      </c>
      <c r="M345" s="21" t="s">
        <v>35</v>
      </c>
      <c r="N345" s="37">
        <v>51.46</v>
      </c>
      <c r="O345" s="37">
        <v>11.82</v>
      </c>
      <c r="P345" s="26">
        <f t="shared" si="48"/>
        <v>39.64</v>
      </c>
      <c r="Q345" s="27">
        <v>445</v>
      </c>
      <c r="R345" s="28">
        <f t="shared" si="49"/>
        <v>17639.8</v>
      </c>
      <c r="S345" s="21"/>
      <c r="T345" s="29"/>
      <c r="V345" s="29" t="s">
        <v>24</v>
      </c>
      <c r="W345" s="27">
        <v>145</v>
      </c>
      <c r="X345" s="30">
        <f t="shared" si="45"/>
        <v>5747.8</v>
      </c>
      <c r="Y345" s="31">
        <v>260</v>
      </c>
      <c r="Z345" s="31">
        <f t="shared" si="46"/>
        <v>10306.4</v>
      </c>
      <c r="AA345" s="29">
        <f t="shared" si="47"/>
        <v>33694</v>
      </c>
    </row>
    <row r="346" spans="1:27" s="32" customFormat="1" x14ac:dyDescent="0.25">
      <c r="A346" s="18">
        <v>350</v>
      </c>
      <c r="B346" s="19">
        <v>46030</v>
      </c>
      <c r="C346" s="19">
        <v>46030</v>
      </c>
      <c r="D346" s="20" t="s">
        <v>689</v>
      </c>
      <c r="E346" s="21"/>
      <c r="F346" s="21"/>
      <c r="G346" s="21"/>
      <c r="H346" s="33">
        <v>102</v>
      </c>
      <c r="I346" s="60" t="s">
        <v>287</v>
      </c>
      <c r="J346" s="34" t="s">
        <v>23</v>
      </c>
      <c r="K346" s="35" t="s">
        <v>31</v>
      </c>
      <c r="L346" s="25" t="s">
        <v>288</v>
      </c>
      <c r="M346" s="21" t="s">
        <v>289</v>
      </c>
      <c r="N346" s="37">
        <v>9.18</v>
      </c>
      <c r="O346" s="37">
        <v>3.62</v>
      </c>
      <c r="P346" s="26">
        <f t="shared" si="48"/>
        <v>5.56</v>
      </c>
      <c r="Q346" s="27">
        <v>140</v>
      </c>
      <c r="R346" s="28">
        <f t="shared" si="49"/>
        <v>778.4</v>
      </c>
      <c r="S346" s="27"/>
      <c r="T346" s="29"/>
      <c r="V346" s="29" t="s">
        <v>253</v>
      </c>
      <c r="W346" s="27"/>
      <c r="X346" s="30">
        <f t="shared" si="45"/>
        <v>0</v>
      </c>
      <c r="Y346" s="31"/>
      <c r="Z346" s="31">
        <f t="shared" si="46"/>
        <v>0</v>
      </c>
      <c r="AA346" s="29">
        <f t="shared" si="47"/>
        <v>778.4</v>
      </c>
    </row>
    <row r="347" spans="1:27" s="38" customFormat="1" x14ac:dyDescent="0.25">
      <c r="A347" s="18">
        <v>351</v>
      </c>
      <c r="B347" s="19">
        <v>46030</v>
      </c>
      <c r="C347" s="19">
        <v>46030</v>
      </c>
      <c r="D347" s="20" t="s">
        <v>690</v>
      </c>
      <c r="E347" s="21"/>
      <c r="F347" s="21"/>
      <c r="G347" s="21"/>
      <c r="H347" s="33">
        <v>102</v>
      </c>
      <c r="I347" s="60" t="s">
        <v>287</v>
      </c>
      <c r="J347" s="34" t="s">
        <v>23</v>
      </c>
      <c r="K347" s="35" t="s">
        <v>31</v>
      </c>
      <c r="L347" s="25" t="s">
        <v>584</v>
      </c>
      <c r="M347" s="21" t="s">
        <v>289</v>
      </c>
      <c r="N347" s="37">
        <v>8.9</v>
      </c>
      <c r="O347" s="37">
        <v>3.54</v>
      </c>
      <c r="P347" s="26">
        <f t="shared" si="48"/>
        <v>5.36</v>
      </c>
      <c r="Q347" s="27">
        <v>140</v>
      </c>
      <c r="R347" s="28">
        <f t="shared" si="49"/>
        <v>750.40000000000009</v>
      </c>
      <c r="S347" s="27"/>
      <c r="T347" s="29"/>
      <c r="V347" s="29" t="s">
        <v>253</v>
      </c>
      <c r="W347" s="27"/>
      <c r="X347" s="30">
        <f t="shared" si="45"/>
        <v>0</v>
      </c>
      <c r="Y347" s="31"/>
      <c r="Z347" s="31">
        <f t="shared" si="46"/>
        <v>0</v>
      </c>
      <c r="AA347" s="29">
        <f t="shared" si="47"/>
        <v>750.40000000000009</v>
      </c>
    </row>
    <row r="348" spans="1:27" s="32" customFormat="1" x14ac:dyDescent="0.25">
      <c r="A348" s="18">
        <v>352</v>
      </c>
      <c r="B348" s="19">
        <v>46030</v>
      </c>
      <c r="C348" s="19">
        <v>46030</v>
      </c>
      <c r="D348" s="20">
        <v>260108030</v>
      </c>
      <c r="E348" s="21" t="s">
        <v>691</v>
      </c>
      <c r="F348" s="21" t="s">
        <v>692</v>
      </c>
      <c r="G348" s="21">
        <v>47</v>
      </c>
      <c r="H348" s="44">
        <v>115</v>
      </c>
      <c r="I348" s="23" t="s">
        <v>33</v>
      </c>
      <c r="J348" s="24" t="s">
        <v>23</v>
      </c>
      <c r="K348" s="35" t="s">
        <v>31</v>
      </c>
      <c r="L348" s="25" t="s">
        <v>46</v>
      </c>
      <c r="M348" s="21" t="s">
        <v>34</v>
      </c>
      <c r="N348" s="37">
        <v>62.42</v>
      </c>
      <c r="O348" s="37">
        <v>15</v>
      </c>
      <c r="P348" s="26">
        <f t="shared" si="48"/>
        <v>47.42</v>
      </c>
      <c r="Q348" s="27">
        <v>545</v>
      </c>
      <c r="R348" s="28">
        <f t="shared" si="49"/>
        <v>25843.9</v>
      </c>
      <c r="S348" s="27"/>
      <c r="T348" s="29"/>
      <c r="V348" s="29" t="s">
        <v>24</v>
      </c>
      <c r="W348" s="27">
        <v>145</v>
      </c>
      <c r="X348" s="30">
        <f t="shared" si="45"/>
        <v>6875.9000000000005</v>
      </c>
      <c r="Y348" s="31">
        <v>260</v>
      </c>
      <c r="Z348" s="31">
        <f t="shared" si="46"/>
        <v>12329.2</v>
      </c>
      <c r="AA348" s="29">
        <f t="shared" si="47"/>
        <v>45049</v>
      </c>
    </row>
    <row r="349" spans="1:27" s="38" customFormat="1" x14ac:dyDescent="0.25">
      <c r="A349" s="18">
        <v>353</v>
      </c>
      <c r="B349" s="19">
        <v>46030</v>
      </c>
      <c r="C349" s="19">
        <v>46030</v>
      </c>
      <c r="D349" s="20" t="s">
        <v>693</v>
      </c>
      <c r="E349" s="21"/>
      <c r="F349" s="21"/>
      <c r="G349" s="21"/>
      <c r="H349" s="33">
        <v>95</v>
      </c>
      <c r="I349" s="23" t="s">
        <v>218</v>
      </c>
      <c r="J349" s="34" t="s">
        <v>23</v>
      </c>
      <c r="K349" s="35" t="s">
        <v>31</v>
      </c>
      <c r="L349" s="43" t="s">
        <v>219</v>
      </c>
      <c r="M349" s="21" t="s">
        <v>343</v>
      </c>
      <c r="N349" s="37">
        <v>57.56</v>
      </c>
      <c r="O349" s="37">
        <v>15.42</v>
      </c>
      <c r="P349" s="26">
        <f t="shared" si="48"/>
        <v>42.14</v>
      </c>
      <c r="Q349" s="27">
        <v>440</v>
      </c>
      <c r="R349" s="28">
        <f t="shared" si="49"/>
        <v>18541.599999999999</v>
      </c>
      <c r="S349" s="21"/>
      <c r="T349" s="29"/>
      <c r="V349" s="29" t="s">
        <v>45</v>
      </c>
      <c r="W349" s="27"/>
      <c r="X349" s="30">
        <f t="shared" si="45"/>
        <v>0</v>
      </c>
      <c r="Y349" s="31"/>
      <c r="Z349" s="31">
        <f t="shared" si="46"/>
        <v>0</v>
      </c>
      <c r="AA349" s="29">
        <f t="shared" si="47"/>
        <v>18541.599999999999</v>
      </c>
    </row>
    <row r="350" spans="1:27" s="32" customFormat="1" x14ac:dyDescent="0.25">
      <c r="A350" s="18">
        <v>354</v>
      </c>
      <c r="B350" s="19">
        <v>46030</v>
      </c>
      <c r="C350" s="19">
        <v>46030</v>
      </c>
      <c r="D350" s="69">
        <v>260108031</v>
      </c>
      <c r="E350" s="21"/>
      <c r="F350" s="21"/>
      <c r="G350" s="21"/>
      <c r="H350" s="59"/>
      <c r="I350" s="23" t="s">
        <v>694</v>
      </c>
      <c r="J350" s="34" t="s">
        <v>23</v>
      </c>
      <c r="K350" s="35" t="s">
        <v>30</v>
      </c>
      <c r="L350" s="25" t="s">
        <v>695</v>
      </c>
      <c r="M350" s="21" t="s">
        <v>34</v>
      </c>
      <c r="N350" s="21">
        <v>5.92</v>
      </c>
      <c r="O350" s="37">
        <v>3.5</v>
      </c>
      <c r="P350" s="26">
        <f t="shared" si="48"/>
        <v>2.42</v>
      </c>
      <c r="Q350" s="27">
        <v>550</v>
      </c>
      <c r="R350" s="28">
        <f t="shared" si="49"/>
        <v>1331</v>
      </c>
      <c r="S350" s="27">
        <v>1331</v>
      </c>
      <c r="T350" s="29"/>
      <c r="V350" s="29" t="s">
        <v>24</v>
      </c>
      <c r="W350" s="27"/>
      <c r="X350" s="30">
        <f t="shared" si="45"/>
        <v>0</v>
      </c>
      <c r="Y350" s="31"/>
      <c r="Z350" s="31">
        <f t="shared" si="46"/>
        <v>0</v>
      </c>
      <c r="AA350" s="29">
        <f t="shared" si="47"/>
        <v>1331</v>
      </c>
    </row>
    <row r="351" spans="1:27" s="32" customFormat="1" x14ac:dyDescent="0.25">
      <c r="A351" s="18">
        <v>355</v>
      </c>
      <c r="B351" s="19">
        <v>46030</v>
      </c>
      <c r="C351" s="19">
        <v>46030</v>
      </c>
      <c r="D351" s="20">
        <v>260108032</v>
      </c>
      <c r="E351" s="21" t="s">
        <v>696</v>
      </c>
      <c r="F351" s="21" t="s">
        <v>697</v>
      </c>
      <c r="G351" s="21">
        <v>47</v>
      </c>
      <c r="H351" s="44">
        <v>115</v>
      </c>
      <c r="I351" s="23" t="s">
        <v>33</v>
      </c>
      <c r="J351" s="24" t="s">
        <v>23</v>
      </c>
      <c r="K351" s="35" t="s">
        <v>31</v>
      </c>
      <c r="L351" s="25" t="s">
        <v>140</v>
      </c>
      <c r="M351" s="21" t="s">
        <v>34</v>
      </c>
      <c r="N351" s="21">
        <v>65.42</v>
      </c>
      <c r="O351" s="37">
        <v>17.66</v>
      </c>
      <c r="P351" s="26">
        <f t="shared" si="48"/>
        <v>47.760000000000005</v>
      </c>
      <c r="Q351" s="27">
        <v>545</v>
      </c>
      <c r="R351" s="28">
        <f t="shared" si="49"/>
        <v>26029.200000000004</v>
      </c>
      <c r="S351" s="27"/>
      <c r="T351" s="29"/>
      <c r="V351" s="29" t="s">
        <v>24</v>
      </c>
      <c r="W351" s="27">
        <v>145</v>
      </c>
      <c r="X351" s="30">
        <f t="shared" si="45"/>
        <v>6925.2000000000007</v>
      </c>
      <c r="Y351" s="31">
        <v>260</v>
      </c>
      <c r="Z351" s="31">
        <f t="shared" si="46"/>
        <v>12417.600000000002</v>
      </c>
      <c r="AA351" s="29">
        <f t="shared" si="47"/>
        <v>45372.000000000015</v>
      </c>
    </row>
    <row r="352" spans="1:27" s="32" customFormat="1" x14ac:dyDescent="0.25">
      <c r="A352" s="18">
        <v>356</v>
      </c>
      <c r="B352" s="19">
        <v>46030</v>
      </c>
      <c r="C352" s="19">
        <v>46030</v>
      </c>
      <c r="D352" s="20">
        <v>260108033</v>
      </c>
      <c r="E352" s="21" t="s">
        <v>698</v>
      </c>
      <c r="F352" s="21" t="s">
        <v>699</v>
      </c>
      <c r="G352" s="21">
        <v>52</v>
      </c>
      <c r="H352" s="44">
        <v>115</v>
      </c>
      <c r="I352" s="23" t="s">
        <v>33</v>
      </c>
      <c r="J352" s="24" t="s">
        <v>23</v>
      </c>
      <c r="K352" s="35" t="s">
        <v>31</v>
      </c>
      <c r="L352" s="25" t="s">
        <v>66</v>
      </c>
      <c r="M352" s="21" t="s">
        <v>34</v>
      </c>
      <c r="N352" s="37">
        <v>67.44</v>
      </c>
      <c r="O352" s="37">
        <v>15.4</v>
      </c>
      <c r="P352" s="26">
        <f t="shared" si="48"/>
        <v>52.04</v>
      </c>
      <c r="Q352" s="27">
        <v>545</v>
      </c>
      <c r="R352" s="28">
        <f t="shared" si="49"/>
        <v>28361.8</v>
      </c>
      <c r="S352" s="27"/>
      <c r="T352" s="29"/>
      <c r="V352" s="29" t="s">
        <v>24</v>
      </c>
      <c r="W352" s="27">
        <v>145</v>
      </c>
      <c r="X352" s="30">
        <f t="shared" ref="X352:X373" si="50">P352*W352</f>
        <v>7545.8</v>
      </c>
      <c r="Y352" s="31">
        <v>260</v>
      </c>
      <c r="Z352" s="31">
        <f t="shared" ref="Z352:Z373" si="51">P352*Y352</f>
        <v>13530.4</v>
      </c>
      <c r="AA352" s="29">
        <f t="shared" ref="AA352:AA373" si="52">R352+X352+Z352</f>
        <v>49438</v>
      </c>
    </row>
    <row r="353" spans="1:27" s="32" customFormat="1" x14ac:dyDescent="0.25">
      <c r="A353" s="18">
        <v>357</v>
      </c>
      <c r="B353" s="19">
        <v>46030</v>
      </c>
      <c r="C353" s="19">
        <v>46030</v>
      </c>
      <c r="D353" s="20">
        <v>260108034</v>
      </c>
      <c r="E353" s="21" t="s">
        <v>700</v>
      </c>
      <c r="F353" s="21" t="s">
        <v>701</v>
      </c>
      <c r="G353" s="21">
        <v>34</v>
      </c>
      <c r="H353" s="44">
        <v>96</v>
      </c>
      <c r="I353" s="71" t="s">
        <v>458</v>
      </c>
      <c r="J353" s="65" t="s">
        <v>23</v>
      </c>
      <c r="K353" s="35" t="s">
        <v>31</v>
      </c>
      <c r="L353" s="25" t="s">
        <v>459</v>
      </c>
      <c r="M353" s="21" t="s">
        <v>34</v>
      </c>
      <c r="N353" s="37">
        <v>46.6</v>
      </c>
      <c r="O353" s="37">
        <v>11.94</v>
      </c>
      <c r="P353" s="26">
        <f t="shared" si="48"/>
        <v>34.660000000000004</v>
      </c>
      <c r="Q353" s="27">
        <v>520</v>
      </c>
      <c r="R353" s="28">
        <f t="shared" si="49"/>
        <v>18023.2</v>
      </c>
      <c r="S353" s="27"/>
      <c r="T353" s="29"/>
      <c r="V353" s="29" t="s">
        <v>24</v>
      </c>
      <c r="W353" s="27">
        <v>145</v>
      </c>
      <c r="X353" s="30">
        <f t="shared" si="50"/>
        <v>5025.7000000000007</v>
      </c>
      <c r="Y353" s="31"/>
      <c r="Z353" s="31">
        <f t="shared" si="51"/>
        <v>0</v>
      </c>
      <c r="AA353" s="29">
        <f t="shared" si="52"/>
        <v>23048.9</v>
      </c>
    </row>
    <row r="354" spans="1:27" s="32" customFormat="1" x14ac:dyDescent="0.25">
      <c r="A354" s="18">
        <v>358</v>
      </c>
      <c r="B354" s="19">
        <v>46030</v>
      </c>
      <c r="C354" s="19">
        <v>46030</v>
      </c>
      <c r="D354" s="20">
        <v>260108035</v>
      </c>
      <c r="E354" s="21"/>
      <c r="F354" s="21" t="s">
        <v>702</v>
      </c>
      <c r="G354" s="21">
        <v>47</v>
      </c>
      <c r="H354" s="33">
        <v>285</v>
      </c>
      <c r="I354" s="73" t="s">
        <v>703</v>
      </c>
      <c r="J354" s="24" t="s">
        <v>23</v>
      </c>
      <c r="K354" s="23" t="s">
        <v>31</v>
      </c>
      <c r="L354" s="21" t="s">
        <v>704</v>
      </c>
      <c r="M354" s="21" t="s">
        <v>34</v>
      </c>
      <c r="N354" s="37">
        <v>62.86</v>
      </c>
      <c r="O354" s="37">
        <v>15.36</v>
      </c>
      <c r="P354" s="26">
        <f t="shared" si="48"/>
        <v>47.5</v>
      </c>
      <c r="Q354" s="27">
        <v>520</v>
      </c>
      <c r="R354" s="28">
        <f t="shared" si="49"/>
        <v>24700</v>
      </c>
      <c r="S354" s="27"/>
      <c r="T354" s="29"/>
      <c r="V354" s="29" t="s">
        <v>45</v>
      </c>
      <c r="W354" s="27"/>
      <c r="X354" s="30">
        <f t="shared" si="50"/>
        <v>0</v>
      </c>
      <c r="Y354" s="31"/>
      <c r="Z354" s="31">
        <f t="shared" si="51"/>
        <v>0</v>
      </c>
      <c r="AA354" s="29">
        <f t="shared" si="52"/>
        <v>24700</v>
      </c>
    </row>
    <row r="355" spans="1:27" s="38" customFormat="1" x14ac:dyDescent="0.25">
      <c r="A355" s="18">
        <v>359</v>
      </c>
      <c r="B355" s="19">
        <v>46030</v>
      </c>
      <c r="C355" s="19">
        <v>46030</v>
      </c>
      <c r="D355" s="20">
        <v>260108036</v>
      </c>
      <c r="E355" s="21" t="s">
        <v>705</v>
      </c>
      <c r="F355" s="21" t="s">
        <v>706</v>
      </c>
      <c r="G355" s="21">
        <v>34</v>
      </c>
      <c r="H355" s="44">
        <v>115</v>
      </c>
      <c r="I355" s="23" t="s">
        <v>33</v>
      </c>
      <c r="J355" s="24" t="s">
        <v>23</v>
      </c>
      <c r="K355" s="35" t="s">
        <v>31</v>
      </c>
      <c r="L355" s="21" t="s">
        <v>40</v>
      </c>
      <c r="M355" s="21" t="s">
        <v>32</v>
      </c>
      <c r="N355" s="37">
        <v>45.96</v>
      </c>
      <c r="O355" s="37">
        <v>11.54</v>
      </c>
      <c r="P355" s="26">
        <f t="shared" si="48"/>
        <v>34.42</v>
      </c>
      <c r="Q355" s="27">
        <v>315</v>
      </c>
      <c r="R355" s="28">
        <f t="shared" si="49"/>
        <v>10842.300000000001</v>
      </c>
      <c r="S355" s="27"/>
      <c r="T355" s="29"/>
      <c r="V355" s="29" t="s">
        <v>24</v>
      </c>
      <c r="W355" s="27">
        <v>145</v>
      </c>
      <c r="X355" s="30">
        <f t="shared" si="50"/>
        <v>4990.9000000000005</v>
      </c>
      <c r="Y355" s="31">
        <v>260</v>
      </c>
      <c r="Z355" s="31">
        <f t="shared" si="51"/>
        <v>8949.2000000000007</v>
      </c>
      <c r="AA355" s="29">
        <f t="shared" si="52"/>
        <v>24782.400000000001</v>
      </c>
    </row>
    <row r="356" spans="1:27" s="32" customFormat="1" x14ac:dyDescent="0.25">
      <c r="A356" s="18">
        <v>360</v>
      </c>
      <c r="B356" s="19">
        <v>46030</v>
      </c>
      <c r="C356" s="19">
        <v>46030</v>
      </c>
      <c r="D356" s="20">
        <v>260108037</v>
      </c>
      <c r="E356" s="21" t="s">
        <v>707</v>
      </c>
      <c r="F356" s="21" t="s">
        <v>708</v>
      </c>
      <c r="G356" s="21">
        <v>39</v>
      </c>
      <c r="H356" s="44">
        <v>115</v>
      </c>
      <c r="I356" s="23" t="s">
        <v>33</v>
      </c>
      <c r="J356" s="24" t="s">
        <v>23</v>
      </c>
      <c r="K356" s="35" t="s">
        <v>31</v>
      </c>
      <c r="L356" s="47" t="s">
        <v>42</v>
      </c>
      <c r="M356" s="21" t="s">
        <v>35</v>
      </c>
      <c r="N356" s="37">
        <v>51.12</v>
      </c>
      <c r="O356" s="37">
        <v>11.84</v>
      </c>
      <c r="P356" s="26">
        <f t="shared" si="48"/>
        <v>39.28</v>
      </c>
      <c r="Q356" s="27">
        <v>445</v>
      </c>
      <c r="R356" s="28">
        <f t="shared" si="49"/>
        <v>17479.600000000002</v>
      </c>
      <c r="S356" s="27"/>
      <c r="T356" s="29"/>
      <c r="V356" s="29" t="s">
        <v>24</v>
      </c>
      <c r="W356" s="27">
        <v>145</v>
      </c>
      <c r="X356" s="30">
        <f t="shared" si="50"/>
        <v>5695.6</v>
      </c>
      <c r="Y356" s="31">
        <v>260</v>
      </c>
      <c r="Z356" s="31">
        <f t="shared" si="51"/>
        <v>10212.800000000001</v>
      </c>
      <c r="AA356" s="29">
        <f t="shared" si="52"/>
        <v>33388.000000000007</v>
      </c>
    </row>
    <row r="357" spans="1:27" s="32" customFormat="1" x14ac:dyDescent="0.25">
      <c r="A357" s="18">
        <v>361</v>
      </c>
      <c r="B357" s="19">
        <v>46030</v>
      </c>
      <c r="C357" s="19">
        <v>46031</v>
      </c>
      <c r="D357" s="70">
        <v>260109001</v>
      </c>
      <c r="E357" s="21" t="s">
        <v>709</v>
      </c>
      <c r="F357" s="21" t="s">
        <v>710</v>
      </c>
      <c r="G357" s="21">
        <v>49</v>
      </c>
      <c r="H357" s="44">
        <v>96</v>
      </c>
      <c r="I357" s="71" t="s">
        <v>458</v>
      </c>
      <c r="J357" s="65" t="s">
        <v>23</v>
      </c>
      <c r="K357" s="35" t="s">
        <v>31</v>
      </c>
      <c r="L357" s="25" t="s">
        <v>711</v>
      </c>
      <c r="M357" s="21" t="s">
        <v>712</v>
      </c>
      <c r="N357" s="37">
        <v>65.64</v>
      </c>
      <c r="O357" s="37">
        <v>15.9</v>
      </c>
      <c r="P357" s="26">
        <f t="shared" si="48"/>
        <v>49.74</v>
      </c>
      <c r="Q357" s="27">
        <v>330</v>
      </c>
      <c r="R357" s="28">
        <f t="shared" si="49"/>
        <v>16414.2</v>
      </c>
      <c r="S357" s="27"/>
      <c r="T357" s="29"/>
      <c r="V357" s="29" t="s">
        <v>24</v>
      </c>
      <c r="W357" s="27">
        <v>145</v>
      </c>
      <c r="X357" s="30">
        <f t="shared" si="50"/>
        <v>7212.3</v>
      </c>
      <c r="Y357" s="31"/>
      <c r="Z357" s="31">
        <f t="shared" si="51"/>
        <v>0</v>
      </c>
      <c r="AA357" s="29">
        <f t="shared" si="52"/>
        <v>23626.5</v>
      </c>
    </row>
    <row r="358" spans="1:27" s="32" customFormat="1" x14ac:dyDescent="0.25">
      <c r="A358" s="18">
        <v>362</v>
      </c>
      <c r="B358" s="19">
        <v>46030</v>
      </c>
      <c r="C358" s="19">
        <v>46031</v>
      </c>
      <c r="D358" s="70">
        <v>260109002</v>
      </c>
      <c r="E358" s="21" t="s">
        <v>713</v>
      </c>
      <c r="F358" s="21" t="s">
        <v>714</v>
      </c>
      <c r="G358" s="21">
        <v>46</v>
      </c>
      <c r="H358" s="44">
        <v>96</v>
      </c>
      <c r="I358" s="71" t="s">
        <v>458</v>
      </c>
      <c r="J358" s="65" t="s">
        <v>23</v>
      </c>
      <c r="K358" s="35" t="s">
        <v>31</v>
      </c>
      <c r="L358" s="21" t="s">
        <v>36</v>
      </c>
      <c r="M358" s="21" t="s">
        <v>712</v>
      </c>
      <c r="N358" s="37">
        <v>62.5</v>
      </c>
      <c r="O358" s="37">
        <v>15.68</v>
      </c>
      <c r="P358" s="26">
        <f t="shared" si="48"/>
        <v>46.82</v>
      </c>
      <c r="Q358" s="27">
        <v>330</v>
      </c>
      <c r="R358" s="28">
        <f t="shared" si="49"/>
        <v>15450.6</v>
      </c>
      <c r="S358" s="27"/>
      <c r="T358" s="29"/>
      <c r="V358" s="29" t="s">
        <v>24</v>
      </c>
      <c r="W358" s="27">
        <v>145</v>
      </c>
      <c r="X358" s="30">
        <f t="shared" si="50"/>
        <v>6788.9</v>
      </c>
      <c r="Y358" s="31"/>
      <c r="Z358" s="31">
        <f t="shared" si="51"/>
        <v>0</v>
      </c>
      <c r="AA358" s="29">
        <f t="shared" si="52"/>
        <v>22239.5</v>
      </c>
    </row>
    <row r="359" spans="1:27" s="32" customFormat="1" x14ac:dyDescent="0.25">
      <c r="A359" s="18">
        <v>363</v>
      </c>
      <c r="B359" s="19">
        <v>46030</v>
      </c>
      <c r="C359" s="19">
        <v>46031</v>
      </c>
      <c r="D359" s="70">
        <v>260109003</v>
      </c>
      <c r="E359" s="21" t="s">
        <v>715</v>
      </c>
      <c r="F359" s="21" t="s">
        <v>716</v>
      </c>
      <c r="G359" s="21">
        <v>59</v>
      </c>
      <c r="H359" s="44">
        <v>115</v>
      </c>
      <c r="I359" s="23" t="s">
        <v>33</v>
      </c>
      <c r="J359" s="24" t="s">
        <v>23</v>
      </c>
      <c r="K359" s="35" t="s">
        <v>31</v>
      </c>
      <c r="L359" s="21" t="s">
        <v>206</v>
      </c>
      <c r="M359" s="21" t="s">
        <v>35</v>
      </c>
      <c r="N359" s="37">
        <v>77.06</v>
      </c>
      <c r="O359" s="21">
        <v>17.239999999999998</v>
      </c>
      <c r="P359" s="26">
        <f t="shared" si="48"/>
        <v>59.820000000000007</v>
      </c>
      <c r="Q359" s="27">
        <v>445</v>
      </c>
      <c r="R359" s="28">
        <f t="shared" si="49"/>
        <v>26619.900000000005</v>
      </c>
      <c r="S359" s="27"/>
      <c r="T359" s="29"/>
      <c r="V359" s="29" t="s">
        <v>24</v>
      </c>
      <c r="W359" s="27">
        <v>145</v>
      </c>
      <c r="X359" s="30">
        <f t="shared" si="50"/>
        <v>8673.9000000000015</v>
      </c>
      <c r="Y359" s="31">
        <v>260</v>
      </c>
      <c r="Z359" s="31">
        <f t="shared" si="51"/>
        <v>15553.200000000003</v>
      </c>
      <c r="AA359" s="29">
        <f t="shared" si="52"/>
        <v>50847.000000000007</v>
      </c>
    </row>
    <row r="360" spans="1:27" s="38" customFormat="1" x14ac:dyDescent="0.25">
      <c r="A360" s="18">
        <v>364</v>
      </c>
      <c r="B360" s="19">
        <v>46030</v>
      </c>
      <c r="C360" s="19">
        <v>46031</v>
      </c>
      <c r="D360" s="70">
        <v>260109004</v>
      </c>
      <c r="E360" s="21" t="s">
        <v>717</v>
      </c>
      <c r="F360" s="21" t="s">
        <v>718</v>
      </c>
      <c r="G360" s="21">
        <v>50</v>
      </c>
      <c r="H360" s="44">
        <v>96</v>
      </c>
      <c r="I360" s="71" t="s">
        <v>458</v>
      </c>
      <c r="J360" s="65" t="s">
        <v>23</v>
      </c>
      <c r="K360" s="35" t="s">
        <v>31</v>
      </c>
      <c r="L360" s="21" t="s">
        <v>719</v>
      </c>
      <c r="M360" s="21" t="s">
        <v>712</v>
      </c>
      <c r="N360" s="37">
        <v>67.040000000000006</v>
      </c>
      <c r="O360" s="37">
        <v>16.100000000000001</v>
      </c>
      <c r="P360" s="26">
        <f t="shared" si="48"/>
        <v>50.940000000000005</v>
      </c>
      <c r="Q360" s="27">
        <v>330</v>
      </c>
      <c r="R360" s="28">
        <f t="shared" si="49"/>
        <v>16810.2</v>
      </c>
      <c r="S360" s="27"/>
      <c r="T360" s="29"/>
      <c r="V360" s="29" t="s">
        <v>24</v>
      </c>
      <c r="W360" s="27">
        <v>145</v>
      </c>
      <c r="X360" s="30">
        <f t="shared" si="50"/>
        <v>7386.3000000000011</v>
      </c>
      <c r="Y360" s="31"/>
      <c r="Z360" s="31">
        <f t="shared" si="51"/>
        <v>0</v>
      </c>
      <c r="AA360" s="29">
        <f t="shared" si="52"/>
        <v>24196.5</v>
      </c>
    </row>
    <row r="361" spans="1:27" s="32" customFormat="1" x14ac:dyDescent="0.25">
      <c r="A361" s="18">
        <v>365</v>
      </c>
      <c r="B361" s="19">
        <v>46030</v>
      </c>
      <c r="C361" s="19">
        <v>46031</v>
      </c>
      <c r="D361" s="70">
        <v>260109005</v>
      </c>
      <c r="E361" s="21" t="s">
        <v>720</v>
      </c>
      <c r="F361" s="21" t="s">
        <v>721</v>
      </c>
      <c r="G361" s="21">
        <v>48</v>
      </c>
      <c r="H361" s="44">
        <v>96</v>
      </c>
      <c r="I361" s="71" t="s">
        <v>458</v>
      </c>
      <c r="J361" s="65" t="s">
        <v>23</v>
      </c>
      <c r="K361" s="35" t="s">
        <v>31</v>
      </c>
      <c r="L361" s="21" t="s">
        <v>61</v>
      </c>
      <c r="M361" s="21" t="s">
        <v>712</v>
      </c>
      <c r="N361" s="37">
        <v>64</v>
      </c>
      <c r="O361" s="21">
        <v>15.42</v>
      </c>
      <c r="P361" s="26">
        <f t="shared" si="48"/>
        <v>48.58</v>
      </c>
      <c r="Q361" s="27">
        <v>330</v>
      </c>
      <c r="R361" s="28">
        <f t="shared" si="49"/>
        <v>16031.4</v>
      </c>
      <c r="S361" s="27"/>
      <c r="T361" s="29"/>
      <c r="V361" s="29" t="s">
        <v>24</v>
      </c>
      <c r="W361" s="27">
        <v>145</v>
      </c>
      <c r="X361" s="30">
        <f t="shared" si="50"/>
        <v>7044.0999999999995</v>
      </c>
      <c r="Y361" s="31"/>
      <c r="Z361" s="31">
        <f t="shared" si="51"/>
        <v>0</v>
      </c>
      <c r="AA361" s="29">
        <f t="shared" si="52"/>
        <v>23075.5</v>
      </c>
    </row>
    <row r="362" spans="1:27" s="32" customFormat="1" x14ac:dyDescent="0.25">
      <c r="A362" s="18">
        <v>366</v>
      </c>
      <c r="B362" s="19">
        <v>46030</v>
      </c>
      <c r="C362" s="19">
        <v>46031</v>
      </c>
      <c r="D362" s="70">
        <v>260109006</v>
      </c>
      <c r="E362" s="21" t="s">
        <v>722</v>
      </c>
      <c r="F362" s="21" t="s">
        <v>723</v>
      </c>
      <c r="G362" s="21">
        <v>49</v>
      </c>
      <c r="H362" s="44">
        <v>96</v>
      </c>
      <c r="I362" s="71" t="s">
        <v>458</v>
      </c>
      <c r="J362" s="65" t="s">
        <v>23</v>
      </c>
      <c r="K362" s="35" t="s">
        <v>31</v>
      </c>
      <c r="L362" s="21" t="s">
        <v>60</v>
      </c>
      <c r="M362" s="21" t="s">
        <v>712</v>
      </c>
      <c r="N362" s="21">
        <v>63.26</v>
      </c>
      <c r="O362" s="37">
        <v>14.1</v>
      </c>
      <c r="P362" s="26">
        <f t="shared" si="48"/>
        <v>49.16</v>
      </c>
      <c r="Q362" s="27">
        <v>330</v>
      </c>
      <c r="R362" s="28">
        <f t="shared" si="49"/>
        <v>16222.8</v>
      </c>
      <c r="S362" s="27"/>
      <c r="T362" s="29"/>
      <c r="V362" s="29" t="s">
        <v>24</v>
      </c>
      <c r="W362" s="27">
        <v>145</v>
      </c>
      <c r="X362" s="30">
        <f t="shared" si="50"/>
        <v>7128.2</v>
      </c>
      <c r="Y362" s="31"/>
      <c r="Z362" s="31">
        <f t="shared" si="51"/>
        <v>0</v>
      </c>
      <c r="AA362" s="29">
        <f t="shared" si="52"/>
        <v>23351</v>
      </c>
    </row>
    <row r="363" spans="1:27" s="32" customFormat="1" x14ac:dyDescent="0.25">
      <c r="A363" s="18">
        <v>367</v>
      </c>
      <c r="B363" s="19">
        <v>46030</v>
      </c>
      <c r="C363" s="19">
        <v>46031</v>
      </c>
      <c r="D363" s="70">
        <v>260109007</v>
      </c>
      <c r="E363" s="21" t="s">
        <v>724</v>
      </c>
      <c r="F363" s="21" t="s">
        <v>725</v>
      </c>
      <c r="G363" s="21">
        <v>49</v>
      </c>
      <c r="H363" s="48">
        <v>42</v>
      </c>
      <c r="I363" s="23" t="s">
        <v>44</v>
      </c>
      <c r="J363" s="49" t="s">
        <v>23</v>
      </c>
      <c r="K363" s="23" t="s">
        <v>31</v>
      </c>
      <c r="L363" s="21" t="s">
        <v>41</v>
      </c>
      <c r="M363" s="21" t="s">
        <v>35</v>
      </c>
      <c r="N363" s="21">
        <v>65.66</v>
      </c>
      <c r="O363" s="21">
        <v>15.74</v>
      </c>
      <c r="P363" s="26">
        <f t="shared" si="48"/>
        <v>49.919999999999995</v>
      </c>
      <c r="Q363" s="27">
        <v>470</v>
      </c>
      <c r="R363" s="28">
        <f t="shared" si="49"/>
        <v>23462.399999999998</v>
      </c>
      <c r="S363" s="27"/>
      <c r="T363" s="29"/>
      <c r="V363" s="29" t="s">
        <v>24</v>
      </c>
      <c r="W363" s="27">
        <v>145</v>
      </c>
      <c r="X363" s="30">
        <f t="shared" si="50"/>
        <v>7238.4</v>
      </c>
      <c r="Y363" s="31">
        <v>260</v>
      </c>
      <c r="Z363" s="31">
        <f t="shared" si="51"/>
        <v>12979.199999999999</v>
      </c>
      <c r="AA363" s="29">
        <f t="shared" si="52"/>
        <v>43679.999999999993</v>
      </c>
    </row>
    <row r="364" spans="1:27" s="32" customFormat="1" x14ac:dyDescent="0.25">
      <c r="A364" s="18">
        <v>368</v>
      </c>
      <c r="B364" s="19">
        <v>46030</v>
      </c>
      <c r="C364" s="19">
        <v>46031</v>
      </c>
      <c r="D364" s="74" t="s">
        <v>726</v>
      </c>
      <c r="E364" s="21"/>
      <c r="F364" s="21"/>
      <c r="G364" s="21"/>
      <c r="H364" s="66"/>
      <c r="I364" s="52" t="s">
        <v>727</v>
      </c>
      <c r="J364" s="49" t="s">
        <v>23</v>
      </c>
      <c r="K364" s="23" t="s">
        <v>31</v>
      </c>
      <c r="L364" s="46" t="s">
        <v>728</v>
      </c>
      <c r="M364" s="21" t="s">
        <v>34</v>
      </c>
      <c r="N364" s="21">
        <v>18.46</v>
      </c>
      <c r="O364" s="21">
        <v>7.26</v>
      </c>
      <c r="P364" s="26">
        <f t="shared" si="48"/>
        <v>11.200000000000001</v>
      </c>
      <c r="Q364" s="27">
        <v>530</v>
      </c>
      <c r="R364" s="28">
        <f t="shared" si="49"/>
        <v>5936.0000000000009</v>
      </c>
      <c r="S364" s="27"/>
      <c r="T364" s="29"/>
      <c r="V364" s="29" t="s">
        <v>253</v>
      </c>
      <c r="W364" s="27"/>
      <c r="X364" s="30">
        <f t="shared" si="50"/>
        <v>0</v>
      </c>
      <c r="Y364" s="31"/>
      <c r="Z364" s="31">
        <f t="shared" si="51"/>
        <v>0</v>
      </c>
      <c r="AA364" s="29">
        <f t="shared" si="52"/>
        <v>5936.0000000000009</v>
      </c>
    </row>
    <row r="365" spans="1:27" s="32" customFormat="1" x14ac:dyDescent="0.25">
      <c r="A365" s="18">
        <v>369</v>
      </c>
      <c r="B365" s="19">
        <v>46030</v>
      </c>
      <c r="C365" s="19">
        <v>46031</v>
      </c>
      <c r="D365" s="70">
        <v>260109008</v>
      </c>
      <c r="E365" s="21" t="s">
        <v>729</v>
      </c>
      <c r="F365" s="21" t="s">
        <v>730</v>
      </c>
      <c r="G365" s="21">
        <v>40</v>
      </c>
      <c r="H365" s="48">
        <v>42</v>
      </c>
      <c r="I365" s="23" t="s">
        <v>44</v>
      </c>
      <c r="J365" s="49" t="s">
        <v>23</v>
      </c>
      <c r="K365" s="23" t="s">
        <v>31</v>
      </c>
      <c r="L365" s="21" t="s">
        <v>41</v>
      </c>
      <c r="M365" s="21" t="s">
        <v>35</v>
      </c>
      <c r="N365" s="21">
        <v>51.94</v>
      </c>
      <c r="O365" s="37">
        <v>11.76</v>
      </c>
      <c r="P365" s="26">
        <f t="shared" si="48"/>
        <v>40.18</v>
      </c>
      <c r="Q365" s="27">
        <v>470</v>
      </c>
      <c r="R365" s="28">
        <f t="shared" si="49"/>
        <v>18884.599999999999</v>
      </c>
      <c r="S365" s="27"/>
      <c r="T365" s="29"/>
      <c r="V365" s="29" t="s">
        <v>24</v>
      </c>
      <c r="W365" s="27">
        <v>145</v>
      </c>
      <c r="X365" s="30">
        <f t="shared" si="50"/>
        <v>5826.1</v>
      </c>
      <c r="Y365" s="31">
        <v>260</v>
      </c>
      <c r="Z365" s="31">
        <f t="shared" si="51"/>
        <v>10446.799999999999</v>
      </c>
      <c r="AA365" s="29">
        <f t="shared" si="52"/>
        <v>35157.5</v>
      </c>
    </row>
    <row r="366" spans="1:27" s="32" customFormat="1" x14ac:dyDescent="0.25">
      <c r="A366" s="18">
        <v>370</v>
      </c>
      <c r="B366" s="19">
        <v>46030</v>
      </c>
      <c r="C366" s="19">
        <v>46031</v>
      </c>
      <c r="D366" s="70">
        <v>260109009</v>
      </c>
      <c r="E366" s="21" t="s">
        <v>731</v>
      </c>
      <c r="F366" s="21" t="s">
        <v>732</v>
      </c>
      <c r="G366" s="21">
        <v>45</v>
      </c>
      <c r="H366" s="48">
        <v>53</v>
      </c>
      <c r="I366" s="52" t="s">
        <v>57</v>
      </c>
      <c r="J366" s="49" t="s">
        <v>23</v>
      </c>
      <c r="K366" s="23" t="s">
        <v>31</v>
      </c>
      <c r="L366" s="25" t="s">
        <v>46</v>
      </c>
      <c r="M366" s="21" t="s">
        <v>63</v>
      </c>
      <c r="N366" s="21">
        <v>60.54</v>
      </c>
      <c r="O366" s="21">
        <v>14.96</v>
      </c>
      <c r="P366" s="26">
        <f t="shared" si="48"/>
        <v>45.58</v>
      </c>
      <c r="Q366" s="27">
        <v>425</v>
      </c>
      <c r="R366" s="28">
        <f t="shared" si="49"/>
        <v>19371.5</v>
      </c>
      <c r="S366" s="27"/>
      <c r="T366" s="29"/>
      <c r="V366" s="29" t="s">
        <v>24</v>
      </c>
      <c r="W366" s="27">
        <v>145</v>
      </c>
      <c r="X366" s="30">
        <f t="shared" si="50"/>
        <v>6609.0999999999995</v>
      </c>
      <c r="Y366" s="31">
        <v>210</v>
      </c>
      <c r="Z366" s="31">
        <f t="shared" si="51"/>
        <v>9571.7999999999993</v>
      </c>
      <c r="AA366" s="29">
        <f t="shared" si="52"/>
        <v>35552.399999999994</v>
      </c>
    </row>
    <row r="367" spans="1:27" s="32" customFormat="1" x14ac:dyDescent="0.25">
      <c r="A367" s="18">
        <v>371</v>
      </c>
      <c r="B367" s="19">
        <v>46030</v>
      </c>
      <c r="C367" s="19">
        <v>46031</v>
      </c>
      <c r="D367" s="70">
        <v>260109010</v>
      </c>
      <c r="E367" s="21" t="s">
        <v>733</v>
      </c>
      <c r="F367" s="21" t="s">
        <v>734</v>
      </c>
      <c r="G367" s="21">
        <v>45</v>
      </c>
      <c r="H367" s="48">
        <v>53</v>
      </c>
      <c r="I367" s="52" t="s">
        <v>57</v>
      </c>
      <c r="J367" s="49" t="s">
        <v>23</v>
      </c>
      <c r="K367" s="23" t="s">
        <v>31</v>
      </c>
      <c r="L367" s="25" t="s">
        <v>38</v>
      </c>
      <c r="M367" s="21" t="s">
        <v>63</v>
      </c>
      <c r="N367" s="21">
        <v>60.22</v>
      </c>
      <c r="O367" s="21">
        <v>15</v>
      </c>
      <c r="P367" s="26">
        <f t="shared" si="48"/>
        <v>45.22</v>
      </c>
      <c r="Q367" s="27">
        <v>425</v>
      </c>
      <c r="R367" s="28">
        <f t="shared" si="49"/>
        <v>19218.5</v>
      </c>
      <c r="S367" s="27"/>
      <c r="T367" s="29"/>
      <c r="V367" s="29" t="s">
        <v>24</v>
      </c>
      <c r="W367" s="27">
        <v>145</v>
      </c>
      <c r="X367" s="30">
        <f t="shared" si="50"/>
        <v>6556.9</v>
      </c>
      <c r="Y367" s="31">
        <v>210</v>
      </c>
      <c r="Z367" s="31">
        <f t="shared" si="51"/>
        <v>9496.1999999999989</v>
      </c>
      <c r="AA367" s="29">
        <f t="shared" si="52"/>
        <v>35271.599999999999</v>
      </c>
    </row>
    <row r="368" spans="1:27" s="32" customFormat="1" x14ac:dyDescent="0.25">
      <c r="A368" s="18">
        <v>372</v>
      </c>
      <c r="B368" s="19">
        <v>46030</v>
      </c>
      <c r="C368" s="19">
        <v>46031</v>
      </c>
      <c r="D368" s="70">
        <v>260109011</v>
      </c>
      <c r="E368" s="21" t="s">
        <v>735</v>
      </c>
      <c r="F368" s="21" t="s">
        <v>736</v>
      </c>
      <c r="G368" s="21">
        <v>33</v>
      </c>
      <c r="H368" s="44">
        <v>115</v>
      </c>
      <c r="I368" s="23" t="s">
        <v>33</v>
      </c>
      <c r="J368" s="24" t="s">
        <v>23</v>
      </c>
      <c r="K368" s="35" t="s">
        <v>31</v>
      </c>
      <c r="L368" s="21" t="s">
        <v>51</v>
      </c>
      <c r="M368" s="21" t="s">
        <v>32</v>
      </c>
      <c r="N368" s="37">
        <v>45.14</v>
      </c>
      <c r="O368" s="37">
        <v>11.42</v>
      </c>
      <c r="P368" s="26">
        <f t="shared" si="48"/>
        <v>33.72</v>
      </c>
      <c r="Q368" s="27">
        <v>315</v>
      </c>
      <c r="R368" s="28">
        <f t="shared" si="49"/>
        <v>10621.8</v>
      </c>
      <c r="S368" s="27"/>
      <c r="T368" s="29"/>
      <c r="V368" s="29" t="s">
        <v>24</v>
      </c>
      <c r="W368" s="27">
        <v>145</v>
      </c>
      <c r="X368" s="30">
        <f t="shared" si="50"/>
        <v>4889.3999999999996</v>
      </c>
      <c r="Y368" s="31">
        <v>260</v>
      </c>
      <c r="Z368" s="31">
        <f t="shared" si="51"/>
        <v>8767.1999999999989</v>
      </c>
      <c r="AA368" s="29">
        <f t="shared" si="52"/>
        <v>24278.399999999998</v>
      </c>
    </row>
    <row r="369" spans="1:38" s="32" customFormat="1" x14ac:dyDescent="0.25">
      <c r="A369" s="18">
        <v>373</v>
      </c>
      <c r="B369" s="19">
        <v>46030</v>
      </c>
      <c r="C369" s="19">
        <v>46031</v>
      </c>
      <c r="D369" s="70">
        <v>260109012</v>
      </c>
      <c r="E369" s="21" t="s">
        <v>737</v>
      </c>
      <c r="F369" s="21" t="s">
        <v>738</v>
      </c>
      <c r="G369" s="21">
        <v>51</v>
      </c>
      <c r="H369" s="44">
        <v>96</v>
      </c>
      <c r="I369" s="71" t="s">
        <v>458</v>
      </c>
      <c r="J369" s="65" t="s">
        <v>23</v>
      </c>
      <c r="K369" s="35" t="s">
        <v>31</v>
      </c>
      <c r="L369" s="21" t="s">
        <v>219</v>
      </c>
      <c r="M369" s="21" t="s">
        <v>712</v>
      </c>
      <c r="N369" s="21">
        <v>67.36</v>
      </c>
      <c r="O369" s="21">
        <v>15.52</v>
      </c>
      <c r="P369" s="26">
        <f t="shared" si="48"/>
        <v>51.84</v>
      </c>
      <c r="Q369" s="21">
        <v>330</v>
      </c>
      <c r="R369" s="28">
        <f t="shared" si="49"/>
        <v>17107.2</v>
      </c>
      <c r="S369" s="21"/>
      <c r="T369" s="29"/>
      <c r="V369" s="29" t="s">
        <v>24</v>
      </c>
      <c r="W369" s="27">
        <v>145</v>
      </c>
      <c r="X369" s="30">
        <f t="shared" si="50"/>
        <v>7516.8</v>
      </c>
      <c r="Y369" s="31"/>
      <c r="Z369" s="31">
        <f t="shared" si="51"/>
        <v>0</v>
      </c>
      <c r="AA369" s="29">
        <f t="shared" si="52"/>
        <v>24624</v>
      </c>
    </row>
    <row r="370" spans="1:38" s="32" customFormat="1" x14ac:dyDescent="0.25">
      <c r="A370" s="18">
        <v>374</v>
      </c>
      <c r="B370" s="19">
        <v>46030</v>
      </c>
      <c r="C370" s="19">
        <v>46031</v>
      </c>
      <c r="D370" s="70">
        <v>260109013</v>
      </c>
      <c r="E370" s="21" t="s">
        <v>739</v>
      </c>
      <c r="F370" s="21" t="s">
        <v>740</v>
      </c>
      <c r="G370" s="21">
        <v>54</v>
      </c>
      <c r="H370" s="44">
        <v>96</v>
      </c>
      <c r="I370" s="71" t="s">
        <v>458</v>
      </c>
      <c r="J370" s="65" t="s">
        <v>23</v>
      </c>
      <c r="K370" s="35" t="s">
        <v>31</v>
      </c>
      <c r="L370" s="21" t="s">
        <v>741</v>
      </c>
      <c r="M370" s="21" t="s">
        <v>712</v>
      </c>
      <c r="N370" s="21">
        <v>69.84</v>
      </c>
      <c r="O370" s="21">
        <v>15.28</v>
      </c>
      <c r="P370" s="26">
        <f t="shared" si="48"/>
        <v>54.56</v>
      </c>
      <c r="Q370" s="21">
        <v>330</v>
      </c>
      <c r="R370" s="28">
        <f t="shared" si="49"/>
        <v>18004.8</v>
      </c>
      <c r="S370" s="21"/>
      <c r="T370" s="29"/>
      <c r="V370" s="29" t="s">
        <v>24</v>
      </c>
      <c r="W370" s="27">
        <v>145</v>
      </c>
      <c r="X370" s="30">
        <f t="shared" si="50"/>
        <v>7911.2000000000007</v>
      </c>
      <c r="Y370" s="31"/>
      <c r="Z370" s="31">
        <f t="shared" si="51"/>
        <v>0</v>
      </c>
      <c r="AA370" s="29">
        <f t="shared" si="52"/>
        <v>25916</v>
      </c>
    </row>
    <row r="371" spans="1:38" s="32" customFormat="1" x14ac:dyDescent="0.25">
      <c r="A371" s="18">
        <v>375</v>
      </c>
      <c r="B371" s="19">
        <v>46030</v>
      </c>
      <c r="C371" s="19">
        <v>46031</v>
      </c>
      <c r="D371" s="70">
        <v>260109014</v>
      </c>
      <c r="E371" s="21" t="s">
        <v>742</v>
      </c>
      <c r="F371" s="21" t="s">
        <v>743</v>
      </c>
      <c r="G371" s="21">
        <v>47</v>
      </c>
      <c r="H371" s="44">
        <v>96</v>
      </c>
      <c r="I371" s="71" t="s">
        <v>458</v>
      </c>
      <c r="J371" s="65" t="s">
        <v>23</v>
      </c>
      <c r="K371" s="35" t="s">
        <v>31</v>
      </c>
      <c r="L371" s="21" t="s">
        <v>69</v>
      </c>
      <c r="M371" s="21" t="s">
        <v>712</v>
      </c>
      <c r="N371" s="21">
        <v>62.04</v>
      </c>
      <c r="O371" s="21">
        <v>14.24</v>
      </c>
      <c r="P371" s="26">
        <f t="shared" si="48"/>
        <v>47.8</v>
      </c>
      <c r="Q371" s="21">
        <v>330</v>
      </c>
      <c r="R371" s="28">
        <f t="shared" si="49"/>
        <v>15773.999999999998</v>
      </c>
      <c r="S371" s="21"/>
      <c r="T371" s="29"/>
      <c r="V371" s="29" t="s">
        <v>24</v>
      </c>
      <c r="W371" s="27">
        <v>145</v>
      </c>
      <c r="X371" s="30">
        <f t="shared" si="50"/>
        <v>6931</v>
      </c>
      <c r="Y371" s="31"/>
      <c r="Z371" s="31">
        <f t="shared" si="51"/>
        <v>0</v>
      </c>
      <c r="AA371" s="29">
        <f t="shared" si="52"/>
        <v>22705</v>
      </c>
    </row>
    <row r="372" spans="1:38" s="32" customFormat="1" x14ac:dyDescent="0.25">
      <c r="A372" s="18">
        <v>376</v>
      </c>
      <c r="B372" s="19">
        <v>46030</v>
      </c>
      <c r="C372" s="19">
        <v>46031</v>
      </c>
      <c r="D372" s="75" t="s">
        <v>744</v>
      </c>
      <c r="E372" s="21"/>
      <c r="F372" s="21"/>
      <c r="G372" s="21"/>
      <c r="H372" s="33">
        <v>458</v>
      </c>
      <c r="I372" s="76" t="s">
        <v>745</v>
      </c>
      <c r="J372" s="24" t="s">
        <v>23</v>
      </c>
      <c r="K372" s="23" t="s">
        <v>31</v>
      </c>
      <c r="L372" s="21" t="s">
        <v>746</v>
      </c>
      <c r="M372" s="21" t="s">
        <v>49</v>
      </c>
      <c r="N372" s="21">
        <v>49.68</v>
      </c>
      <c r="O372" s="21">
        <v>11.44</v>
      </c>
      <c r="P372" s="26">
        <f t="shared" si="48"/>
        <v>38.24</v>
      </c>
      <c r="Q372" s="21">
        <v>250</v>
      </c>
      <c r="R372" s="28">
        <f t="shared" ref="R372:R373" si="53">Q372*P372</f>
        <v>9560</v>
      </c>
      <c r="S372" s="21"/>
      <c r="T372" s="29"/>
      <c r="V372" s="29" t="s">
        <v>45</v>
      </c>
      <c r="W372" s="27"/>
      <c r="X372" s="30">
        <f t="shared" si="50"/>
        <v>0</v>
      </c>
      <c r="Y372" s="31"/>
      <c r="Z372" s="31">
        <f t="shared" si="51"/>
        <v>0</v>
      </c>
      <c r="AA372" s="29">
        <f t="shared" si="52"/>
        <v>9560</v>
      </c>
    </row>
    <row r="373" spans="1:38" s="32" customFormat="1" x14ac:dyDescent="0.25">
      <c r="A373" s="18">
        <v>377</v>
      </c>
      <c r="B373" s="19">
        <v>46030</v>
      </c>
      <c r="C373" s="19">
        <v>46031</v>
      </c>
      <c r="D373" s="75" t="s">
        <v>747</v>
      </c>
      <c r="E373" s="21"/>
      <c r="F373" s="21"/>
      <c r="G373" s="21"/>
      <c r="H373" s="33">
        <v>102</v>
      </c>
      <c r="I373" s="60" t="s">
        <v>287</v>
      </c>
      <c r="J373" s="34" t="s">
        <v>23</v>
      </c>
      <c r="K373" s="35" t="s">
        <v>31</v>
      </c>
      <c r="L373" s="25" t="s">
        <v>288</v>
      </c>
      <c r="M373" s="21" t="s">
        <v>289</v>
      </c>
      <c r="N373" s="37">
        <v>9.08</v>
      </c>
      <c r="O373" s="37">
        <v>3.56</v>
      </c>
      <c r="P373" s="26">
        <f t="shared" si="48"/>
        <v>5.52</v>
      </c>
      <c r="Q373" s="21">
        <v>140</v>
      </c>
      <c r="R373" s="28">
        <f t="shared" si="53"/>
        <v>772.8</v>
      </c>
      <c r="S373" s="21"/>
      <c r="T373" s="29"/>
      <c r="V373" s="29" t="s">
        <v>253</v>
      </c>
      <c r="W373" s="27"/>
      <c r="X373" s="30">
        <f t="shared" si="50"/>
        <v>0</v>
      </c>
      <c r="Y373" s="31"/>
      <c r="Z373" s="31">
        <f t="shared" si="51"/>
        <v>0</v>
      </c>
      <c r="AA373" s="29">
        <f t="shared" si="52"/>
        <v>772.8</v>
      </c>
    </row>
    <row r="374" spans="1:38" s="32" customFormat="1" x14ac:dyDescent="0.25">
      <c r="A374" s="18">
        <v>378</v>
      </c>
      <c r="B374" s="19">
        <v>46031</v>
      </c>
      <c r="C374" s="19">
        <v>46031</v>
      </c>
      <c r="D374" s="20" t="s">
        <v>748</v>
      </c>
      <c r="E374" s="21"/>
      <c r="F374" s="21"/>
      <c r="G374" s="21"/>
      <c r="H374" s="33">
        <v>102</v>
      </c>
      <c r="I374" s="60" t="s">
        <v>287</v>
      </c>
      <c r="J374" s="34" t="s">
        <v>23</v>
      </c>
      <c r="K374" s="35" t="s">
        <v>31</v>
      </c>
      <c r="L374" s="25" t="s">
        <v>288</v>
      </c>
      <c r="M374" s="21" t="s">
        <v>289</v>
      </c>
      <c r="N374" s="21">
        <v>9.94</v>
      </c>
      <c r="O374" s="21">
        <v>3.48</v>
      </c>
      <c r="P374" s="26">
        <f>N374-O374</f>
        <v>6.4599999999999991</v>
      </c>
      <c r="Q374" s="27">
        <v>140</v>
      </c>
      <c r="R374" s="28">
        <f t="shared" ref="R374:R437" si="54">P374*Q374</f>
        <v>904.39999999999986</v>
      </c>
      <c r="S374" s="27"/>
      <c r="T374" s="29"/>
      <c r="V374" s="29" t="s">
        <v>253</v>
      </c>
      <c r="W374" s="27"/>
      <c r="X374" s="30">
        <f t="shared" ref="X374:X420" si="55">P374*W374</f>
        <v>0</v>
      </c>
      <c r="Y374" s="31"/>
      <c r="Z374" s="31">
        <f t="shared" ref="Z374:Z420" si="56">P374*Y374</f>
        <v>0</v>
      </c>
      <c r="AA374" s="29">
        <f t="shared" ref="AA374:AA420" si="57">R374+X374+Z374</f>
        <v>904.39999999999986</v>
      </c>
    </row>
    <row r="375" spans="1:38" s="32" customFormat="1" x14ac:dyDescent="0.25">
      <c r="A375" s="18">
        <v>379</v>
      </c>
      <c r="B375" s="19">
        <v>46031</v>
      </c>
      <c r="C375" s="19">
        <v>46031</v>
      </c>
      <c r="D375" s="20" t="s">
        <v>749</v>
      </c>
      <c r="E375" s="21"/>
      <c r="F375" s="21"/>
      <c r="G375" s="21"/>
      <c r="H375" s="60"/>
      <c r="I375" s="60" t="s">
        <v>201</v>
      </c>
      <c r="J375" s="61" t="s">
        <v>23</v>
      </c>
      <c r="K375" s="60" t="s">
        <v>31</v>
      </c>
      <c r="L375" s="25" t="s">
        <v>308</v>
      </c>
      <c r="M375" s="21" t="s">
        <v>203</v>
      </c>
      <c r="N375" s="21">
        <v>26.84</v>
      </c>
      <c r="O375" s="21">
        <v>14.1</v>
      </c>
      <c r="P375" s="26">
        <f>N375-O375</f>
        <v>12.74</v>
      </c>
      <c r="Q375" s="27">
        <v>0</v>
      </c>
      <c r="R375" s="28">
        <f t="shared" si="54"/>
        <v>0</v>
      </c>
      <c r="S375" s="27"/>
      <c r="T375" s="29"/>
      <c r="V375" s="29" t="s">
        <v>24</v>
      </c>
      <c r="W375" s="27"/>
      <c r="X375" s="30">
        <f t="shared" si="55"/>
        <v>0</v>
      </c>
      <c r="Y375" s="31"/>
      <c r="Z375" s="31">
        <f t="shared" si="56"/>
        <v>0</v>
      </c>
      <c r="AA375" s="29">
        <f t="shared" si="57"/>
        <v>0</v>
      </c>
    </row>
    <row r="376" spans="1:38" s="32" customFormat="1" x14ac:dyDescent="0.25">
      <c r="A376" s="18">
        <v>380</v>
      </c>
      <c r="B376" s="19">
        <v>46031</v>
      </c>
      <c r="C376" s="19">
        <v>46031</v>
      </c>
      <c r="D376" s="20" t="s">
        <v>750</v>
      </c>
      <c r="E376" s="21"/>
      <c r="F376" s="21"/>
      <c r="G376" s="21"/>
      <c r="H376" s="60"/>
      <c r="I376" s="60" t="s">
        <v>556</v>
      </c>
      <c r="J376" s="61" t="s">
        <v>23</v>
      </c>
      <c r="K376" s="60" t="s">
        <v>31</v>
      </c>
      <c r="L376" s="25" t="s">
        <v>561</v>
      </c>
      <c r="M376" s="21" t="s">
        <v>35</v>
      </c>
      <c r="N376" s="21">
        <v>24.26</v>
      </c>
      <c r="O376" s="21">
        <v>14.82</v>
      </c>
      <c r="P376" s="26">
        <f t="shared" ref="P376:P420" si="58">N376-O376</f>
        <v>9.4400000000000013</v>
      </c>
      <c r="Q376" s="27">
        <v>0</v>
      </c>
      <c r="R376" s="28">
        <f t="shared" si="54"/>
        <v>0</v>
      </c>
      <c r="S376" s="27"/>
      <c r="T376" s="29"/>
      <c r="V376" s="29" t="s">
        <v>24</v>
      </c>
      <c r="W376" s="27"/>
      <c r="X376" s="30">
        <f t="shared" si="55"/>
        <v>0</v>
      </c>
      <c r="Y376" s="31"/>
      <c r="Z376" s="31">
        <f t="shared" si="56"/>
        <v>0</v>
      </c>
      <c r="AA376" s="29">
        <f t="shared" si="57"/>
        <v>0</v>
      </c>
    </row>
    <row r="377" spans="1:38" s="38" customFormat="1" x14ac:dyDescent="0.25">
      <c r="A377" s="18">
        <v>381</v>
      </c>
      <c r="B377" s="19">
        <v>46031</v>
      </c>
      <c r="C377" s="19">
        <v>46031</v>
      </c>
      <c r="D377" s="20" t="s">
        <v>751</v>
      </c>
      <c r="E377" s="21"/>
      <c r="F377" s="21"/>
      <c r="G377" s="21"/>
      <c r="H377" s="33">
        <v>102</v>
      </c>
      <c r="I377" s="60" t="s">
        <v>287</v>
      </c>
      <c r="J377" s="34" t="s">
        <v>23</v>
      </c>
      <c r="K377" s="35" t="s">
        <v>31</v>
      </c>
      <c r="L377" s="25" t="s">
        <v>584</v>
      </c>
      <c r="M377" s="21" t="s">
        <v>289</v>
      </c>
      <c r="N377" s="21">
        <v>9.34</v>
      </c>
      <c r="O377" s="37">
        <v>3.62</v>
      </c>
      <c r="P377" s="26">
        <f t="shared" si="58"/>
        <v>5.72</v>
      </c>
      <c r="Q377" s="27">
        <v>140</v>
      </c>
      <c r="R377" s="28">
        <f t="shared" si="54"/>
        <v>800.8</v>
      </c>
      <c r="S377" s="27"/>
      <c r="T377" s="29"/>
      <c r="V377" s="29" t="s">
        <v>253</v>
      </c>
      <c r="W377" s="27"/>
      <c r="X377" s="30">
        <f t="shared" si="55"/>
        <v>0</v>
      </c>
      <c r="Y377" s="31"/>
      <c r="Z377" s="31">
        <f t="shared" si="56"/>
        <v>0</v>
      </c>
      <c r="AA377" s="29">
        <f t="shared" si="57"/>
        <v>800.8</v>
      </c>
    </row>
    <row r="378" spans="1:38" s="32" customFormat="1" x14ac:dyDescent="0.25">
      <c r="A378" s="18">
        <v>382</v>
      </c>
      <c r="B378" s="19">
        <v>46031</v>
      </c>
      <c r="C378" s="19">
        <v>46031</v>
      </c>
      <c r="D378" s="20" t="s">
        <v>752</v>
      </c>
      <c r="E378" s="21"/>
      <c r="F378" s="21"/>
      <c r="G378" s="21"/>
      <c r="H378" s="33">
        <v>102</v>
      </c>
      <c r="I378" s="60" t="s">
        <v>287</v>
      </c>
      <c r="J378" s="34" t="s">
        <v>23</v>
      </c>
      <c r="K378" s="35" t="s">
        <v>31</v>
      </c>
      <c r="L378" s="25" t="s">
        <v>288</v>
      </c>
      <c r="M378" s="21" t="s">
        <v>289</v>
      </c>
      <c r="N378" s="37">
        <v>9.32</v>
      </c>
      <c r="O378" s="21">
        <v>3.14</v>
      </c>
      <c r="P378" s="26">
        <f t="shared" si="58"/>
        <v>6.18</v>
      </c>
      <c r="Q378" s="27">
        <v>140</v>
      </c>
      <c r="R378" s="28">
        <f t="shared" si="54"/>
        <v>865.19999999999993</v>
      </c>
      <c r="S378" s="27"/>
      <c r="T378" s="29"/>
      <c r="V378" s="29" t="s">
        <v>253</v>
      </c>
      <c r="W378" s="27"/>
      <c r="X378" s="30">
        <f t="shared" si="55"/>
        <v>0</v>
      </c>
      <c r="Y378" s="31"/>
      <c r="Z378" s="31">
        <f t="shared" si="56"/>
        <v>0</v>
      </c>
      <c r="AA378" s="29">
        <f t="shared" si="57"/>
        <v>865.19999999999993</v>
      </c>
    </row>
    <row r="379" spans="1:38" s="32" customFormat="1" x14ac:dyDescent="0.25">
      <c r="A379" s="18">
        <v>383</v>
      </c>
      <c r="B379" s="19">
        <v>46031</v>
      </c>
      <c r="C379" s="19">
        <v>46031</v>
      </c>
      <c r="D379" s="20" t="s">
        <v>753</v>
      </c>
      <c r="E379" s="21"/>
      <c r="F379" s="21"/>
      <c r="G379" s="21"/>
      <c r="H379" s="33">
        <v>102</v>
      </c>
      <c r="I379" s="60" t="s">
        <v>287</v>
      </c>
      <c r="J379" s="34" t="s">
        <v>23</v>
      </c>
      <c r="K379" s="35" t="s">
        <v>31</v>
      </c>
      <c r="L379" s="25" t="s">
        <v>584</v>
      </c>
      <c r="M379" s="21" t="s">
        <v>289</v>
      </c>
      <c r="N379" s="37">
        <v>9.42</v>
      </c>
      <c r="O379" s="37">
        <v>3.2</v>
      </c>
      <c r="P379" s="26">
        <f t="shared" si="58"/>
        <v>6.22</v>
      </c>
      <c r="Q379" s="27">
        <v>140</v>
      </c>
      <c r="R379" s="28">
        <f t="shared" si="54"/>
        <v>870.8</v>
      </c>
      <c r="S379" s="27"/>
      <c r="T379" s="29"/>
      <c r="V379" s="29" t="s">
        <v>253</v>
      </c>
      <c r="W379" s="27"/>
      <c r="X379" s="30">
        <f t="shared" si="55"/>
        <v>0</v>
      </c>
      <c r="Y379" s="31"/>
      <c r="Z379" s="31">
        <f t="shared" si="56"/>
        <v>0</v>
      </c>
      <c r="AA379" s="29">
        <f t="shared" si="57"/>
        <v>870.8</v>
      </c>
    </row>
    <row r="380" spans="1:38" s="32" customFormat="1" x14ac:dyDescent="0.25">
      <c r="A380" s="18">
        <v>384</v>
      </c>
      <c r="B380" s="19">
        <v>46031</v>
      </c>
      <c r="C380" s="19">
        <v>46031</v>
      </c>
      <c r="D380" s="20" t="s">
        <v>754</v>
      </c>
      <c r="E380" s="21"/>
      <c r="F380" s="21"/>
      <c r="G380" s="21"/>
      <c r="H380" s="33">
        <v>102</v>
      </c>
      <c r="I380" s="60" t="s">
        <v>287</v>
      </c>
      <c r="J380" s="34" t="s">
        <v>23</v>
      </c>
      <c r="K380" s="35" t="s">
        <v>31</v>
      </c>
      <c r="L380" s="25" t="s">
        <v>288</v>
      </c>
      <c r="M380" s="21" t="s">
        <v>289</v>
      </c>
      <c r="N380" s="37">
        <v>9.4600000000000009</v>
      </c>
      <c r="O380" s="37">
        <v>3.36</v>
      </c>
      <c r="P380" s="26">
        <f t="shared" si="58"/>
        <v>6.1000000000000014</v>
      </c>
      <c r="Q380" s="27">
        <v>140</v>
      </c>
      <c r="R380" s="28">
        <f t="shared" si="54"/>
        <v>854.00000000000023</v>
      </c>
      <c r="S380" s="27"/>
      <c r="T380" s="29"/>
      <c r="V380" s="29" t="s">
        <v>253</v>
      </c>
      <c r="W380" s="27"/>
      <c r="X380" s="30">
        <f t="shared" si="55"/>
        <v>0</v>
      </c>
      <c r="Y380" s="31"/>
      <c r="Z380" s="31">
        <f t="shared" si="56"/>
        <v>0</v>
      </c>
      <c r="AA380" s="29">
        <f t="shared" si="57"/>
        <v>854.00000000000023</v>
      </c>
    </row>
    <row r="381" spans="1:38" s="32" customFormat="1" x14ac:dyDescent="0.25">
      <c r="A381" s="18">
        <v>385</v>
      </c>
      <c r="B381" s="19">
        <v>46031</v>
      </c>
      <c r="C381" s="19">
        <v>46031</v>
      </c>
      <c r="D381" s="20" t="s">
        <v>755</v>
      </c>
      <c r="E381" s="21"/>
      <c r="F381" s="21"/>
      <c r="G381" s="21"/>
      <c r="H381" s="33">
        <v>146</v>
      </c>
      <c r="I381" s="23" t="s">
        <v>756</v>
      </c>
      <c r="J381" s="34" t="s">
        <v>23</v>
      </c>
      <c r="K381" s="35" t="s">
        <v>30</v>
      </c>
      <c r="L381" s="25" t="s">
        <v>252</v>
      </c>
      <c r="M381" s="21" t="s">
        <v>34</v>
      </c>
      <c r="N381" s="37">
        <v>9.02</v>
      </c>
      <c r="O381" s="37">
        <v>3.58</v>
      </c>
      <c r="P381" s="26">
        <f t="shared" si="58"/>
        <v>5.4399999999999995</v>
      </c>
      <c r="Q381" s="27">
        <v>500</v>
      </c>
      <c r="R381" s="28">
        <f t="shared" si="54"/>
        <v>2719.9999999999995</v>
      </c>
      <c r="S381" s="27">
        <v>2720</v>
      </c>
      <c r="T381" s="29"/>
      <c r="V381" s="29" t="s">
        <v>24</v>
      </c>
      <c r="W381" s="27"/>
      <c r="X381" s="30">
        <f t="shared" si="55"/>
        <v>0</v>
      </c>
      <c r="Y381" s="31"/>
      <c r="Z381" s="31">
        <f t="shared" si="56"/>
        <v>0</v>
      </c>
      <c r="AA381" s="29">
        <f t="shared" si="57"/>
        <v>2719.9999999999995</v>
      </c>
      <c r="AB381" s="40"/>
      <c r="AC381" s="39"/>
      <c r="AD381" s="41"/>
      <c r="AE381" s="42"/>
      <c r="AF381" s="39"/>
      <c r="AG381" s="42"/>
      <c r="AH381" s="39"/>
      <c r="AI381" s="41"/>
      <c r="AJ381" s="39"/>
      <c r="AK381" s="41"/>
      <c r="AL381" s="41"/>
    </row>
    <row r="382" spans="1:38" s="32" customFormat="1" x14ac:dyDescent="0.25">
      <c r="A382" s="18">
        <v>386</v>
      </c>
      <c r="B382" s="19">
        <v>46031</v>
      </c>
      <c r="C382" s="19">
        <v>46031</v>
      </c>
      <c r="D382" s="20" t="s">
        <v>757</v>
      </c>
      <c r="E382" s="21"/>
      <c r="F382" s="21"/>
      <c r="G382" s="21"/>
      <c r="H382" s="33">
        <v>102</v>
      </c>
      <c r="I382" s="60" t="s">
        <v>287</v>
      </c>
      <c r="J382" s="34" t="s">
        <v>23</v>
      </c>
      <c r="K382" s="35" t="s">
        <v>31</v>
      </c>
      <c r="L382" s="25" t="s">
        <v>584</v>
      </c>
      <c r="M382" s="21" t="s">
        <v>289</v>
      </c>
      <c r="N382" s="37">
        <v>8.8800000000000008</v>
      </c>
      <c r="O382" s="37">
        <v>3.52</v>
      </c>
      <c r="P382" s="26">
        <f t="shared" si="58"/>
        <v>5.3600000000000012</v>
      </c>
      <c r="Q382" s="27">
        <v>140</v>
      </c>
      <c r="R382" s="28">
        <f t="shared" si="54"/>
        <v>750.4000000000002</v>
      </c>
      <c r="S382" s="27"/>
      <c r="T382" s="29"/>
      <c r="V382" s="29" t="s">
        <v>253</v>
      </c>
      <c r="W382" s="27"/>
      <c r="X382" s="30">
        <f t="shared" si="55"/>
        <v>0</v>
      </c>
      <c r="Y382" s="31"/>
      <c r="Z382" s="31">
        <f t="shared" si="56"/>
        <v>0</v>
      </c>
      <c r="AA382" s="29">
        <f t="shared" si="57"/>
        <v>750.4000000000002</v>
      </c>
    </row>
    <row r="383" spans="1:38" s="32" customFormat="1" x14ac:dyDescent="0.25">
      <c r="A383" s="18">
        <v>387</v>
      </c>
      <c r="B383" s="19">
        <v>46031</v>
      </c>
      <c r="C383" s="19">
        <v>46031</v>
      </c>
      <c r="D383" s="20" t="s">
        <v>758</v>
      </c>
      <c r="E383" s="21"/>
      <c r="F383" s="21"/>
      <c r="G383" s="21"/>
      <c r="H383" s="59"/>
      <c r="I383" s="77" t="s">
        <v>759</v>
      </c>
      <c r="J383" s="34" t="s">
        <v>23</v>
      </c>
      <c r="K383" s="35" t="s">
        <v>31</v>
      </c>
      <c r="L383" s="25" t="s">
        <v>760</v>
      </c>
      <c r="M383" s="21" t="s">
        <v>32</v>
      </c>
      <c r="N383" s="37">
        <v>5</v>
      </c>
      <c r="O383" s="37">
        <v>3.42</v>
      </c>
      <c r="P383" s="26">
        <f t="shared" si="58"/>
        <v>1.58</v>
      </c>
      <c r="Q383" s="27">
        <v>300</v>
      </c>
      <c r="R383" s="28">
        <f t="shared" si="54"/>
        <v>474</v>
      </c>
      <c r="S383" s="27"/>
      <c r="T383" s="29"/>
      <c r="V383" s="29" t="s">
        <v>45</v>
      </c>
      <c r="W383" s="27"/>
      <c r="X383" s="30">
        <f t="shared" si="55"/>
        <v>0</v>
      </c>
      <c r="Y383" s="31"/>
      <c r="Z383" s="31">
        <f t="shared" si="56"/>
        <v>0</v>
      </c>
      <c r="AA383" s="29">
        <f t="shared" si="57"/>
        <v>474</v>
      </c>
    </row>
    <row r="384" spans="1:38" s="32" customFormat="1" x14ac:dyDescent="0.25">
      <c r="A384" s="18">
        <v>388</v>
      </c>
      <c r="B384" s="19">
        <v>46031</v>
      </c>
      <c r="C384" s="19">
        <v>46031</v>
      </c>
      <c r="D384" s="20" t="s">
        <v>761</v>
      </c>
      <c r="E384" s="21"/>
      <c r="F384" s="21"/>
      <c r="G384" s="21"/>
      <c r="H384" s="33">
        <v>102</v>
      </c>
      <c r="I384" s="60" t="s">
        <v>287</v>
      </c>
      <c r="J384" s="34" t="s">
        <v>23</v>
      </c>
      <c r="K384" s="35" t="s">
        <v>31</v>
      </c>
      <c r="L384" s="25" t="s">
        <v>288</v>
      </c>
      <c r="M384" s="21" t="s">
        <v>289</v>
      </c>
      <c r="N384" s="37">
        <v>9.32</v>
      </c>
      <c r="O384" s="37">
        <v>3.6</v>
      </c>
      <c r="P384" s="26">
        <f t="shared" si="58"/>
        <v>5.7200000000000006</v>
      </c>
      <c r="Q384" s="27">
        <v>140</v>
      </c>
      <c r="R384" s="28">
        <f t="shared" si="54"/>
        <v>800.80000000000007</v>
      </c>
      <c r="S384" s="27"/>
      <c r="T384" s="29"/>
      <c r="V384" s="29" t="s">
        <v>253</v>
      </c>
      <c r="W384" s="27"/>
      <c r="X384" s="30">
        <f t="shared" si="55"/>
        <v>0</v>
      </c>
      <c r="Y384" s="31"/>
      <c r="Z384" s="31">
        <f t="shared" si="56"/>
        <v>0</v>
      </c>
      <c r="AA384" s="29">
        <f t="shared" si="57"/>
        <v>800.80000000000007</v>
      </c>
    </row>
    <row r="385" spans="1:27" s="32" customFormat="1" x14ac:dyDescent="0.25">
      <c r="A385" s="18">
        <v>389</v>
      </c>
      <c r="B385" s="19">
        <v>46031</v>
      </c>
      <c r="C385" s="19">
        <v>46031</v>
      </c>
      <c r="D385" s="20" t="s">
        <v>762</v>
      </c>
      <c r="E385" s="21"/>
      <c r="F385" s="21"/>
      <c r="G385" s="21"/>
      <c r="H385" s="60"/>
      <c r="I385" s="60" t="s">
        <v>201</v>
      </c>
      <c r="J385" s="61" t="s">
        <v>23</v>
      </c>
      <c r="K385" s="60" t="s">
        <v>31</v>
      </c>
      <c r="L385" s="25" t="s">
        <v>308</v>
      </c>
      <c r="M385" s="21" t="s">
        <v>203</v>
      </c>
      <c r="N385" s="37">
        <v>25.52</v>
      </c>
      <c r="O385" s="37">
        <v>14.3</v>
      </c>
      <c r="P385" s="26">
        <f t="shared" si="58"/>
        <v>11.219999999999999</v>
      </c>
      <c r="Q385" s="27">
        <v>0</v>
      </c>
      <c r="R385" s="28">
        <f t="shared" si="54"/>
        <v>0</v>
      </c>
      <c r="S385" s="27"/>
      <c r="T385" s="29"/>
      <c r="V385" s="29" t="s">
        <v>24</v>
      </c>
      <c r="W385" s="27"/>
      <c r="X385" s="30">
        <f t="shared" si="55"/>
        <v>0</v>
      </c>
      <c r="Y385" s="31"/>
      <c r="Z385" s="31">
        <f t="shared" si="56"/>
        <v>0</v>
      </c>
      <c r="AA385" s="29">
        <f t="shared" si="57"/>
        <v>0</v>
      </c>
    </row>
    <row r="386" spans="1:27" s="38" customFormat="1" x14ac:dyDescent="0.25">
      <c r="A386" s="18">
        <v>390</v>
      </c>
      <c r="B386" s="19">
        <v>46031</v>
      </c>
      <c r="C386" s="19">
        <v>46031</v>
      </c>
      <c r="D386" s="20">
        <v>260109015</v>
      </c>
      <c r="E386" s="21" t="s">
        <v>763</v>
      </c>
      <c r="F386" s="21" t="s">
        <v>764</v>
      </c>
      <c r="G386" s="21">
        <v>45</v>
      </c>
      <c r="H386" s="44">
        <v>96</v>
      </c>
      <c r="I386" s="71" t="s">
        <v>458</v>
      </c>
      <c r="J386" s="65" t="s">
        <v>23</v>
      </c>
      <c r="K386" s="35" t="s">
        <v>31</v>
      </c>
      <c r="L386" s="25" t="s">
        <v>711</v>
      </c>
      <c r="M386" s="21" t="s">
        <v>34</v>
      </c>
      <c r="N386" s="37">
        <v>60.84</v>
      </c>
      <c r="O386" s="37">
        <v>15.68</v>
      </c>
      <c r="P386" s="26">
        <f t="shared" si="58"/>
        <v>45.160000000000004</v>
      </c>
      <c r="Q386" s="27">
        <v>520</v>
      </c>
      <c r="R386" s="28">
        <f t="shared" si="54"/>
        <v>23483.200000000001</v>
      </c>
      <c r="S386" s="27"/>
      <c r="T386" s="29"/>
      <c r="V386" s="29" t="s">
        <v>45</v>
      </c>
      <c r="W386" s="27">
        <v>150</v>
      </c>
      <c r="X386" s="30">
        <f t="shared" si="55"/>
        <v>6774.0000000000009</v>
      </c>
      <c r="Y386" s="31"/>
      <c r="Z386" s="31">
        <f t="shared" si="56"/>
        <v>0</v>
      </c>
      <c r="AA386" s="29">
        <f t="shared" si="57"/>
        <v>30257.200000000001</v>
      </c>
    </row>
    <row r="387" spans="1:27" s="38" customFormat="1" x14ac:dyDescent="0.25">
      <c r="A387" s="18">
        <v>391</v>
      </c>
      <c r="B387" s="19">
        <v>46031</v>
      </c>
      <c r="C387" s="19">
        <v>46031</v>
      </c>
      <c r="D387" s="20">
        <v>260109016</v>
      </c>
      <c r="E387" s="21" t="s">
        <v>765</v>
      </c>
      <c r="F387" s="21" t="s">
        <v>766</v>
      </c>
      <c r="G387" s="21">
        <v>49</v>
      </c>
      <c r="H387" s="44">
        <v>96</v>
      </c>
      <c r="I387" s="71" t="s">
        <v>458</v>
      </c>
      <c r="J387" s="65" t="s">
        <v>23</v>
      </c>
      <c r="K387" s="35" t="s">
        <v>31</v>
      </c>
      <c r="L387" s="25" t="s">
        <v>704</v>
      </c>
      <c r="M387" s="21" t="s">
        <v>767</v>
      </c>
      <c r="N387" s="37">
        <v>64.58</v>
      </c>
      <c r="O387" s="37">
        <v>14.94</v>
      </c>
      <c r="P387" s="26">
        <f t="shared" si="58"/>
        <v>49.64</v>
      </c>
      <c r="Q387" s="27">
        <v>325</v>
      </c>
      <c r="R387" s="28">
        <f t="shared" si="54"/>
        <v>16133</v>
      </c>
      <c r="S387" s="27"/>
      <c r="T387" s="29"/>
      <c r="V387" s="29" t="s">
        <v>45</v>
      </c>
      <c r="W387" s="27">
        <v>150</v>
      </c>
      <c r="X387" s="30">
        <f t="shared" si="55"/>
        <v>7446</v>
      </c>
      <c r="Y387" s="31"/>
      <c r="Z387" s="31">
        <f t="shared" si="56"/>
        <v>0</v>
      </c>
      <c r="AA387" s="29">
        <f t="shared" si="57"/>
        <v>23579</v>
      </c>
    </row>
    <row r="388" spans="1:27" s="32" customFormat="1" x14ac:dyDescent="0.25">
      <c r="A388" s="18">
        <v>392</v>
      </c>
      <c r="B388" s="19">
        <v>46031</v>
      </c>
      <c r="C388" s="19">
        <v>46031</v>
      </c>
      <c r="D388" s="20">
        <v>260109017</v>
      </c>
      <c r="E388" s="21" t="s">
        <v>768</v>
      </c>
      <c r="F388" s="21" t="s">
        <v>769</v>
      </c>
      <c r="G388" s="21">
        <v>39</v>
      </c>
      <c r="H388" s="44">
        <v>96</v>
      </c>
      <c r="I388" s="71" t="s">
        <v>458</v>
      </c>
      <c r="J388" s="65" t="s">
        <v>23</v>
      </c>
      <c r="K388" s="35" t="s">
        <v>31</v>
      </c>
      <c r="L388" s="25" t="s">
        <v>459</v>
      </c>
      <c r="M388" s="21" t="s">
        <v>767</v>
      </c>
      <c r="N388" s="37">
        <v>50.98</v>
      </c>
      <c r="O388" s="37">
        <v>11.34</v>
      </c>
      <c r="P388" s="26">
        <f t="shared" si="58"/>
        <v>39.64</v>
      </c>
      <c r="Q388" s="27">
        <v>325</v>
      </c>
      <c r="R388" s="28">
        <f t="shared" si="54"/>
        <v>12883</v>
      </c>
      <c r="S388" s="27"/>
      <c r="T388" s="29"/>
      <c r="V388" s="29" t="s">
        <v>45</v>
      </c>
      <c r="W388" s="27">
        <v>150</v>
      </c>
      <c r="X388" s="30">
        <f t="shared" si="55"/>
        <v>5946</v>
      </c>
      <c r="Y388" s="31"/>
      <c r="Z388" s="31">
        <f t="shared" si="56"/>
        <v>0</v>
      </c>
      <c r="AA388" s="29">
        <f t="shared" si="57"/>
        <v>18829</v>
      </c>
    </row>
    <row r="389" spans="1:27" s="32" customFormat="1" x14ac:dyDescent="0.25">
      <c r="A389" s="18">
        <v>393</v>
      </c>
      <c r="B389" s="19">
        <v>46031</v>
      </c>
      <c r="C389" s="19">
        <v>46031</v>
      </c>
      <c r="D389" s="20">
        <v>260109018</v>
      </c>
      <c r="E389" s="21" t="s">
        <v>770</v>
      </c>
      <c r="F389" s="21" t="s">
        <v>771</v>
      </c>
      <c r="G389" s="21">
        <v>34</v>
      </c>
      <c r="H389" s="44">
        <v>96</v>
      </c>
      <c r="I389" s="71" t="s">
        <v>458</v>
      </c>
      <c r="J389" s="65" t="s">
        <v>23</v>
      </c>
      <c r="K389" s="35" t="s">
        <v>31</v>
      </c>
      <c r="L389" s="25" t="s">
        <v>772</v>
      </c>
      <c r="M389" s="21" t="s">
        <v>34</v>
      </c>
      <c r="N389" s="37">
        <v>45.72</v>
      </c>
      <c r="O389" s="37">
        <v>11.54</v>
      </c>
      <c r="P389" s="26">
        <f t="shared" si="58"/>
        <v>34.18</v>
      </c>
      <c r="Q389" s="27">
        <v>520</v>
      </c>
      <c r="R389" s="28">
        <f t="shared" si="54"/>
        <v>17773.599999999999</v>
      </c>
      <c r="S389" s="27"/>
      <c r="T389" s="29"/>
      <c r="V389" s="29" t="s">
        <v>45</v>
      </c>
      <c r="W389" s="27">
        <v>150</v>
      </c>
      <c r="X389" s="30">
        <f t="shared" si="55"/>
        <v>5127</v>
      </c>
      <c r="Y389" s="31"/>
      <c r="Z389" s="31">
        <f t="shared" si="56"/>
        <v>0</v>
      </c>
      <c r="AA389" s="29">
        <f t="shared" si="57"/>
        <v>22900.6</v>
      </c>
    </row>
    <row r="390" spans="1:27" s="32" customFormat="1" x14ac:dyDescent="0.25">
      <c r="A390" s="18">
        <v>394</v>
      </c>
      <c r="B390" s="19">
        <v>46031</v>
      </c>
      <c r="C390" s="19">
        <v>46031</v>
      </c>
      <c r="D390" s="20" t="s">
        <v>773</v>
      </c>
      <c r="E390" s="21"/>
      <c r="F390" s="21"/>
      <c r="G390" s="21"/>
      <c r="H390" s="60"/>
      <c r="I390" s="60" t="s">
        <v>201</v>
      </c>
      <c r="J390" s="61" t="s">
        <v>23</v>
      </c>
      <c r="K390" s="60" t="s">
        <v>31</v>
      </c>
      <c r="L390" s="25" t="s">
        <v>337</v>
      </c>
      <c r="M390" s="21" t="s">
        <v>203</v>
      </c>
      <c r="N390" s="37">
        <v>29</v>
      </c>
      <c r="O390" s="37">
        <v>14.9</v>
      </c>
      <c r="P390" s="26">
        <f t="shared" si="58"/>
        <v>14.1</v>
      </c>
      <c r="Q390" s="27">
        <v>0</v>
      </c>
      <c r="R390" s="28">
        <f t="shared" si="54"/>
        <v>0</v>
      </c>
      <c r="S390" s="27"/>
      <c r="T390" s="29"/>
      <c r="V390" s="29" t="s">
        <v>24</v>
      </c>
      <c r="W390" s="27"/>
      <c r="X390" s="30">
        <f t="shared" si="55"/>
        <v>0</v>
      </c>
      <c r="Y390" s="31"/>
      <c r="Z390" s="31">
        <f t="shared" si="56"/>
        <v>0</v>
      </c>
      <c r="AA390" s="29">
        <f t="shared" si="57"/>
        <v>0</v>
      </c>
    </row>
    <row r="391" spans="1:27" s="38" customFormat="1" x14ac:dyDescent="0.25">
      <c r="A391" s="18">
        <v>395</v>
      </c>
      <c r="B391" s="19">
        <v>46031</v>
      </c>
      <c r="C391" s="19">
        <v>46031</v>
      </c>
      <c r="D391" s="20" t="s">
        <v>774</v>
      </c>
      <c r="E391" s="21"/>
      <c r="F391" s="21"/>
      <c r="G391" s="21"/>
      <c r="H391" s="33">
        <v>102</v>
      </c>
      <c r="I391" s="60" t="s">
        <v>287</v>
      </c>
      <c r="J391" s="34" t="s">
        <v>23</v>
      </c>
      <c r="K391" s="35" t="s">
        <v>31</v>
      </c>
      <c r="L391" s="50" t="s">
        <v>775</v>
      </c>
      <c r="M391" s="21" t="s">
        <v>289</v>
      </c>
      <c r="N391" s="37">
        <v>8.98</v>
      </c>
      <c r="O391" s="37">
        <v>3.46</v>
      </c>
      <c r="P391" s="26">
        <f t="shared" si="58"/>
        <v>5.5200000000000005</v>
      </c>
      <c r="Q391" s="27">
        <v>140</v>
      </c>
      <c r="R391" s="28">
        <f t="shared" si="54"/>
        <v>772.80000000000007</v>
      </c>
      <c r="S391" s="27"/>
      <c r="T391" s="29"/>
      <c r="V391" s="29" t="s">
        <v>253</v>
      </c>
      <c r="W391" s="27"/>
      <c r="X391" s="30">
        <f t="shared" si="55"/>
        <v>0</v>
      </c>
      <c r="Y391" s="31"/>
      <c r="Z391" s="31">
        <f t="shared" si="56"/>
        <v>0</v>
      </c>
      <c r="AA391" s="29">
        <f t="shared" si="57"/>
        <v>772.80000000000007</v>
      </c>
    </row>
    <row r="392" spans="1:27" s="38" customFormat="1" x14ac:dyDescent="0.25">
      <c r="A392" s="18">
        <v>396</v>
      </c>
      <c r="B392" s="19">
        <v>46031</v>
      </c>
      <c r="C392" s="19">
        <v>46031</v>
      </c>
      <c r="D392" s="20">
        <v>260109019</v>
      </c>
      <c r="E392" s="21" t="s">
        <v>776</v>
      </c>
      <c r="F392" s="21" t="s">
        <v>777</v>
      </c>
      <c r="G392" s="21">
        <v>38</v>
      </c>
      <c r="H392" s="44">
        <v>96</v>
      </c>
      <c r="I392" s="71" t="s">
        <v>458</v>
      </c>
      <c r="J392" s="65" t="s">
        <v>23</v>
      </c>
      <c r="K392" s="35" t="s">
        <v>31</v>
      </c>
      <c r="L392" s="20" t="s">
        <v>43</v>
      </c>
      <c r="M392" s="21" t="s">
        <v>49</v>
      </c>
      <c r="N392" s="37">
        <v>49.28</v>
      </c>
      <c r="O392" s="37">
        <v>11.24</v>
      </c>
      <c r="P392" s="26">
        <f t="shared" si="58"/>
        <v>38.04</v>
      </c>
      <c r="Q392" s="27">
        <v>250</v>
      </c>
      <c r="R392" s="28">
        <f t="shared" si="54"/>
        <v>9510</v>
      </c>
      <c r="S392" s="27"/>
      <c r="T392" s="29"/>
      <c r="V392" s="29" t="s">
        <v>45</v>
      </c>
      <c r="W392" s="27">
        <v>150</v>
      </c>
      <c r="X392" s="30">
        <f t="shared" si="55"/>
        <v>5706</v>
      </c>
      <c r="Y392" s="31"/>
      <c r="Z392" s="31">
        <f t="shared" si="56"/>
        <v>0</v>
      </c>
      <c r="AA392" s="29">
        <f t="shared" si="57"/>
        <v>15216</v>
      </c>
    </row>
    <row r="393" spans="1:27" s="32" customFormat="1" x14ac:dyDescent="0.25">
      <c r="A393" s="18">
        <v>397</v>
      </c>
      <c r="B393" s="19">
        <v>46031</v>
      </c>
      <c r="C393" s="19">
        <v>46031</v>
      </c>
      <c r="D393" s="20" t="s">
        <v>778</v>
      </c>
      <c r="E393" s="21"/>
      <c r="F393" s="21"/>
      <c r="G393" s="21"/>
      <c r="H393" s="33">
        <v>458</v>
      </c>
      <c r="I393" s="76" t="s">
        <v>745</v>
      </c>
      <c r="J393" s="24" t="s">
        <v>23</v>
      </c>
      <c r="K393" s="23" t="s">
        <v>31</v>
      </c>
      <c r="L393" s="50" t="s">
        <v>695</v>
      </c>
      <c r="M393" s="21" t="s">
        <v>289</v>
      </c>
      <c r="N393" s="37">
        <v>9.48</v>
      </c>
      <c r="O393" s="37">
        <v>3.5</v>
      </c>
      <c r="P393" s="26">
        <f t="shared" si="58"/>
        <v>5.98</v>
      </c>
      <c r="Q393" s="27">
        <v>140</v>
      </c>
      <c r="R393" s="28">
        <f t="shared" si="54"/>
        <v>837.2</v>
      </c>
      <c r="S393" s="27"/>
      <c r="T393" s="29"/>
      <c r="V393" s="29" t="s">
        <v>45</v>
      </c>
      <c r="W393" s="27"/>
      <c r="X393" s="30">
        <f t="shared" si="55"/>
        <v>0</v>
      </c>
      <c r="Y393" s="31"/>
      <c r="Z393" s="31">
        <f t="shared" si="56"/>
        <v>0</v>
      </c>
      <c r="AA393" s="29">
        <f t="shared" si="57"/>
        <v>837.2</v>
      </c>
    </row>
    <row r="394" spans="1:27" s="32" customFormat="1" x14ac:dyDescent="0.25">
      <c r="A394" s="18">
        <v>398</v>
      </c>
      <c r="B394" s="19">
        <v>46031</v>
      </c>
      <c r="C394" s="19">
        <v>46031</v>
      </c>
      <c r="D394" s="20" t="s">
        <v>779</v>
      </c>
      <c r="E394" s="21"/>
      <c r="F394" s="21"/>
      <c r="G394" s="21"/>
      <c r="H394" s="33">
        <v>458</v>
      </c>
      <c r="I394" s="76" t="s">
        <v>745</v>
      </c>
      <c r="J394" s="24" t="s">
        <v>23</v>
      </c>
      <c r="K394" s="23" t="s">
        <v>31</v>
      </c>
      <c r="L394" s="50" t="s">
        <v>695</v>
      </c>
      <c r="M394" s="21" t="s">
        <v>34</v>
      </c>
      <c r="N394" s="37">
        <v>9.4600000000000009</v>
      </c>
      <c r="O394" s="37">
        <v>3.5</v>
      </c>
      <c r="P394" s="26">
        <f t="shared" si="58"/>
        <v>5.9600000000000009</v>
      </c>
      <c r="Q394" s="27">
        <v>540</v>
      </c>
      <c r="R394" s="28">
        <f t="shared" si="54"/>
        <v>3218.4000000000005</v>
      </c>
      <c r="S394" s="27"/>
      <c r="T394" s="29"/>
      <c r="V394" s="29" t="s">
        <v>45</v>
      </c>
      <c r="W394" s="27"/>
      <c r="X394" s="30">
        <f t="shared" si="55"/>
        <v>0</v>
      </c>
      <c r="Y394" s="31"/>
      <c r="Z394" s="31">
        <f t="shared" si="56"/>
        <v>0</v>
      </c>
      <c r="AA394" s="29">
        <f t="shared" si="57"/>
        <v>3218.4000000000005</v>
      </c>
    </row>
    <row r="395" spans="1:27" s="32" customFormat="1" x14ac:dyDescent="0.25">
      <c r="A395" s="18">
        <v>399</v>
      </c>
      <c r="B395" s="19">
        <v>46031</v>
      </c>
      <c r="C395" s="19">
        <v>46031</v>
      </c>
      <c r="D395" s="20">
        <v>260109020</v>
      </c>
      <c r="E395" s="21" t="s">
        <v>780</v>
      </c>
      <c r="F395" s="21" t="s">
        <v>781</v>
      </c>
      <c r="G395" s="21">
        <v>44</v>
      </c>
      <c r="H395" s="44">
        <v>96</v>
      </c>
      <c r="I395" s="71" t="s">
        <v>458</v>
      </c>
      <c r="J395" s="65" t="s">
        <v>23</v>
      </c>
      <c r="K395" s="35" t="s">
        <v>31</v>
      </c>
      <c r="L395" s="25" t="s">
        <v>54</v>
      </c>
      <c r="M395" s="21" t="s">
        <v>34</v>
      </c>
      <c r="N395" s="37">
        <v>60.72</v>
      </c>
      <c r="O395" s="37">
        <v>15.86</v>
      </c>
      <c r="P395" s="26">
        <f t="shared" si="58"/>
        <v>44.86</v>
      </c>
      <c r="Q395" s="27">
        <v>520</v>
      </c>
      <c r="R395" s="28">
        <f t="shared" si="54"/>
        <v>23327.200000000001</v>
      </c>
      <c r="S395" s="27"/>
      <c r="T395" s="29"/>
      <c r="V395" s="29" t="s">
        <v>45</v>
      </c>
      <c r="W395" s="27">
        <v>150</v>
      </c>
      <c r="X395" s="30">
        <f t="shared" si="55"/>
        <v>6729</v>
      </c>
      <c r="Y395" s="31"/>
      <c r="Z395" s="31">
        <f t="shared" si="56"/>
        <v>0</v>
      </c>
      <c r="AA395" s="29">
        <f t="shared" si="57"/>
        <v>30056.2</v>
      </c>
    </row>
    <row r="396" spans="1:27" s="32" customFormat="1" x14ac:dyDescent="0.25">
      <c r="A396" s="18">
        <v>400</v>
      </c>
      <c r="B396" s="19">
        <v>46031</v>
      </c>
      <c r="C396" s="19">
        <v>46031</v>
      </c>
      <c r="D396" s="69">
        <v>260109021</v>
      </c>
      <c r="E396" s="21" t="s">
        <v>782</v>
      </c>
      <c r="F396" s="21" t="s">
        <v>783</v>
      </c>
      <c r="G396" s="21">
        <v>50</v>
      </c>
      <c r="H396" s="44">
        <v>115</v>
      </c>
      <c r="I396" s="23" t="s">
        <v>33</v>
      </c>
      <c r="J396" s="24" t="s">
        <v>23</v>
      </c>
      <c r="K396" s="35" t="s">
        <v>31</v>
      </c>
      <c r="L396" s="20" t="s">
        <v>140</v>
      </c>
      <c r="M396" s="21" t="s">
        <v>32</v>
      </c>
      <c r="N396" s="37">
        <v>67.959999999999994</v>
      </c>
      <c r="O396" s="37">
        <v>17.579999999999998</v>
      </c>
      <c r="P396" s="26">
        <f t="shared" si="58"/>
        <v>50.379999999999995</v>
      </c>
      <c r="Q396" s="27">
        <v>315</v>
      </c>
      <c r="R396" s="28">
        <f t="shared" si="54"/>
        <v>15869.699999999999</v>
      </c>
      <c r="S396" s="27"/>
      <c r="T396" s="29"/>
      <c r="V396" s="29" t="s">
        <v>24</v>
      </c>
      <c r="W396" s="27">
        <v>145</v>
      </c>
      <c r="X396" s="30">
        <f t="shared" si="55"/>
        <v>7305.0999999999995</v>
      </c>
      <c r="Y396" s="31">
        <v>260</v>
      </c>
      <c r="Z396" s="31">
        <f t="shared" si="56"/>
        <v>13098.8</v>
      </c>
      <c r="AA396" s="29">
        <f t="shared" si="57"/>
        <v>36273.599999999999</v>
      </c>
    </row>
    <row r="397" spans="1:27" s="32" customFormat="1" x14ac:dyDescent="0.25">
      <c r="A397" s="18">
        <v>401</v>
      </c>
      <c r="B397" s="19">
        <v>46031</v>
      </c>
      <c r="C397" s="19">
        <v>46031</v>
      </c>
      <c r="D397" s="20">
        <v>260109022</v>
      </c>
      <c r="E397" s="21" t="s">
        <v>784</v>
      </c>
      <c r="F397" s="21" t="s">
        <v>785</v>
      </c>
      <c r="G397" s="21">
        <v>60</v>
      </c>
      <c r="H397" s="44">
        <v>115</v>
      </c>
      <c r="I397" s="23" t="s">
        <v>33</v>
      </c>
      <c r="J397" s="24" t="s">
        <v>23</v>
      </c>
      <c r="K397" s="35" t="s">
        <v>31</v>
      </c>
      <c r="L397" s="20" t="s">
        <v>206</v>
      </c>
      <c r="M397" s="21" t="s">
        <v>34</v>
      </c>
      <c r="N397" s="37">
        <v>77.7</v>
      </c>
      <c r="O397" s="37">
        <v>17.239999999999998</v>
      </c>
      <c r="P397" s="26">
        <f t="shared" si="58"/>
        <v>60.460000000000008</v>
      </c>
      <c r="Q397" s="27">
        <v>545</v>
      </c>
      <c r="R397" s="28">
        <f t="shared" si="54"/>
        <v>32950.700000000004</v>
      </c>
      <c r="S397" s="27"/>
      <c r="T397" s="29"/>
      <c r="V397" s="29" t="s">
        <v>24</v>
      </c>
      <c r="W397" s="27">
        <v>145</v>
      </c>
      <c r="X397" s="30">
        <f t="shared" si="55"/>
        <v>8766.7000000000007</v>
      </c>
      <c r="Y397" s="31">
        <v>260</v>
      </c>
      <c r="Z397" s="31">
        <f t="shared" si="56"/>
        <v>15719.600000000002</v>
      </c>
      <c r="AA397" s="29">
        <f t="shared" si="57"/>
        <v>57437.000000000015</v>
      </c>
    </row>
    <row r="398" spans="1:27" s="38" customFormat="1" x14ac:dyDescent="0.25">
      <c r="A398" s="18">
        <v>402</v>
      </c>
      <c r="B398" s="19">
        <v>46031</v>
      </c>
      <c r="C398" s="19">
        <v>46031</v>
      </c>
      <c r="D398" s="20">
        <v>260109023</v>
      </c>
      <c r="E398" s="21" t="s">
        <v>786</v>
      </c>
      <c r="F398" s="21" t="s">
        <v>787</v>
      </c>
      <c r="G398" s="21">
        <v>38</v>
      </c>
      <c r="H398" s="44">
        <v>115</v>
      </c>
      <c r="I398" s="23" t="s">
        <v>33</v>
      </c>
      <c r="J398" s="24" t="s">
        <v>23</v>
      </c>
      <c r="K398" s="35" t="s">
        <v>31</v>
      </c>
      <c r="L398" s="25" t="s">
        <v>40</v>
      </c>
      <c r="M398" s="21" t="s">
        <v>35</v>
      </c>
      <c r="N398" s="37">
        <v>49.54</v>
      </c>
      <c r="O398" s="37">
        <v>11.48</v>
      </c>
      <c r="P398" s="26">
        <f t="shared" si="58"/>
        <v>38.06</v>
      </c>
      <c r="Q398" s="27">
        <v>445</v>
      </c>
      <c r="R398" s="28">
        <f t="shared" si="54"/>
        <v>16936.7</v>
      </c>
      <c r="S398" s="21"/>
      <c r="T398" s="29"/>
      <c r="V398" s="29" t="s">
        <v>24</v>
      </c>
      <c r="W398" s="27">
        <v>145</v>
      </c>
      <c r="X398" s="30">
        <f t="shared" si="55"/>
        <v>5518.7000000000007</v>
      </c>
      <c r="Y398" s="31">
        <v>260</v>
      </c>
      <c r="Z398" s="31">
        <f t="shared" si="56"/>
        <v>9895.6</v>
      </c>
      <c r="AA398" s="29">
        <f t="shared" si="57"/>
        <v>32351</v>
      </c>
    </row>
    <row r="399" spans="1:27" s="38" customFormat="1" x14ac:dyDescent="0.25">
      <c r="A399" s="18">
        <v>403</v>
      </c>
      <c r="B399" s="19">
        <v>46031</v>
      </c>
      <c r="C399" s="19">
        <v>46031</v>
      </c>
      <c r="D399" s="20">
        <v>260109024</v>
      </c>
      <c r="E399" s="21" t="s">
        <v>788</v>
      </c>
      <c r="F399" s="21" t="s">
        <v>789</v>
      </c>
      <c r="G399" s="21">
        <v>37</v>
      </c>
      <c r="H399" s="44">
        <v>115</v>
      </c>
      <c r="I399" s="23" t="s">
        <v>33</v>
      </c>
      <c r="J399" s="24" t="s">
        <v>23</v>
      </c>
      <c r="K399" s="35" t="s">
        <v>31</v>
      </c>
      <c r="L399" s="25" t="s">
        <v>42</v>
      </c>
      <c r="M399" s="21" t="s">
        <v>35</v>
      </c>
      <c r="N399" s="37">
        <v>49.32</v>
      </c>
      <c r="O399" s="37">
        <v>11.8</v>
      </c>
      <c r="P399" s="26">
        <f t="shared" si="58"/>
        <v>37.519999999999996</v>
      </c>
      <c r="Q399" s="27">
        <v>445</v>
      </c>
      <c r="R399" s="28">
        <f t="shared" si="54"/>
        <v>16696.399999999998</v>
      </c>
      <c r="S399" s="21"/>
      <c r="T399" s="29"/>
      <c r="V399" s="29" t="s">
        <v>24</v>
      </c>
      <c r="W399" s="27">
        <v>145</v>
      </c>
      <c r="X399" s="30">
        <f t="shared" si="55"/>
        <v>5440.4</v>
      </c>
      <c r="Y399" s="31">
        <v>260</v>
      </c>
      <c r="Z399" s="31">
        <f t="shared" si="56"/>
        <v>9755.1999999999989</v>
      </c>
      <c r="AA399" s="29">
        <f t="shared" si="57"/>
        <v>31891.999999999993</v>
      </c>
    </row>
    <row r="400" spans="1:27" s="32" customFormat="1" x14ac:dyDescent="0.25">
      <c r="A400" s="18">
        <v>404</v>
      </c>
      <c r="B400" s="19">
        <v>46031</v>
      </c>
      <c r="C400" s="19">
        <v>46031</v>
      </c>
      <c r="D400" s="20">
        <v>260109025</v>
      </c>
      <c r="E400" s="21" t="s">
        <v>790</v>
      </c>
      <c r="F400" s="21" t="s">
        <v>791</v>
      </c>
      <c r="G400" s="21">
        <v>51</v>
      </c>
      <c r="H400" s="44">
        <v>115</v>
      </c>
      <c r="I400" s="23" t="s">
        <v>33</v>
      </c>
      <c r="J400" s="24" t="s">
        <v>23</v>
      </c>
      <c r="K400" s="35" t="s">
        <v>31</v>
      </c>
      <c r="L400" s="25" t="s">
        <v>66</v>
      </c>
      <c r="M400" s="21" t="s">
        <v>34</v>
      </c>
      <c r="N400" s="37">
        <v>66.64</v>
      </c>
      <c r="O400" s="37">
        <v>15.38</v>
      </c>
      <c r="P400" s="26">
        <f t="shared" si="58"/>
        <v>51.26</v>
      </c>
      <c r="Q400" s="27">
        <v>545</v>
      </c>
      <c r="R400" s="28">
        <f t="shared" si="54"/>
        <v>27936.7</v>
      </c>
      <c r="S400" s="27"/>
      <c r="T400" s="29"/>
      <c r="V400" s="29" t="s">
        <v>24</v>
      </c>
      <c r="W400" s="27">
        <v>145</v>
      </c>
      <c r="X400" s="30">
        <f t="shared" si="55"/>
        <v>7432.7</v>
      </c>
      <c r="Y400" s="31">
        <v>260</v>
      </c>
      <c r="Z400" s="31">
        <f t="shared" si="56"/>
        <v>13327.6</v>
      </c>
      <c r="AA400" s="29">
        <f t="shared" si="57"/>
        <v>48697</v>
      </c>
    </row>
    <row r="401" spans="1:27" s="38" customFormat="1" x14ac:dyDescent="0.25">
      <c r="A401" s="18">
        <v>405</v>
      </c>
      <c r="B401" s="19">
        <v>46031</v>
      </c>
      <c r="C401" s="19">
        <v>46031</v>
      </c>
      <c r="D401" s="20">
        <v>260109026</v>
      </c>
      <c r="E401" s="21" t="s">
        <v>792</v>
      </c>
      <c r="F401" s="21" t="s">
        <v>793</v>
      </c>
      <c r="G401" s="21">
        <v>47</v>
      </c>
      <c r="H401" s="44">
        <v>115</v>
      </c>
      <c r="I401" s="23" t="s">
        <v>33</v>
      </c>
      <c r="J401" s="24" t="s">
        <v>23</v>
      </c>
      <c r="K401" s="35" t="s">
        <v>31</v>
      </c>
      <c r="L401" s="25" t="s">
        <v>50</v>
      </c>
      <c r="M401" s="21" t="s">
        <v>34</v>
      </c>
      <c r="N401" s="37">
        <v>64.08</v>
      </c>
      <c r="O401" s="37">
        <v>16.78</v>
      </c>
      <c r="P401" s="26">
        <f t="shared" si="58"/>
        <v>47.3</v>
      </c>
      <c r="Q401" s="27">
        <v>545</v>
      </c>
      <c r="R401" s="28">
        <f t="shared" si="54"/>
        <v>25778.5</v>
      </c>
      <c r="S401" s="27"/>
      <c r="T401" s="29"/>
      <c r="V401" s="29" t="s">
        <v>24</v>
      </c>
      <c r="W401" s="27">
        <v>145</v>
      </c>
      <c r="X401" s="30">
        <f t="shared" si="55"/>
        <v>6858.5</v>
      </c>
      <c r="Y401" s="31">
        <v>260</v>
      </c>
      <c r="Z401" s="31">
        <f t="shared" si="56"/>
        <v>12298</v>
      </c>
      <c r="AA401" s="29">
        <f t="shared" si="57"/>
        <v>44935</v>
      </c>
    </row>
    <row r="402" spans="1:27" s="32" customFormat="1" x14ac:dyDescent="0.25">
      <c r="A402" s="18">
        <v>406</v>
      </c>
      <c r="B402" s="19">
        <v>46031</v>
      </c>
      <c r="C402" s="19">
        <v>46031</v>
      </c>
      <c r="D402" s="20">
        <v>260109027</v>
      </c>
      <c r="E402" s="21" t="s">
        <v>794</v>
      </c>
      <c r="F402" s="21" t="s">
        <v>795</v>
      </c>
      <c r="G402" s="21">
        <v>50</v>
      </c>
      <c r="H402" s="44">
        <v>115</v>
      </c>
      <c r="I402" s="23" t="s">
        <v>33</v>
      </c>
      <c r="J402" s="24" t="s">
        <v>23</v>
      </c>
      <c r="K402" s="35" t="s">
        <v>31</v>
      </c>
      <c r="L402" s="25" t="s">
        <v>401</v>
      </c>
      <c r="M402" s="21" t="s">
        <v>35</v>
      </c>
      <c r="N402" s="37">
        <v>68.5</v>
      </c>
      <c r="O402" s="37">
        <v>17.760000000000002</v>
      </c>
      <c r="P402" s="26">
        <f t="shared" si="58"/>
        <v>50.739999999999995</v>
      </c>
      <c r="Q402" s="27">
        <v>445</v>
      </c>
      <c r="R402" s="28">
        <f t="shared" si="54"/>
        <v>22579.3</v>
      </c>
      <c r="S402" s="27"/>
      <c r="T402" s="29"/>
      <c r="V402" s="29" t="s">
        <v>24</v>
      </c>
      <c r="W402" s="27">
        <v>145</v>
      </c>
      <c r="X402" s="30">
        <f t="shared" si="55"/>
        <v>7357.2999999999993</v>
      </c>
      <c r="Y402" s="31">
        <v>260</v>
      </c>
      <c r="Z402" s="31">
        <f t="shared" si="56"/>
        <v>13192.399999999998</v>
      </c>
      <c r="AA402" s="29">
        <f t="shared" si="57"/>
        <v>43129</v>
      </c>
    </row>
    <row r="403" spans="1:27" s="38" customFormat="1" x14ac:dyDescent="0.25">
      <c r="A403" s="18">
        <v>407</v>
      </c>
      <c r="B403" s="19">
        <v>46031</v>
      </c>
      <c r="C403" s="19">
        <v>46031</v>
      </c>
      <c r="D403" s="20" t="s">
        <v>796</v>
      </c>
      <c r="E403" s="21"/>
      <c r="F403" s="21"/>
      <c r="G403" s="21"/>
      <c r="H403" s="62"/>
      <c r="I403" s="60" t="s">
        <v>201</v>
      </c>
      <c r="J403" s="61" t="s">
        <v>23</v>
      </c>
      <c r="K403" s="60" t="s">
        <v>31</v>
      </c>
      <c r="L403" s="43" t="s">
        <v>337</v>
      </c>
      <c r="M403" s="21" t="s">
        <v>203</v>
      </c>
      <c r="N403" s="37">
        <v>28.46</v>
      </c>
      <c r="O403" s="37">
        <v>14.98</v>
      </c>
      <c r="P403" s="26">
        <f t="shared" si="58"/>
        <v>13.48</v>
      </c>
      <c r="Q403" s="27">
        <v>0</v>
      </c>
      <c r="R403" s="28">
        <f t="shared" si="54"/>
        <v>0</v>
      </c>
      <c r="S403" s="21"/>
      <c r="T403" s="29"/>
      <c r="V403" s="29" t="s">
        <v>24</v>
      </c>
      <c r="W403" s="27"/>
      <c r="X403" s="30">
        <f t="shared" si="55"/>
        <v>0</v>
      </c>
      <c r="Y403" s="31">
        <v>0</v>
      </c>
      <c r="Z403" s="31">
        <f t="shared" si="56"/>
        <v>0</v>
      </c>
      <c r="AA403" s="29">
        <f t="shared" si="57"/>
        <v>0</v>
      </c>
    </row>
    <row r="404" spans="1:27" s="32" customFormat="1" x14ac:dyDescent="0.25">
      <c r="A404" s="18">
        <v>408</v>
      </c>
      <c r="B404" s="19">
        <v>46031</v>
      </c>
      <c r="C404" s="19">
        <v>46031</v>
      </c>
      <c r="D404" s="20">
        <v>260109028</v>
      </c>
      <c r="E404" s="21"/>
      <c r="F404" s="21"/>
      <c r="G404" s="21"/>
      <c r="H404" s="59"/>
      <c r="I404" s="60" t="s">
        <v>201</v>
      </c>
      <c r="J404" s="61" t="s">
        <v>23</v>
      </c>
      <c r="K404" s="60" t="s">
        <v>31</v>
      </c>
      <c r="L404" s="25" t="s">
        <v>308</v>
      </c>
      <c r="M404" s="21" t="s">
        <v>203</v>
      </c>
      <c r="N404" s="21">
        <v>25.92</v>
      </c>
      <c r="O404" s="37">
        <v>14.4</v>
      </c>
      <c r="P404" s="26">
        <f t="shared" si="58"/>
        <v>11.520000000000001</v>
      </c>
      <c r="Q404" s="27">
        <v>0</v>
      </c>
      <c r="R404" s="28">
        <f t="shared" si="54"/>
        <v>0</v>
      </c>
      <c r="S404" s="27"/>
      <c r="T404" s="29"/>
      <c r="V404" s="29" t="s">
        <v>24</v>
      </c>
      <c r="W404" s="27"/>
      <c r="X404" s="30">
        <f t="shared" si="55"/>
        <v>0</v>
      </c>
      <c r="Y404" s="31">
        <v>0</v>
      </c>
      <c r="Z404" s="31">
        <f t="shared" si="56"/>
        <v>0</v>
      </c>
      <c r="AA404" s="29">
        <f t="shared" si="57"/>
        <v>0</v>
      </c>
    </row>
    <row r="405" spans="1:27" s="32" customFormat="1" x14ac:dyDescent="0.25">
      <c r="A405" s="18">
        <v>409</v>
      </c>
      <c r="B405" s="19">
        <v>46031</v>
      </c>
      <c r="C405" s="19">
        <v>46031</v>
      </c>
      <c r="D405" s="20">
        <v>260109029</v>
      </c>
      <c r="E405" s="21" t="s">
        <v>797</v>
      </c>
      <c r="F405" s="21" t="s">
        <v>798</v>
      </c>
      <c r="G405" s="21">
        <v>32</v>
      </c>
      <c r="H405" s="44">
        <v>115</v>
      </c>
      <c r="I405" s="23" t="s">
        <v>33</v>
      </c>
      <c r="J405" s="24" t="s">
        <v>23</v>
      </c>
      <c r="K405" s="35" t="s">
        <v>31</v>
      </c>
      <c r="L405" s="25" t="s">
        <v>51</v>
      </c>
      <c r="M405" s="21" t="s">
        <v>32</v>
      </c>
      <c r="N405" s="21">
        <v>44.06</v>
      </c>
      <c r="O405" s="37">
        <v>11.52</v>
      </c>
      <c r="P405" s="26">
        <f t="shared" si="58"/>
        <v>32.540000000000006</v>
      </c>
      <c r="Q405" s="27">
        <v>315</v>
      </c>
      <c r="R405" s="28">
        <f t="shared" si="54"/>
        <v>10250.100000000002</v>
      </c>
      <c r="S405" s="27"/>
      <c r="T405" s="29"/>
      <c r="V405" s="29" t="s">
        <v>24</v>
      </c>
      <c r="W405" s="27">
        <v>145</v>
      </c>
      <c r="X405" s="30">
        <f t="shared" si="55"/>
        <v>4718.3000000000011</v>
      </c>
      <c r="Y405" s="31">
        <v>260</v>
      </c>
      <c r="Z405" s="31">
        <f t="shared" si="56"/>
        <v>8460.4000000000015</v>
      </c>
      <c r="AA405" s="29">
        <f t="shared" si="57"/>
        <v>23428.800000000003</v>
      </c>
    </row>
    <row r="406" spans="1:27" s="32" customFormat="1" x14ac:dyDescent="0.25">
      <c r="A406" s="18">
        <v>410</v>
      </c>
      <c r="B406" s="19">
        <v>46031</v>
      </c>
      <c r="C406" s="19">
        <v>46031</v>
      </c>
      <c r="D406" s="20" t="s">
        <v>799</v>
      </c>
      <c r="E406" s="21"/>
      <c r="F406" s="21"/>
      <c r="G406" s="21"/>
      <c r="H406" s="59"/>
      <c r="I406" s="60" t="s">
        <v>201</v>
      </c>
      <c r="J406" s="61" t="s">
        <v>23</v>
      </c>
      <c r="K406" s="60" t="s">
        <v>31</v>
      </c>
      <c r="L406" s="43" t="s">
        <v>212</v>
      </c>
      <c r="M406" s="21" t="s">
        <v>203</v>
      </c>
      <c r="N406" s="37">
        <v>25.36</v>
      </c>
      <c r="O406" s="37">
        <v>14.86</v>
      </c>
      <c r="P406" s="26">
        <f t="shared" si="58"/>
        <v>10.5</v>
      </c>
      <c r="Q406" s="27">
        <v>0</v>
      </c>
      <c r="R406" s="28">
        <f t="shared" si="54"/>
        <v>0</v>
      </c>
      <c r="S406" s="27"/>
      <c r="T406" s="29"/>
      <c r="V406" s="29" t="s">
        <v>24</v>
      </c>
      <c r="W406" s="27"/>
      <c r="X406" s="30">
        <f t="shared" si="55"/>
        <v>0</v>
      </c>
      <c r="Y406" s="31"/>
      <c r="Z406" s="31">
        <f t="shared" si="56"/>
        <v>0</v>
      </c>
      <c r="AA406" s="29">
        <f t="shared" si="57"/>
        <v>0</v>
      </c>
    </row>
    <row r="407" spans="1:27" s="32" customFormat="1" x14ac:dyDescent="0.25">
      <c r="A407" s="18">
        <v>411</v>
      </c>
      <c r="B407" s="19">
        <v>46031</v>
      </c>
      <c r="C407" s="19">
        <v>46031</v>
      </c>
      <c r="D407" s="20">
        <v>260109030</v>
      </c>
      <c r="E407" s="21" t="s">
        <v>800</v>
      </c>
      <c r="F407" s="21"/>
      <c r="G407" s="21"/>
      <c r="H407" s="44">
        <v>115</v>
      </c>
      <c r="I407" s="23" t="s">
        <v>33</v>
      </c>
      <c r="J407" s="24" t="s">
        <v>23</v>
      </c>
      <c r="K407" s="35" t="s">
        <v>31</v>
      </c>
      <c r="L407" s="25" t="s">
        <v>39</v>
      </c>
      <c r="M407" s="21" t="s">
        <v>35</v>
      </c>
      <c r="N407" s="37">
        <v>50.74</v>
      </c>
      <c r="O407" s="37">
        <v>11.74</v>
      </c>
      <c r="P407" s="26">
        <f t="shared" si="58"/>
        <v>39</v>
      </c>
      <c r="Q407" s="27">
        <v>445</v>
      </c>
      <c r="R407" s="28">
        <f t="shared" si="54"/>
        <v>17355</v>
      </c>
      <c r="S407" s="27"/>
      <c r="T407" s="29"/>
      <c r="V407" s="29" t="s">
        <v>24</v>
      </c>
      <c r="W407" s="27">
        <v>145</v>
      </c>
      <c r="X407" s="30">
        <f t="shared" si="55"/>
        <v>5655</v>
      </c>
      <c r="Y407" s="31">
        <v>260</v>
      </c>
      <c r="Z407" s="31">
        <f t="shared" si="56"/>
        <v>10140</v>
      </c>
      <c r="AA407" s="29">
        <f t="shared" si="57"/>
        <v>33150</v>
      </c>
    </row>
    <row r="408" spans="1:27" s="32" customFormat="1" x14ac:dyDescent="0.25">
      <c r="A408" s="18">
        <v>412</v>
      </c>
      <c r="B408" s="19">
        <v>46031</v>
      </c>
      <c r="C408" s="19">
        <v>46031</v>
      </c>
      <c r="D408" s="20">
        <v>260109031</v>
      </c>
      <c r="E408" s="21" t="s">
        <v>801</v>
      </c>
      <c r="F408" s="21"/>
      <c r="G408" s="21"/>
      <c r="H408" s="44">
        <v>115</v>
      </c>
      <c r="I408" s="23" t="s">
        <v>33</v>
      </c>
      <c r="J408" s="24" t="s">
        <v>23</v>
      </c>
      <c r="K408" s="35" t="s">
        <v>31</v>
      </c>
      <c r="L408" s="21" t="s">
        <v>62</v>
      </c>
      <c r="M408" s="21" t="s">
        <v>32</v>
      </c>
      <c r="N408" s="37">
        <v>59.72</v>
      </c>
      <c r="O408" s="37">
        <v>15.46</v>
      </c>
      <c r="P408" s="26">
        <f t="shared" si="58"/>
        <v>44.26</v>
      </c>
      <c r="Q408" s="27">
        <v>315</v>
      </c>
      <c r="R408" s="28">
        <f t="shared" si="54"/>
        <v>13941.9</v>
      </c>
      <c r="S408" s="27"/>
      <c r="T408" s="29"/>
      <c r="V408" s="29" t="s">
        <v>24</v>
      </c>
      <c r="W408" s="27">
        <v>145</v>
      </c>
      <c r="X408" s="30">
        <f t="shared" si="55"/>
        <v>6417.7</v>
      </c>
      <c r="Y408" s="31">
        <v>260</v>
      </c>
      <c r="Z408" s="31">
        <f t="shared" si="56"/>
        <v>11507.6</v>
      </c>
      <c r="AA408" s="29">
        <f t="shared" si="57"/>
        <v>31867.199999999997</v>
      </c>
    </row>
    <row r="409" spans="1:27" s="38" customFormat="1" x14ac:dyDescent="0.25">
      <c r="A409" s="18">
        <v>413</v>
      </c>
      <c r="B409" s="19">
        <v>46031</v>
      </c>
      <c r="C409" s="19">
        <v>46032</v>
      </c>
      <c r="D409" s="20">
        <v>260110001</v>
      </c>
      <c r="E409" s="21" t="s">
        <v>802</v>
      </c>
      <c r="F409" s="21"/>
      <c r="G409" s="21"/>
      <c r="H409" s="44">
        <v>115</v>
      </c>
      <c r="I409" s="23" t="s">
        <v>33</v>
      </c>
      <c r="J409" s="24" t="s">
        <v>23</v>
      </c>
      <c r="K409" s="35" t="s">
        <v>31</v>
      </c>
      <c r="L409" s="21" t="s">
        <v>140</v>
      </c>
      <c r="M409" s="21" t="s">
        <v>34</v>
      </c>
      <c r="N409" s="37">
        <v>69.52</v>
      </c>
      <c r="O409" s="37">
        <v>17.52</v>
      </c>
      <c r="P409" s="26">
        <f t="shared" si="58"/>
        <v>52</v>
      </c>
      <c r="Q409" s="27">
        <v>545</v>
      </c>
      <c r="R409" s="28">
        <f t="shared" si="54"/>
        <v>28340</v>
      </c>
      <c r="S409" s="27"/>
      <c r="T409" s="29"/>
      <c r="V409" s="29" t="s">
        <v>24</v>
      </c>
      <c r="W409" s="27">
        <v>145</v>
      </c>
      <c r="X409" s="30">
        <f t="shared" si="55"/>
        <v>7540</v>
      </c>
      <c r="Y409" s="31">
        <v>260</v>
      </c>
      <c r="Z409" s="31">
        <f t="shared" si="56"/>
        <v>13520</v>
      </c>
      <c r="AA409" s="29">
        <f t="shared" si="57"/>
        <v>49400</v>
      </c>
    </row>
    <row r="410" spans="1:27" s="32" customFormat="1" x14ac:dyDescent="0.25">
      <c r="A410" s="18">
        <v>414</v>
      </c>
      <c r="B410" s="19">
        <v>46031</v>
      </c>
      <c r="C410" s="19">
        <v>46032</v>
      </c>
      <c r="D410" s="20">
        <v>260110002</v>
      </c>
      <c r="E410" s="21" t="s">
        <v>803</v>
      </c>
      <c r="F410" s="21"/>
      <c r="G410" s="21"/>
      <c r="H410" s="44">
        <v>115</v>
      </c>
      <c r="I410" s="23" t="s">
        <v>33</v>
      </c>
      <c r="J410" s="24" t="s">
        <v>23</v>
      </c>
      <c r="K410" s="35" t="s">
        <v>31</v>
      </c>
      <c r="L410" s="50" t="s">
        <v>206</v>
      </c>
      <c r="M410" s="21" t="s">
        <v>34</v>
      </c>
      <c r="N410" s="37">
        <v>77.959999999999994</v>
      </c>
      <c r="O410" s="37">
        <v>17.34</v>
      </c>
      <c r="P410" s="26">
        <f t="shared" si="58"/>
        <v>60.61999999999999</v>
      </c>
      <c r="Q410" s="27">
        <v>545</v>
      </c>
      <c r="R410" s="28">
        <f t="shared" si="54"/>
        <v>33037.899999999994</v>
      </c>
      <c r="S410" s="27"/>
      <c r="T410" s="29"/>
      <c r="V410" s="29" t="s">
        <v>24</v>
      </c>
      <c r="W410" s="27">
        <v>145</v>
      </c>
      <c r="X410" s="30">
        <f t="shared" si="55"/>
        <v>8789.8999999999978</v>
      </c>
      <c r="Y410" s="31">
        <v>260</v>
      </c>
      <c r="Z410" s="31">
        <f t="shared" si="56"/>
        <v>15761.199999999997</v>
      </c>
      <c r="AA410" s="29">
        <f t="shared" si="57"/>
        <v>57588.999999999985</v>
      </c>
    </row>
    <row r="411" spans="1:27" s="32" customFormat="1" x14ac:dyDescent="0.25">
      <c r="A411" s="18">
        <v>415</v>
      </c>
      <c r="B411" s="19">
        <v>46031</v>
      </c>
      <c r="C411" s="19">
        <v>46032</v>
      </c>
      <c r="D411" s="75" t="s">
        <v>804</v>
      </c>
      <c r="E411" s="21"/>
      <c r="F411" s="21"/>
      <c r="G411" s="21"/>
      <c r="H411" s="33">
        <v>165</v>
      </c>
      <c r="I411" s="23" t="s">
        <v>805</v>
      </c>
      <c r="J411" s="34" t="s">
        <v>23</v>
      </c>
      <c r="K411" s="35" t="s">
        <v>31</v>
      </c>
      <c r="L411" s="25" t="s">
        <v>806</v>
      </c>
      <c r="M411" s="21" t="s">
        <v>289</v>
      </c>
      <c r="N411" s="37">
        <v>50.48</v>
      </c>
      <c r="O411" s="37">
        <v>11.8</v>
      </c>
      <c r="P411" s="26">
        <f t="shared" si="58"/>
        <v>38.679999999999993</v>
      </c>
      <c r="Q411" s="27">
        <v>130</v>
      </c>
      <c r="R411" s="28">
        <f t="shared" si="54"/>
        <v>5028.3999999999987</v>
      </c>
      <c r="S411" s="27"/>
      <c r="T411" s="29" t="s">
        <v>807</v>
      </c>
      <c r="V411" s="29" t="s">
        <v>45</v>
      </c>
      <c r="W411" s="27"/>
      <c r="X411" s="30">
        <f t="shared" si="55"/>
        <v>0</v>
      </c>
      <c r="Y411" s="31"/>
      <c r="Z411" s="31">
        <f t="shared" si="56"/>
        <v>0</v>
      </c>
      <c r="AA411" s="29">
        <f t="shared" si="57"/>
        <v>5028.3999999999987</v>
      </c>
    </row>
    <row r="412" spans="1:27" s="32" customFormat="1" x14ac:dyDescent="0.25">
      <c r="A412" s="18">
        <v>416</v>
      </c>
      <c r="B412" s="19">
        <v>46031</v>
      </c>
      <c r="C412" s="19">
        <v>46032</v>
      </c>
      <c r="D412" s="75" t="s">
        <v>808</v>
      </c>
      <c r="E412" s="21"/>
      <c r="F412" s="21"/>
      <c r="G412" s="21"/>
      <c r="H412" s="33">
        <v>165</v>
      </c>
      <c r="I412" s="23" t="s">
        <v>805</v>
      </c>
      <c r="J412" s="34" t="s">
        <v>23</v>
      </c>
      <c r="K412" s="35" t="s">
        <v>31</v>
      </c>
      <c r="L412" s="21" t="s">
        <v>809</v>
      </c>
      <c r="M412" s="21" t="s">
        <v>289</v>
      </c>
      <c r="N412" s="37">
        <v>49.02</v>
      </c>
      <c r="O412" s="37">
        <v>11.68</v>
      </c>
      <c r="P412" s="26">
        <f t="shared" si="58"/>
        <v>37.340000000000003</v>
      </c>
      <c r="Q412" s="27">
        <v>130</v>
      </c>
      <c r="R412" s="28">
        <f t="shared" si="54"/>
        <v>4854.2000000000007</v>
      </c>
      <c r="S412" s="27"/>
      <c r="T412" s="29" t="s">
        <v>807</v>
      </c>
      <c r="V412" s="29" t="s">
        <v>45</v>
      </c>
      <c r="W412" s="27"/>
      <c r="X412" s="30">
        <f t="shared" si="55"/>
        <v>0</v>
      </c>
      <c r="Y412" s="31"/>
      <c r="Z412" s="31">
        <f t="shared" si="56"/>
        <v>0</v>
      </c>
      <c r="AA412" s="29">
        <f t="shared" si="57"/>
        <v>4854.2000000000007</v>
      </c>
    </row>
    <row r="413" spans="1:27" s="32" customFormat="1" x14ac:dyDescent="0.25">
      <c r="A413" s="18">
        <v>417</v>
      </c>
      <c r="B413" s="19">
        <v>46031</v>
      </c>
      <c r="C413" s="19">
        <v>46032</v>
      </c>
      <c r="D413" s="75" t="s">
        <v>810</v>
      </c>
      <c r="E413" s="21"/>
      <c r="F413" s="21"/>
      <c r="G413" s="21"/>
      <c r="H413" s="33">
        <v>165</v>
      </c>
      <c r="I413" s="23" t="s">
        <v>805</v>
      </c>
      <c r="J413" s="34" t="s">
        <v>23</v>
      </c>
      <c r="K413" s="35" t="s">
        <v>31</v>
      </c>
      <c r="L413" s="21" t="s">
        <v>811</v>
      </c>
      <c r="M413" s="21" t="s">
        <v>289</v>
      </c>
      <c r="N413" s="37">
        <v>49.6</v>
      </c>
      <c r="O413" s="21">
        <v>11.82</v>
      </c>
      <c r="P413" s="26">
        <f t="shared" si="58"/>
        <v>37.78</v>
      </c>
      <c r="Q413" s="27">
        <v>130</v>
      </c>
      <c r="R413" s="28">
        <f t="shared" si="54"/>
        <v>4911.4000000000005</v>
      </c>
      <c r="S413" s="27"/>
      <c r="T413" s="29" t="s">
        <v>807</v>
      </c>
      <c r="V413" s="29" t="s">
        <v>45</v>
      </c>
      <c r="W413" s="27"/>
      <c r="X413" s="30">
        <f t="shared" si="55"/>
        <v>0</v>
      </c>
      <c r="Y413" s="31"/>
      <c r="Z413" s="31">
        <f t="shared" si="56"/>
        <v>0</v>
      </c>
      <c r="AA413" s="29">
        <f t="shared" si="57"/>
        <v>4911.4000000000005</v>
      </c>
    </row>
    <row r="414" spans="1:27" s="38" customFormat="1" x14ac:dyDescent="0.25">
      <c r="A414" s="18">
        <v>418</v>
      </c>
      <c r="B414" s="19">
        <v>46031</v>
      </c>
      <c r="C414" s="19">
        <v>46032</v>
      </c>
      <c r="D414" s="75" t="s">
        <v>812</v>
      </c>
      <c r="E414" s="21"/>
      <c r="F414" s="21"/>
      <c r="G414" s="21"/>
      <c r="H414" s="33">
        <v>165</v>
      </c>
      <c r="I414" s="23" t="s">
        <v>805</v>
      </c>
      <c r="J414" s="34" t="s">
        <v>23</v>
      </c>
      <c r="K414" s="35" t="s">
        <v>31</v>
      </c>
      <c r="L414" s="21" t="s">
        <v>813</v>
      </c>
      <c r="M414" s="21" t="s">
        <v>289</v>
      </c>
      <c r="N414" s="37">
        <v>47.62</v>
      </c>
      <c r="O414" s="37">
        <v>11.66</v>
      </c>
      <c r="P414" s="26">
        <f t="shared" si="58"/>
        <v>35.959999999999994</v>
      </c>
      <c r="Q414" s="27">
        <v>130</v>
      </c>
      <c r="R414" s="28">
        <f t="shared" si="54"/>
        <v>4674.7999999999993</v>
      </c>
      <c r="S414" s="27"/>
      <c r="T414" s="29" t="s">
        <v>807</v>
      </c>
      <c r="V414" s="29" t="s">
        <v>45</v>
      </c>
      <c r="W414" s="27"/>
      <c r="X414" s="30">
        <f t="shared" si="55"/>
        <v>0</v>
      </c>
      <c r="Y414" s="31"/>
      <c r="Z414" s="31">
        <f t="shared" si="56"/>
        <v>0</v>
      </c>
      <c r="AA414" s="29">
        <f t="shared" si="57"/>
        <v>4674.7999999999993</v>
      </c>
    </row>
    <row r="415" spans="1:27" s="32" customFormat="1" x14ac:dyDescent="0.25">
      <c r="A415" s="18">
        <v>419</v>
      </c>
      <c r="B415" s="19">
        <v>46031</v>
      </c>
      <c r="C415" s="19">
        <v>46032</v>
      </c>
      <c r="D415" s="20">
        <v>260110003</v>
      </c>
      <c r="E415" s="21" t="s">
        <v>814</v>
      </c>
      <c r="F415" s="21"/>
      <c r="G415" s="21"/>
      <c r="H415" s="44">
        <v>115</v>
      </c>
      <c r="I415" s="23" t="s">
        <v>33</v>
      </c>
      <c r="J415" s="24" t="s">
        <v>23</v>
      </c>
      <c r="K415" s="35" t="s">
        <v>31</v>
      </c>
      <c r="L415" s="21" t="s">
        <v>55</v>
      </c>
      <c r="M415" s="21" t="s">
        <v>32</v>
      </c>
      <c r="N415" s="37">
        <v>66.34</v>
      </c>
      <c r="O415" s="21">
        <v>17.96</v>
      </c>
      <c r="P415" s="26">
        <f t="shared" si="58"/>
        <v>48.38</v>
      </c>
      <c r="Q415" s="27">
        <v>315</v>
      </c>
      <c r="R415" s="28">
        <f t="shared" si="54"/>
        <v>15239.7</v>
      </c>
      <c r="S415" s="27"/>
      <c r="V415" s="29" t="s">
        <v>24</v>
      </c>
      <c r="W415" s="27">
        <v>145</v>
      </c>
      <c r="X415" s="30">
        <f t="shared" si="55"/>
        <v>7015.1</v>
      </c>
      <c r="Y415" s="31">
        <v>260</v>
      </c>
      <c r="Z415" s="31">
        <f t="shared" si="56"/>
        <v>12578.800000000001</v>
      </c>
      <c r="AA415" s="29">
        <f t="shared" si="57"/>
        <v>34833.600000000006</v>
      </c>
    </row>
    <row r="416" spans="1:27" s="32" customFormat="1" x14ac:dyDescent="0.25">
      <c r="A416" s="18">
        <v>420</v>
      </c>
      <c r="B416" s="19">
        <v>46031</v>
      </c>
      <c r="C416" s="19">
        <v>46032</v>
      </c>
      <c r="D416" s="20">
        <v>260110004</v>
      </c>
      <c r="E416" s="21" t="s">
        <v>815</v>
      </c>
      <c r="F416" s="21"/>
      <c r="G416" s="21"/>
      <c r="H416" s="44">
        <v>115</v>
      </c>
      <c r="I416" s="23" t="s">
        <v>33</v>
      </c>
      <c r="J416" s="24" t="s">
        <v>23</v>
      </c>
      <c r="K416" s="35" t="s">
        <v>31</v>
      </c>
      <c r="L416" s="21" t="s">
        <v>41</v>
      </c>
      <c r="M416" s="21" t="s">
        <v>35</v>
      </c>
      <c r="N416" s="21">
        <v>66.319999999999993</v>
      </c>
      <c r="O416" s="37">
        <v>15.76</v>
      </c>
      <c r="P416" s="26">
        <f t="shared" si="58"/>
        <v>50.559999999999995</v>
      </c>
      <c r="Q416" s="27">
        <v>445</v>
      </c>
      <c r="R416" s="28">
        <f t="shared" si="54"/>
        <v>22499.199999999997</v>
      </c>
      <c r="S416" s="27"/>
      <c r="T416" s="29"/>
      <c r="V416" s="29" t="s">
        <v>24</v>
      </c>
      <c r="W416" s="27">
        <v>145</v>
      </c>
      <c r="X416" s="30">
        <f t="shared" si="55"/>
        <v>7331.1999999999989</v>
      </c>
      <c r="Y416" s="31">
        <v>260</v>
      </c>
      <c r="Z416" s="31">
        <f t="shared" si="56"/>
        <v>13145.599999999999</v>
      </c>
      <c r="AA416" s="29">
        <f t="shared" si="57"/>
        <v>42975.999999999993</v>
      </c>
    </row>
    <row r="417" spans="1:38" s="32" customFormat="1" x14ac:dyDescent="0.25">
      <c r="A417" s="18">
        <v>421</v>
      </c>
      <c r="B417" s="19">
        <v>46031</v>
      </c>
      <c r="C417" s="19">
        <v>46032</v>
      </c>
      <c r="D417" s="20">
        <v>260110005</v>
      </c>
      <c r="E417" s="21" t="s">
        <v>816</v>
      </c>
      <c r="F417" s="21"/>
      <c r="G417" s="21"/>
      <c r="H417" s="44">
        <v>115</v>
      </c>
      <c r="I417" s="23" t="s">
        <v>33</v>
      </c>
      <c r="J417" s="24" t="s">
        <v>23</v>
      </c>
      <c r="K417" s="35" t="s">
        <v>31</v>
      </c>
      <c r="L417" s="21" t="s">
        <v>59</v>
      </c>
      <c r="M417" s="21" t="s">
        <v>35</v>
      </c>
      <c r="N417" s="21">
        <v>68.040000000000006</v>
      </c>
      <c r="O417" s="21">
        <v>16.28</v>
      </c>
      <c r="P417" s="26">
        <f t="shared" si="58"/>
        <v>51.760000000000005</v>
      </c>
      <c r="Q417" s="27">
        <v>445</v>
      </c>
      <c r="R417" s="28">
        <f t="shared" si="54"/>
        <v>23033.200000000001</v>
      </c>
      <c r="S417" s="27"/>
      <c r="T417" s="29"/>
      <c r="V417" s="29" t="s">
        <v>24</v>
      </c>
      <c r="W417" s="27">
        <v>145</v>
      </c>
      <c r="X417" s="30">
        <f t="shared" si="55"/>
        <v>7505.2000000000007</v>
      </c>
      <c r="Y417" s="31">
        <v>260</v>
      </c>
      <c r="Z417" s="31">
        <f t="shared" si="56"/>
        <v>13457.600000000002</v>
      </c>
      <c r="AA417" s="29">
        <f t="shared" si="57"/>
        <v>43996</v>
      </c>
    </row>
    <row r="418" spans="1:38" s="32" customFormat="1" x14ac:dyDescent="0.25">
      <c r="A418" s="18">
        <v>422</v>
      </c>
      <c r="B418" s="19">
        <v>46031</v>
      </c>
      <c r="C418" s="19">
        <v>46032</v>
      </c>
      <c r="D418" s="20">
        <v>260110006</v>
      </c>
      <c r="E418" s="21" t="s">
        <v>817</v>
      </c>
      <c r="F418" s="21"/>
      <c r="G418" s="21"/>
      <c r="H418" s="44">
        <v>115</v>
      </c>
      <c r="I418" s="23" t="s">
        <v>33</v>
      </c>
      <c r="J418" s="24" t="s">
        <v>23</v>
      </c>
      <c r="K418" s="35" t="s">
        <v>31</v>
      </c>
      <c r="L418" s="43" t="s">
        <v>38</v>
      </c>
      <c r="M418" s="21" t="s">
        <v>34</v>
      </c>
      <c r="N418" s="21">
        <v>63.22</v>
      </c>
      <c r="O418" s="21">
        <v>15.06</v>
      </c>
      <c r="P418" s="26">
        <f t="shared" si="58"/>
        <v>48.16</v>
      </c>
      <c r="Q418" s="27">
        <v>545</v>
      </c>
      <c r="R418" s="28">
        <f t="shared" si="54"/>
        <v>26247.199999999997</v>
      </c>
      <c r="S418" s="27"/>
      <c r="T418" s="29"/>
      <c r="V418" s="29" t="s">
        <v>24</v>
      </c>
      <c r="W418" s="27">
        <v>145</v>
      </c>
      <c r="X418" s="30">
        <f t="shared" si="55"/>
        <v>6983.2</v>
      </c>
      <c r="Y418" s="31">
        <v>260</v>
      </c>
      <c r="Z418" s="31">
        <f t="shared" si="56"/>
        <v>12521.599999999999</v>
      </c>
      <c r="AA418" s="29">
        <f t="shared" si="57"/>
        <v>45751.999999999993</v>
      </c>
    </row>
    <row r="419" spans="1:38" s="32" customFormat="1" x14ac:dyDescent="0.25">
      <c r="A419" s="18">
        <v>423</v>
      </c>
      <c r="B419" s="19">
        <v>46031</v>
      </c>
      <c r="C419" s="19">
        <v>46032</v>
      </c>
      <c r="D419" s="20">
        <v>260110007</v>
      </c>
      <c r="E419" s="21" t="s">
        <v>818</v>
      </c>
      <c r="F419" s="21"/>
      <c r="G419" s="21"/>
      <c r="H419" s="44">
        <v>115</v>
      </c>
      <c r="I419" s="23" t="s">
        <v>33</v>
      </c>
      <c r="J419" s="24" t="s">
        <v>23</v>
      </c>
      <c r="K419" s="35" t="s">
        <v>31</v>
      </c>
      <c r="L419" s="21" t="s">
        <v>46</v>
      </c>
      <c r="M419" s="21" t="s">
        <v>32</v>
      </c>
      <c r="N419" s="21">
        <v>58.28</v>
      </c>
      <c r="O419" s="37">
        <v>14.98</v>
      </c>
      <c r="P419" s="26">
        <f t="shared" si="58"/>
        <v>43.3</v>
      </c>
      <c r="Q419" s="27">
        <v>315</v>
      </c>
      <c r="R419" s="28">
        <f t="shared" si="54"/>
        <v>13639.5</v>
      </c>
      <c r="S419" s="27"/>
      <c r="T419" s="29"/>
      <c r="V419" s="29" t="s">
        <v>24</v>
      </c>
      <c r="W419" s="27">
        <v>145</v>
      </c>
      <c r="X419" s="30">
        <f t="shared" si="55"/>
        <v>6278.5</v>
      </c>
      <c r="Y419" s="31">
        <v>260</v>
      </c>
      <c r="Z419" s="31">
        <f t="shared" si="56"/>
        <v>11258</v>
      </c>
      <c r="AA419" s="29">
        <f t="shared" si="57"/>
        <v>31176</v>
      </c>
    </row>
    <row r="420" spans="1:38" s="32" customFormat="1" x14ac:dyDescent="0.25">
      <c r="A420" s="18">
        <v>424</v>
      </c>
      <c r="B420" s="19">
        <v>46031</v>
      </c>
      <c r="C420" s="19">
        <v>46032</v>
      </c>
      <c r="D420" s="75" t="s">
        <v>819</v>
      </c>
      <c r="E420" s="21"/>
      <c r="F420" s="21"/>
      <c r="G420" s="21"/>
      <c r="H420" s="33">
        <v>151</v>
      </c>
      <c r="I420" s="23" t="s">
        <v>70</v>
      </c>
      <c r="J420" s="34" t="s">
        <v>23</v>
      </c>
      <c r="K420" s="35" t="s">
        <v>30</v>
      </c>
      <c r="L420" s="25" t="s">
        <v>51</v>
      </c>
      <c r="M420" s="21" t="s">
        <v>34</v>
      </c>
      <c r="N420" s="21">
        <v>45.1</v>
      </c>
      <c r="O420" s="21">
        <v>11.46</v>
      </c>
      <c r="P420" s="26">
        <f t="shared" si="58"/>
        <v>33.64</v>
      </c>
      <c r="Q420" s="27">
        <v>540</v>
      </c>
      <c r="R420" s="28">
        <f t="shared" si="54"/>
        <v>18165.599999999999</v>
      </c>
      <c r="S420" s="27"/>
      <c r="T420" s="29"/>
      <c r="V420" s="29" t="s">
        <v>45</v>
      </c>
      <c r="W420" s="27"/>
      <c r="X420" s="30">
        <f t="shared" si="55"/>
        <v>0</v>
      </c>
      <c r="Y420" s="31"/>
      <c r="Z420" s="31">
        <f t="shared" si="56"/>
        <v>0</v>
      </c>
      <c r="AA420" s="29">
        <f t="shared" si="57"/>
        <v>18165.599999999999</v>
      </c>
    </row>
    <row r="421" spans="1:38" s="32" customFormat="1" x14ac:dyDescent="0.25">
      <c r="A421" s="18">
        <v>425</v>
      </c>
      <c r="B421" s="19">
        <v>46032</v>
      </c>
      <c r="C421" s="19">
        <v>46032</v>
      </c>
      <c r="D421" s="20" t="s">
        <v>820</v>
      </c>
      <c r="E421" s="21"/>
      <c r="F421" s="21"/>
      <c r="G421" s="21"/>
      <c r="H421" s="33">
        <v>146</v>
      </c>
      <c r="I421" s="23" t="s">
        <v>756</v>
      </c>
      <c r="J421" s="34" t="s">
        <v>23</v>
      </c>
      <c r="K421" s="35" t="s">
        <v>30</v>
      </c>
      <c r="L421" s="25" t="s">
        <v>252</v>
      </c>
      <c r="M421" s="21" t="s">
        <v>34</v>
      </c>
      <c r="N421" s="21">
        <v>8.84</v>
      </c>
      <c r="O421" s="21">
        <v>3.56</v>
      </c>
      <c r="P421" s="26">
        <f>N421-O421</f>
        <v>5.2799999999999994</v>
      </c>
      <c r="Q421" s="27">
        <v>500</v>
      </c>
      <c r="R421" s="28">
        <f t="shared" si="54"/>
        <v>2639.9999999999995</v>
      </c>
      <c r="S421" s="27">
        <v>2640</v>
      </c>
      <c r="T421" s="29"/>
      <c r="V421" s="29" t="s">
        <v>24</v>
      </c>
      <c r="W421" s="27"/>
      <c r="X421" s="30">
        <f t="shared" ref="X421:X452" si="59">P421*W421</f>
        <v>0</v>
      </c>
      <c r="Y421" s="31"/>
      <c r="Z421" s="31">
        <f t="shared" ref="Z421:Z452" si="60">P421*Y421</f>
        <v>0</v>
      </c>
      <c r="AA421" s="29">
        <f t="shared" ref="AA421:AA452" si="61">R421+X421+Z421</f>
        <v>2639.9999999999995</v>
      </c>
    </row>
    <row r="422" spans="1:38" s="32" customFormat="1" x14ac:dyDescent="0.25">
      <c r="A422" s="18">
        <v>426</v>
      </c>
      <c r="B422" s="19">
        <v>46032</v>
      </c>
      <c r="C422" s="19">
        <v>46032</v>
      </c>
      <c r="D422" s="20" t="s">
        <v>821</v>
      </c>
      <c r="E422" s="21"/>
      <c r="F422" s="21"/>
      <c r="G422" s="21"/>
      <c r="H422" s="33">
        <v>102</v>
      </c>
      <c r="I422" s="60" t="s">
        <v>287</v>
      </c>
      <c r="J422" s="34" t="s">
        <v>23</v>
      </c>
      <c r="K422" s="35" t="s">
        <v>31</v>
      </c>
      <c r="L422" s="25" t="s">
        <v>822</v>
      </c>
      <c r="M422" s="21" t="s">
        <v>289</v>
      </c>
      <c r="N422" s="21">
        <v>9.3000000000000007</v>
      </c>
      <c r="O422" s="21">
        <v>3.58</v>
      </c>
      <c r="P422" s="26">
        <f>N422-O422</f>
        <v>5.7200000000000006</v>
      </c>
      <c r="Q422" s="27">
        <v>140</v>
      </c>
      <c r="R422" s="28">
        <f t="shared" si="54"/>
        <v>800.80000000000007</v>
      </c>
      <c r="S422" s="27"/>
      <c r="T422" s="29"/>
      <c r="V422" s="29" t="s">
        <v>253</v>
      </c>
      <c r="W422" s="27"/>
      <c r="X422" s="30">
        <f t="shared" si="59"/>
        <v>0</v>
      </c>
      <c r="Y422" s="31"/>
      <c r="Z422" s="31">
        <f t="shared" si="60"/>
        <v>0</v>
      </c>
      <c r="AA422" s="29">
        <f t="shared" si="61"/>
        <v>800.80000000000007</v>
      </c>
    </row>
    <row r="423" spans="1:38" s="32" customFormat="1" x14ac:dyDescent="0.25">
      <c r="A423" s="18">
        <v>427</v>
      </c>
      <c r="B423" s="19">
        <v>46032</v>
      </c>
      <c r="C423" s="19">
        <v>46032</v>
      </c>
      <c r="D423" s="20" t="s">
        <v>823</v>
      </c>
      <c r="E423" s="21"/>
      <c r="F423" s="21"/>
      <c r="G423" s="21"/>
      <c r="H423" s="22">
        <v>49</v>
      </c>
      <c r="I423" s="23" t="s">
        <v>72</v>
      </c>
      <c r="J423" s="24" t="s">
        <v>23</v>
      </c>
      <c r="K423" s="23" t="s">
        <v>31</v>
      </c>
      <c r="L423" s="25" t="s">
        <v>42</v>
      </c>
      <c r="M423" s="21" t="s">
        <v>49</v>
      </c>
      <c r="N423" s="21">
        <v>47.2</v>
      </c>
      <c r="O423" s="21">
        <v>11.8</v>
      </c>
      <c r="P423" s="26">
        <f t="shared" ref="P423:P486" si="62">N423-O423</f>
        <v>35.400000000000006</v>
      </c>
      <c r="Q423" s="27">
        <v>250</v>
      </c>
      <c r="R423" s="28">
        <f t="shared" si="54"/>
        <v>8850.0000000000018</v>
      </c>
      <c r="S423" s="27"/>
      <c r="T423" s="29"/>
      <c r="V423" s="29" t="s">
        <v>45</v>
      </c>
      <c r="W423" s="27"/>
      <c r="X423" s="30">
        <f t="shared" si="59"/>
        <v>0</v>
      </c>
      <c r="Y423" s="31"/>
      <c r="Z423" s="31">
        <f t="shared" si="60"/>
        <v>0</v>
      </c>
      <c r="AA423" s="29">
        <f t="shared" si="61"/>
        <v>8850.0000000000018</v>
      </c>
    </row>
    <row r="424" spans="1:38" s="38" customFormat="1" x14ac:dyDescent="0.25">
      <c r="A424" s="18">
        <v>428</v>
      </c>
      <c r="B424" s="19">
        <v>46032</v>
      </c>
      <c r="C424" s="19">
        <v>46032</v>
      </c>
      <c r="D424" s="20" t="s">
        <v>824</v>
      </c>
      <c r="E424" s="21"/>
      <c r="F424" s="21"/>
      <c r="G424" s="21"/>
      <c r="H424" s="22">
        <v>16</v>
      </c>
      <c r="I424" s="23" t="s">
        <v>825</v>
      </c>
      <c r="J424" s="24" t="s">
        <v>23</v>
      </c>
      <c r="K424" s="23" t="s">
        <v>30</v>
      </c>
      <c r="L424" s="25" t="s">
        <v>826</v>
      </c>
      <c r="M424" s="21" t="s">
        <v>289</v>
      </c>
      <c r="N424" s="21">
        <v>9.02</v>
      </c>
      <c r="O424" s="37">
        <v>3.3</v>
      </c>
      <c r="P424" s="26">
        <f t="shared" si="62"/>
        <v>5.72</v>
      </c>
      <c r="Q424" s="27">
        <v>150</v>
      </c>
      <c r="R424" s="28">
        <f t="shared" si="54"/>
        <v>858</v>
      </c>
      <c r="S424" s="27">
        <v>858</v>
      </c>
      <c r="T424" s="29"/>
      <c r="V424" s="29" t="s">
        <v>24</v>
      </c>
      <c r="W424" s="27"/>
      <c r="X424" s="30">
        <f t="shared" si="59"/>
        <v>0</v>
      </c>
      <c r="Y424" s="31"/>
      <c r="Z424" s="31">
        <f t="shared" si="60"/>
        <v>0</v>
      </c>
      <c r="AA424" s="29">
        <f t="shared" si="61"/>
        <v>858</v>
      </c>
    </row>
    <row r="425" spans="1:38" s="32" customFormat="1" x14ac:dyDescent="0.25">
      <c r="A425" s="18">
        <v>429</v>
      </c>
      <c r="B425" s="19">
        <v>46032</v>
      </c>
      <c r="C425" s="19">
        <v>46032</v>
      </c>
      <c r="D425" s="20" t="s">
        <v>827</v>
      </c>
      <c r="E425" s="21"/>
      <c r="F425" s="21"/>
      <c r="G425" s="21"/>
      <c r="H425" s="33">
        <v>102</v>
      </c>
      <c r="I425" s="60" t="s">
        <v>287</v>
      </c>
      <c r="J425" s="34" t="s">
        <v>23</v>
      </c>
      <c r="K425" s="35" t="s">
        <v>31</v>
      </c>
      <c r="L425" s="25" t="s">
        <v>288</v>
      </c>
      <c r="M425" s="21" t="s">
        <v>289</v>
      </c>
      <c r="N425" s="37">
        <v>10.02</v>
      </c>
      <c r="O425" s="21">
        <v>3.96</v>
      </c>
      <c r="P425" s="26">
        <f t="shared" si="62"/>
        <v>6.06</v>
      </c>
      <c r="Q425" s="27">
        <v>140</v>
      </c>
      <c r="R425" s="28">
        <f t="shared" si="54"/>
        <v>848.4</v>
      </c>
      <c r="S425" s="27"/>
      <c r="T425" s="29"/>
      <c r="V425" s="29" t="s">
        <v>253</v>
      </c>
      <c r="W425" s="27"/>
      <c r="X425" s="30">
        <f t="shared" si="59"/>
        <v>0</v>
      </c>
      <c r="Y425" s="31"/>
      <c r="Z425" s="31">
        <f t="shared" si="60"/>
        <v>0</v>
      </c>
      <c r="AA425" s="29">
        <f t="shared" si="61"/>
        <v>848.4</v>
      </c>
    </row>
    <row r="426" spans="1:38" s="32" customFormat="1" x14ac:dyDescent="0.25">
      <c r="A426" s="18">
        <v>430</v>
      </c>
      <c r="B426" s="19">
        <v>46032</v>
      </c>
      <c r="C426" s="19">
        <v>46032</v>
      </c>
      <c r="D426" s="20" t="s">
        <v>828</v>
      </c>
      <c r="E426" s="21"/>
      <c r="F426" s="21"/>
      <c r="G426" s="21"/>
      <c r="H426" s="33">
        <v>102</v>
      </c>
      <c r="I426" s="60" t="s">
        <v>287</v>
      </c>
      <c r="J426" s="34" t="s">
        <v>23</v>
      </c>
      <c r="K426" s="35" t="s">
        <v>31</v>
      </c>
      <c r="L426" s="25" t="s">
        <v>822</v>
      </c>
      <c r="M426" s="21" t="s">
        <v>289</v>
      </c>
      <c r="N426" s="37">
        <v>10.06</v>
      </c>
      <c r="O426" s="37">
        <v>3.46</v>
      </c>
      <c r="P426" s="26">
        <f t="shared" si="62"/>
        <v>6.6000000000000005</v>
      </c>
      <c r="Q426" s="27">
        <v>140</v>
      </c>
      <c r="R426" s="28">
        <f t="shared" si="54"/>
        <v>924.00000000000011</v>
      </c>
      <c r="S426" s="27"/>
      <c r="T426" s="29"/>
      <c r="V426" s="29" t="s">
        <v>253</v>
      </c>
      <c r="W426" s="27"/>
      <c r="X426" s="30">
        <f t="shared" si="59"/>
        <v>0</v>
      </c>
      <c r="Y426" s="31"/>
      <c r="Z426" s="31">
        <f t="shared" si="60"/>
        <v>0</v>
      </c>
      <c r="AA426" s="29">
        <f t="shared" si="61"/>
        <v>924.00000000000011</v>
      </c>
    </row>
    <row r="427" spans="1:38" s="32" customFormat="1" x14ac:dyDescent="0.25">
      <c r="A427" s="18">
        <v>431</v>
      </c>
      <c r="B427" s="19">
        <v>46032</v>
      </c>
      <c r="C427" s="19">
        <v>46032</v>
      </c>
      <c r="D427" s="20" t="s">
        <v>829</v>
      </c>
      <c r="E427" s="21"/>
      <c r="F427" s="21"/>
      <c r="G427" s="21"/>
      <c r="H427" s="33">
        <v>102</v>
      </c>
      <c r="I427" s="60" t="s">
        <v>287</v>
      </c>
      <c r="J427" s="34" t="s">
        <v>23</v>
      </c>
      <c r="K427" s="35" t="s">
        <v>31</v>
      </c>
      <c r="L427" s="25" t="s">
        <v>288</v>
      </c>
      <c r="M427" s="21" t="s">
        <v>289</v>
      </c>
      <c r="N427" s="37">
        <v>9.1</v>
      </c>
      <c r="O427" s="37">
        <v>3.5</v>
      </c>
      <c r="P427" s="26">
        <f t="shared" si="62"/>
        <v>5.6</v>
      </c>
      <c r="Q427" s="27">
        <v>140</v>
      </c>
      <c r="R427" s="28">
        <f t="shared" si="54"/>
        <v>784</v>
      </c>
      <c r="S427" s="27"/>
      <c r="T427" s="29"/>
      <c r="V427" s="29" t="s">
        <v>253</v>
      </c>
      <c r="W427" s="27"/>
      <c r="X427" s="30">
        <f t="shared" si="59"/>
        <v>0</v>
      </c>
      <c r="Y427" s="31"/>
      <c r="Z427" s="31">
        <f t="shared" si="60"/>
        <v>0</v>
      </c>
      <c r="AA427" s="29">
        <f t="shared" si="61"/>
        <v>784</v>
      </c>
    </row>
    <row r="428" spans="1:38" s="32" customFormat="1" x14ac:dyDescent="0.25">
      <c r="A428" s="18">
        <v>432</v>
      </c>
      <c r="B428" s="19">
        <v>46032</v>
      </c>
      <c r="C428" s="19">
        <v>46032</v>
      </c>
      <c r="D428" s="20" t="s">
        <v>830</v>
      </c>
      <c r="E428" s="21"/>
      <c r="F428" s="21"/>
      <c r="G428" s="21"/>
      <c r="H428" s="33">
        <v>102</v>
      </c>
      <c r="I428" s="60" t="s">
        <v>287</v>
      </c>
      <c r="J428" s="34" t="s">
        <v>23</v>
      </c>
      <c r="K428" s="35" t="s">
        <v>31</v>
      </c>
      <c r="L428" s="25" t="s">
        <v>822</v>
      </c>
      <c r="M428" s="21" t="s">
        <v>289</v>
      </c>
      <c r="N428" s="37">
        <v>8.9</v>
      </c>
      <c r="O428" s="37">
        <v>3.58</v>
      </c>
      <c r="P428" s="26">
        <f t="shared" si="62"/>
        <v>5.32</v>
      </c>
      <c r="Q428" s="27">
        <v>140</v>
      </c>
      <c r="R428" s="28">
        <f t="shared" si="54"/>
        <v>744.80000000000007</v>
      </c>
      <c r="S428" s="27"/>
      <c r="T428" s="29"/>
      <c r="V428" s="29" t="s">
        <v>253</v>
      </c>
      <c r="W428" s="27"/>
      <c r="X428" s="30">
        <f t="shared" si="59"/>
        <v>0</v>
      </c>
      <c r="Y428" s="31"/>
      <c r="Z428" s="31">
        <f t="shared" si="60"/>
        <v>0</v>
      </c>
      <c r="AA428" s="29">
        <f t="shared" si="61"/>
        <v>744.80000000000007</v>
      </c>
      <c r="AB428" s="40"/>
      <c r="AC428" s="39"/>
      <c r="AD428" s="41"/>
      <c r="AE428" s="42"/>
      <c r="AF428" s="39"/>
      <c r="AG428" s="42"/>
      <c r="AH428" s="39"/>
      <c r="AI428" s="41"/>
      <c r="AJ428" s="39"/>
      <c r="AK428" s="41"/>
      <c r="AL428" s="41"/>
    </row>
    <row r="429" spans="1:38" s="32" customFormat="1" x14ac:dyDescent="0.25">
      <c r="A429" s="18">
        <v>433</v>
      </c>
      <c r="B429" s="19">
        <v>46032</v>
      </c>
      <c r="C429" s="19">
        <v>46032</v>
      </c>
      <c r="D429" s="20" t="s">
        <v>831</v>
      </c>
      <c r="E429" s="21"/>
      <c r="F429" s="21"/>
      <c r="G429" s="21"/>
      <c r="H429" s="33">
        <v>123</v>
      </c>
      <c r="I429" s="60" t="s">
        <v>832</v>
      </c>
      <c r="J429" s="34" t="s">
        <v>23</v>
      </c>
      <c r="K429" s="35" t="s">
        <v>31</v>
      </c>
      <c r="L429" s="25" t="s">
        <v>833</v>
      </c>
      <c r="M429" s="21" t="s">
        <v>203</v>
      </c>
      <c r="N429" s="37">
        <v>52.08</v>
      </c>
      <c r="O429" s="37">
        <v>14.82</v>
      </c>
      <c r="P429" s="26">
        <f t="shared" si="62"/>
        <v>37.26</v>
      </c>
      <c r="Q429" s="27">
        <v>150</v>
      </c>
      <c r="R429" s="28">
        <f t="shared" si="54"/>
        <v>5589</v>
      </c>
      <c r="S429" s="27"/>
      <c r="T429" s="29"/>
      <c r="V429" s="29" t="s">
        <v>45</v>
      </c>
      <c r="W429" s="27"/>
      <c r="X429" s="30">
        <f t="shared" si="59"/>
        <v>0</v>
      </c>
      <c r="Y429" s="31"/>
      <c r="Z429" s="31">
        <f t="shared" si="60"/>
        <v>0</v>
      </c>
      <c r="AA429" s="29">
        <f t="shared" si="61"/>
        <v>5589</v>
      </c>
    </row>
    <row r="430" spans="1:38" s="32" customFormat="1" x14ac:dyDescent="0.25">
      <c r="A430" s="18">
        <v>434</v>
      </c>
      <c r="B430" s="19">
        <v>46032</v>
      </c>
      <c r="C430" s="19">
        <v>46032</v>
      </c>
      <c r="D430" s="20" t="s">
        <v>834</v>
      </c>
      <c r="E430" s="21"/>
      <c r="F430" s="21"/>
      <c r="G430" s="21"/>
      <c r="H430" s="33">
        <v>123</v>
      </c>
      <c r="I430" s="60" t="s">
        <v>832</v>
      </c>
      <c r="J430" s="34" t="s">
        <v>23</v>
      </c>
      <c r="K430" s="35" t="s">
        <v>31</v>
      </c>
      <c r="L430" s="25" t="s">
        <v>835</v>
      </c>
      <c r="M430" s="21" t="s">
        <v>203</v>
      </c>
      <c r="N430" s="37">
        <v>53.78</v>
      </c>
      <c r="O430" s="37">
        <v>14.88</v>
      </c>
      <c r="P430" s="26">
        <f t="shared" si="62"/>
        <v>38.9</v>
      </c>
      <c r="Q430" s="27">
        <v>150</v>
      </c>
      <c r="R430" s="28">
        <f t="shared" si="54"/>
        <v>5835</v>
      </c>
      <c r="S430" s="27"/>
      <c r="T430" s="29"/>
      <c r="V430" s="29" t="s">
        <v>45</v>
      </c>
      <c r="W430" s="27"/>
      <c r="X430" s="30">
        <f t="shared" si="59"/>
        <v>0</v>
      </c>
      <c r="Y430" s="31"/>
      <c r="Z430" s="31">
        <f t="shared" si="60"/>
        <v>0</v>
      </c>
      <c r="AA430" s="29">
        <f t="shared" si="61"/>
        <v>5835</v>
      </c>
    </row>
    <row r="431" spans="1:38" s="32" customFormat="1" x14ac:dyDescent="0.25">
      <c r="A431" s="18">
        <v>435</v>
      </c>
      <c r="B431" s="19">
        <v>46032</v>
      </c>
      <c r="C431" s="19">
        <v>46032</v>
      </c>
      <c r="D431" s="20">
        <v>260110008</v>
      </c>
      <c r="E431" s="21" t="s">
        <v>836</v>
      </c>
      <c r="F431" s="21" t="s">
        <v>837</v>
      </c>
      <c r="G431" s="21">
        <v>48</v>
      </c>
      <c r="H431" s="48">
        <v>42</v>
      </c>
      <c r="I431" s="23" t="s">
        <v>44</v>
      </c>
      <c r="J431" s="49" t="s">
        <v>23</v>
      </c>
      <c r="K431" s="23" t="s">
        <v>31</v>
      </c>
      <c r="L431" s="25" t="s">
        <v>401</v>
      </c>
      <c r="M431" s="21" t="s">
        <v>32</v>
      </c>
      <c r="N431" s="37">
        <v>65.86</v>
      </c>
      <c r="O431" s="37">
        <v>17.66</v>
      </c>
      <c r="P431" s="26">
        <f t="shared" si="62"/>
        <v>48.2</v>
      </c>
      <c r="Q431" s="27">
        <v>285</v>
      </c>
      <c r="R431" s="28">
        <f t="shared" si="54"/>
        <v>13737</v>
      </c>
      <c r="S431" s="27"/>
      <c r="T431" s="29"/>
      <c r="V431" s="29" t="s">
        <v>24</v>
      </c>
      <c r="W431" s="27">
        <v>145</v>
      </c>
      <c r="X431" s="30">
        <f t="shared" si="59"/>
        <v>6989</v>
      </c>
      <c r="Y431" s="31">
        <v>260</v>
      </c>
      <c r="Z431" s="31">
        <f t="shared" si="60"/>
        <v>12532</v>
      </c>
      <c r="AA431" s="29">
        <f t="shared" si="61"/>
        <v>33258</v>
      </c>
    </row>
    <row r="432" spans="1:38" s="32" customFormat="1" x14ac:dyDescent="0.25">
      <c r="A432" s="18">
        <v>436</v>
      </c>
      <c r="B432" s="19">
        <v>46032</v>
      </c>
      <c r="C432" s="19">
        <v>46032</v>
      </c>
      <c r="D432" s="20">
        <v>260110009</v>
      </c>
      <c r="E432" s="21" t="s">
        <v>838</v>
      </c>
      <c r="F432" s="21" t="s">
        <v>839</v>
      </c>
      <c r="G432" s="21">
        <v>45</v>
      </c>
      <c r="H432" s="48">
        <v>42</v>
      </c>
      <c r="I432" s="23" t="s">
        <v>44</v>
      </c>
      <c r="J432" s="49" t="s">
        <v>23</v>
      </c>
      <c r="K432" s="23" t="s">
        <v>31</v>
      </c>
      <c r="L432" s="25" t="s">
        <v>37</v>
      </c>
      <c r="M432" s="21" t="s">
        <v>34</v>
      </c>
      <c r="N432" s="37">
        <v>61.3</v>
      </c>
      <c r="O432" s="37">
        <v>15.68</v>
      </c>
      <c r="P432" s="26">
        <f t="shared" si="62"/>
        <v>45.62</v>
      </c>
      <c r="Q432" s="27">
        <v>525</v>
      </c>
      <c r="R432" s="28">
        <f t="shared" si="54"/>
        <v>23950.5</v>
      </c>
      <c r="S432" s="27"/>
      <c r="T432" s="29"/>
      <c r="V432" s="29" t="s">
        <v>24</v>
      </c>
      <c r="W432" s="27">
        <v>145</v>
      </c>
      <c r="X432" s="30">
        <f t="shared" si="59"/>
        <v>6614.9</v>
      </c>
      <c r="Y432" s="31">
        <v>260</v>
      </c>
      <c r="Z432" s="31">
        <f t="shared" si="60"/>
        <v>11861.199999999999</v>
      </c>
      <c r="AA432" s="29">
        <f t="shared" si="61"/>
        <v>42426.6</v>
      </c>
    </row>
    <row r="433" spans="1:27" s="38" customFormat="1" x14ac:dyDescent="0.25">
      <c r="A433" s="18">
        <v>437</v>
      </c>
      <c r="B433" s="19">
        <v>46032</v>
      </c>
      <c r="C433" s="19">
        <v>46032</v>
      </c>
      <c r="D433" s="20">
        <v>260110010</v>
      </c>
      <c r="E433" s="21" t="s">
        <v>840</v>
      </c>
      <c r="F433" s="21" t="s">
        <v>841</v>
      </c>
      <c r="G433" s="21">
        <v>39</v>
      </c>
      <c r="H433" s="48">
        <v>42</v>
      </c>
      <c r="I433" s="23" t="s">
        <v>44</v>
      </c>
      <c r="J433" s="49" t="s">
        <v>23</v>
      </c>
      <c r="K433" s="23" t="s">
        <v>31</v>
      </c>
      <c r="L433" s="25" t="s">
        <v>39</v>
      </c>
      <c r="M433" s="21" t="s">
        <v>35</v>
      </c>
      <c r="N433" s="37">
        <v>51.32</v>
      </c>
      <c r="O433" s="37">
        <v>11.66</v>
      </c>
      <c r="P433" s="26">
        <f t="shared" si="62"/>
        <v>39.659999999999997</v>
      </c>
      <c r="Q433" s="27">
        <v>470</v>
      </c>
      <c r="R433" s="28">
        <f t="shared" si="54"/>
        <v>18640.199999999997</v>
      </c>
      <c r="S433" s="27"/>
      <c r="T433" s="29"/>
      <c r="V433" s="29" t="s">
        <v>24</v>
      </c>
      <c r="W433" s="27">
        <v>145</v>
      </c>
      <c r="X433" s="30">
        <f t="shared" si="59"/>
        <v>5750.7</v>
      </c>
      <c r="Y433" s="31">
        <v>260</v>
      </c>
      <c r="Z433" s="31">
        <f t="shared" si="60"/>
        <v>10311.599999999999</v>
      </c>
      <c r="AA433" s="29">
        <f t="shared" si="61"/>
        <v>34702.5</v>
      </c>
    </row>
    <row r="434" spans="1:27" s="38" customFormat="1" x14ac:dyDescent="0.25">
      <c r="A434" s="18">
        <v>438</v>
      </c>
      <c r="B434" s="19">
        <v>46032</v>
      </c>
      <c r="C434" s="19">
        <v>46032</v>
      </c>
      <c r="D434" s="20">
        <v>260110011</v>
      </c>
      <c r="E434" s="21" t="s">
        <v>842</v>
      </c>
      <c r="F434" s="21" t="s">
        <v>843</v>
      </c>
      <c r="G434" s="21">
        <v>38</v>
      </c>
      <c r="H434" s="48">
        <v>42</v>
      </c>
      <c r="I434" s="23" t="s">
        <v>44</v>
      </c>
      <c r="J434" s="49" t="s">
        <v>23</v>
      </c>
      <c r="K434" s="23" t="s">
        <v>31</v>
      </c>
      <c r="L434" s="25" t="s">
        <v>51</v>
      </c>
      <c r="M434" s="21" t="s">
        <v>35</v>
      </c>
      <c r="N434" s="37">
        <v>50.24</v>
      </c>
      <c r="O434" s="37">
        <v>11.32</v>
      </c>
      <c r="P434" s="26">
        <f t="shared" si="62"/>
        <v>38.92</v>
      </c>
      <c r="Q434" s="27">
        <v>470</v>
      </c>
      <c r="R434" s="28">
        <f t="shared" si="54"/>
        <v>18292.400000000001</v>
      </c>
      <c r="S434" s="27"/>
      <c r="T434" s="29"/>
      <c r="V434" s="29" t="s">
        <v>24</v>
      </c>
      <c r="W434" s="27">
        <v>145</v>
      </c>
      <c r="X434" s="30">
        <f t="shared" si="59"/>
        <v>5643.4000000000005</v>
      </c>
      <c r="Y434" s="31">
        <v>260</v>
      </c>
      <c r="Z434" s="31">
        <f t="shared" si="60"/>
        <v>10119.200000000001</v>
      </c>
      <c r="AA434" s="29">
        <f t="shared" si="61"/>
        <v>34055</v>
      </c>
    </row>
    <row r="435" spans="1:27" s="32" customFormat="1" x14ac:dyDescent="0.25">
      <c r="A435" s="18">
        <v>439</v>
      </c>
      <c r="B435" s="19">
        <v>46032</v>
      </c>
      <c r="C435" s="19">
        <v>46032</v>
      </c>
      <c r="D435" s="20">
        <v>260110012</v>
      </c>
      <c r="E435" s="21" t="s">
        <v>844</v>
      </c>
      <c r="F435" s="21" t="s">
        <v>845</v>
      </c>
      <c r="G435" s="21">
        <v>52</v>
      </c>
      <c r="H435" s="48">
        <v>42</v>
      </c>
      <c r="I435" s="23" t="s">
        <v>44</v>
      </c>
      <c r="J435" s="49" t="s">
        <v>23</v>
      </c>
      <c r="K435" s="23" t="s">
        <v>31</v>
      </c>
      <c r="L435" s="25" t="s">
        <v>55</v>
      </c>
      <c r="M435" s="21" t="s">
        <v>34</v>
      </c>
      <c r="N435" s="37">
        <v>70.400000000000006</v>
      </c>
      <c r="O435" s="37">
        <v>18.18</v>
      </c>
      <c r="P435" s="26">
        <f t="shared" si="62"/>
        <v>52.220000000000006</v>
      </c>
      <c r="Q435" s="27">
        <v>525</v>
      </c>
      <c r="R435" s="28">
        <f t="shared" si="54"/>
        <v>27415.500000000004</v>
      </c>
      <c r="S435" s="27"/>
      <c r="T435" s="29"/>
      <c r="V435" s="29" t="s">
        <v>24</v>
      </c>
      <c r="W435" s="27">
        <v>145</v>
      </c>
      <c r="X435" s="30">
        <f t="shared" si="59"/>
        <v>7571.9000000000005</v>
      </c>
      <c r="Y435" s="31">
        <v>260</v>
      </c>
      <c r="Z435" s="31">
        <f t="shared" si="60"/>
        <v>13577.2</v>
      </c>
      <c r="AA435" s="29">
        <f t="shared" si="61"/>
        <v>48564.600000000006</v>
      </c>
    </row>
    <row r="436" spans="1:27" s="32" customFormat="1" x14ac:dyDescent="0.25">
      <c r="A436" s="18">
        <v>440</v>
      </c>
      <c r="B436" s="19">
        <v>46032</v>
      </c>
      <c r="C436" s="19">
        <v>46032</v>
      </c>
      <c r="D436" s="20" t="s">
        <v>846</v>
      </c>
      <c r="E436" s="21"/>
      <c r="F436" s="21"/>
      <c r="G436" s="21"/>
      <c r="H436" s="33">
        <v>102</v>
      </c>
      <c r="I436" s="60" t="s">
        <v>287</v>
      </c>
      <c r="J436" s="34" t="s">
        <v>23</v>
      </c>
      <c r="K436" s="35" t="s">
        <v>31</v>
      </c>
      <c r="L436" s="25" t="s">
        <v>288</v>
      </c>
      <c r="M436" s="21" t="s">
        <v>289</v>
      </c>
      <c r="N436" s="37">
        <v>10.26</v>
      </c>
      <c r="O436" s="37">
        <v>3.6</v>
      </c>
      <c r="P436" s="26">
        <f t="shared" si="62"/>
        <v>6.66</v>
      </c>
      <c r="Q436" s="27">
        <v>140</v>
      </c>
      <c r="R436" s="28">
        <f t="shared" si="54"/>
        <v>932.4</v>
      </c>
      <c r="S436" s="27"/>
      <c r="T436" s="29"/>
      <c r="V436" s="29" t="s">
        <v>253</v>
      </c>
      <c r="W436" s="27"/>
      <c r="X436" s="30">
        <f t="shared" si="59"/>
        <v>0</v>
      </c>
      <c r="Y436" s="31"/>
      <c r="Z436" s="31">
        <f t="shared" si="60"/>
        <v>0</v>
      </c>
      <c r="AA436" s="29">
        <f t="shared" si="61"/>
        <v>932.4</v>
      </c>
    </row>
    <row r="437" spans="1:27" s="32" customFormat="1" x14ac:dyDescent="0.25">
      <c r="A437" s="18">
        <v>441</v>
      </c>
      <c r="B437" s="19">
        <v>46032</v>
      </c>
      <c r="C437" s="19">
        <v>46032</v>
      </c>
      <c r="D437" s="20" t="s">
        <v>847</v>
      </c>
      <c r="E437" s="21"/>
      <c r="F437" s="21"/>
      <c r="G437" s="21"/>
      <c r="H437" s="33">
        <v>102</v>
      </c>
      <c r="I437" s="60" t="s">
        <v>287</v>
      </c>
      <c r="J437" s="34" t="s">
        <v>23</v>
      </c>
      <c r="K437" s="35" t="s">
        <v>31</v>
      </c>
      <c r="L437" s="25" t="s">
        <v>822</v>
      </c>
      <c r="M437" s="21" t="s">
        <v>289</v>
      </c>
      <c r="N437" s="37">
        <v>9.32</v>
      </c>
      <c r="O437" s="37">
        <v>3.58</v>
      </c>
      <c r="P437" s="26">
        <f t="shared" si="62"/>
        <v>5.74</v>
      </c>
      <c r="Q437" s="27">
        <v>140</v>
      </c>
      <c r="R437" s="28">
        <f t="shared" si="54"/>
        <v>803.6</v>
      </c>
      <c r="S437" s="27"/>
      <c r="T437" s="29"/>
      <c r="V437" s="29" t="s">
        <v>253</v>
      </c>
      <c r="W437" s="27"/>
      <c r="X437" s="30">
        <f t="shared" si="59"/>
        <v>0</v>
      </c>
      <c r="Y437" s="31"/>
      <c r="Z437" s="31">
        <f t="shared" si="60"/>
        <v>0</v>
      </c>
      <c r="AA437" s="29">
        <f t="shared" si="61"/>
        <v>803.6</v>
      </c>
    </row>
    <row r="438" spans="1:27" s="38" customFormat="1" x14ac:dyDescent="0.25">
      <c r="A438" s="18">
        <v>442</v>
      </c>
      <c r="B438" s="19">
        <v>46032</v>
      </c>
      <c r="C438" s="19">
        <v>46032</v>
      </c>
      <c r="D438" s="70">
        <v>260110013</v>
      </c>
      <c r="E438" s="21" t="s">
        <v>848</v>
      </c>
      <c r="F438" s="21" t="s">
        <v>849</v>
      </c>
      <c r="G438" s="21">
        <v>44</v>
      </c>
      <c r="H438" s="44">
        <v>115</v>
      </c>
      <c r="I438" s="23" t="s">
        <v>33</v>
      </c>
      <c r="J438" s="24" t="s">
        <v>23</v>
      </c>
      <c r="K438" s="35" t="s">
        <v>31</v>
      </c>
      <c r="L438" s="50" t="s">
        <v>41</v>
      </c>
      <c r="M438" s="21" t="s">
        <v>34</v>
      </c>
      <c r="N438" s="37">
        <v>59.9</v>
      </c>
      <c r="O438" s="37">
        <v>15.74</v>
      </c>
      <c r="P438" s="26">
        <f t="shared" si="62"/>
        <v>44.16</v>
      </c>
      <c r="Q438" s="27">
        <v>545</v>
      </c>
      <c r="R438" s="28">
        <f t="shared" ref="R438:R439" si="63">P438*Q438</f>
        <v>24067.199999999997</v>
      </c>
      <c r="S438" s="27"/>
      <c r="T438" s="29"/>
      <c r="V438" s="29" t="s">
        <v>24</v>
      </c>
      <c r="W438" s="27">
        <v>145</v>
      </c>
      <c r="X438" s="30">
        <f t="shared" si="59"/>
        <v>6403.2</v>
      </c>
      <c r="Y438" s="31">
        <v>260</v>
      </c>
      <c r="Z438" s="31">
        <f t="shared" si="60"/>
        <v>11481.599999999999</v>
      </c>
      <c r="AA438" s="29">
        <f t="shared" si="61"/>
        <v>41952</v>
      </c>
    </row>
    <row r="439" spans="1:27" s="38" customFormat="1" x14ac:dyDescent="0.25">
      <c r="A439" s="18">
        <v>443</v>
      </c>
      <c r="B439" s="19">
        <v>46032</v>
      </c>
      <c r="C439" s="19">
        <v>46032</v>
      </c>
      <c r="D439" s="69">
        <v>260110014</v>
      </c>
      <c r="E439" s="21" t="s">
        <v>850</v>
      </c>
      <c r="F439" s="21" t="s">
        <v>851</v>
      </c>
      <c r="G439" s="21">
        <v>61</v>
      </c>
      <c r="H439" s="44">
        <v>115</v>
      </c>
      <c r="I439" s="23" t="s">
        <v>33</v>
      </c>
      <c r="J439" s="24" t="s">
        <v>23</v>
      </c>
      <c r="K439" s="35" t="s">
        <v>31</v>
      </c>
      <c r="L439" s="20" t="s">
        <v>206</v>
      </c>
      <c r="M439" s="21" t="s">
        <v>34</v>
      </c>
      <c r="N439" s="37">
        <v>79.2</v>
      </c>
      <c r="O439" s="37">
        <v>17.28</v>
      </c>
      <c r="P439" s="26">
        <f t="shared" si="62"/>
        <v>61.92</v>
      </c>
      <c r="Q439" s="27">
        <v>545</v>
      </c>
      <c r="R439" s="28">
        <f t="shared" si="63"/>
        <v>33746.400000000001</v>
      </c>
      <c r="S439" s="27"/>
      <c r="T439" s="29"/>
      <c r="V439" s="29" t="s">
        <v>24</v>
      </c>
      <c r="W439" s="27">
        <v>145</v>
      </c>
      <c r="X439" s="30">
        <f t="shared" si="59"/>
        <v>8978.4</v>
      </c>
      <c r="Y439" s="31">
        <v>260</v>
      </c>
      <c r="Z439" s="31">
        <f t="shared" si="60"/>
        <v>16099.2</v>
      </c>
      <c r="AA439" s="29">
        <f t="shared" si="61"/>
        <v>58824</v>
      </c>
    </row>
    <row r="440" spans="1:27" s="32" customFormat="1" x14ac:dyDescent="0.25">
      <c r="A440" s="18">
        <v>444</v>
      </c>
      <c r="B440" s="19">
        <v>46032</v>
      </c>
      <c r="C440" s="19">
        <v>46032</v>
      </c>
      <c r="D440" s="20">
        <v>260110023</v>
      </c>
      <c r="E440" s="21" t="s">
        <v>852</v>
      </c>
      <c r="F440" s="21" t="s">
        <v>853</v>
      </c>
      <c r="G440" s="21">
        <v>48</v>
      </c>
      <c r="H440" s="44">
        <v>115</v>
      </c>
      <c r="I440" s="23" t="s">
        <v>33</v>
      </c>
      <c r="J440" s="24" t="s">
        <v>23</v>
      </c>
      <c r="K440" s="35" t="s">
        <v>31</v>
      </c>
      <c r="L440" s="20" t="s">
        <v>46</v>
      </c>
      <c r="M440" s="21" t="s">
        <v>34</v>
      </c>
      <c r="N440" s="37">
        <v>63.94</v>
      </c>
      <c r="O440" s="37">
        <v>14.96</v>
      </c>
      <c r="P440" s="26">
        <f t="shared" si="62"/>
        <v>48.98</v>
      </c>
      <c r="Q440" s="27">
        <v>545</v>
      </c>
      <c r="R440" s="28">
        <f>P440*Q440</f>
        <v>26694.1</v>
      </c>
      <c r="S440" s="27"/>
      <c r="T440" s="29"/>
      <c r="V440" s="29" t="s">
        <v>24</v>
      </c>
      <c r="W440" s="27">
        <v>145</v>
      </c>
      <c r="X440" s="30">
        <f t="shared" si="59"/>
        <v>7102.0999999999995</v>
      </c>
      <c r="Y440" s="31">
        <v>260</v>
      </c>
      <c r="Z440" s="31">
        <f t="shared" si="60"/>
        <v>12734.8</v>
      </c>
      <c r="AA440" s="29">
        <f t="shared" si="61"/>
        <v>46531</v>
      </c>
    </row>
    <row r="441" spans="1:27" s="32" customFormat="1" x14ac:dyDescent="0.25">
      <c r="A441" s="18">
        <v>445</v>
      </c>
      <c r="B441" s="19">
        <v>46032</v>
      </c>
      <c r="C441" s="19">
        <v>46032</v>
      </c>
      <c r="D441" s="20">
        <v>260110022</v>
      </c>
      <c r="E441" s="21" t="s">
        <v>854</v>
      </c>
      <c r="F441" s="21" t="s">
        <v>855</v>
      </c>
      <c r="G441" s="21">
        <v>48</v>
      </c>
      <c r="H441" s="44">
        <v>115</v>
      </c>
      <c r="I441" s="23" t="s">
        <v>33</v>
      </c>
      <c r="J441" s="24" t="s">
        <v>23</v>
      </c>
      <c r="K441" s="35" t="s">
        <v>31</v>
      </c>
      <c r="L441" s="50" t="s">
        <v>38</v>
      </c>
      <c r="M441" s="21" t="s">
        <v>34</v>
      </c>
      <c r="N441" s="37">
        <v>63.26</v>
      </c>
      <c r="O441" s="37">
        <v>15</v>
      </c>
      <c r="P441" s="26">
        <f t="shared" si="62"/>
        <v>48.26</v>
      </c>
      <c r="Q441" s="27">
        <v>545</v>
      </c>
      <c r="R441" s="28">
        <f>P441*Q441</f>
        <v>26301.7</v>
      </c>
      <c r="S441" s="27"/>
      <c r="T441" s="29"/>
      <c r="V441" s="29" t="s">
        <v>24</v>
      </c>
      <c r="W441" s="27">
        <v>145</v>
      </c>
      <c r="X441" s="30">
        <f t="shared" si="59"/>
        <v>6997.7</v>
      </c>
      <c r="Y441" s="31">
        <v>260</v>
      </c>
      <c r="Z441" s="31">
        <f t="shared" si="60"/>
        <v>12547.6</v>
      </c>
      <c r="AA441" s="29">
        <f t="shared" si="61"/>
        <v>45847</v>
      </c>
    </row>
    <row r="442" spans="1:27" s="32" customFormat="1" x14ac:dyDescent="0.25">
      <c r="A442" s="18">
        <v>446</v>
      </c>
      <c r="B442" s="19">
        <v>46032</v>
      </c>
      <c r="C442" s="19">
        <v>46032</v>
      </c>
      <c r="D442" s="20">
        <v>260110020</v>
      </c>
      <c r="E442" s="21" t="s">
        <v>856</v>
      </c>
      <c r="F442" s="21" t="s">
        <v>857</v>
      </c>
      <c r="G442" s="21">
        <v>50</v>
      </c>
      <c r="H442" s="44">
        <v>115</v>
      </c>
      <c r="I442" s="23" t="s">
        <v>33</v>
      </c>
      <c r="J442" s="24" t="s">
        <v>23</v>
      </c>
      <c r="K442" s="35" t="s">
        <v>31</v>
      </c>
      <c r="L442" s="25" t="s">
        <v>50</v>
      </c>
      <c r="M442" s="21" t="s">
        <v>35</v>
      </c>
      <c r="N442" s="37">
        <v>67.36</v>
      </c>
      <c r="O442" s="37">
        <v>16.72</v>
      </c>
      <c r="P442" s="26">
        <f t="shared" si="62"/>
        <v>50.64</v>
      </c>
      <c r="Q442" s="27">
        <v>445</v>
      </c>
      <c r="R442" s="28">
        <f>P442*Q442</f>
        <v>22534.799999999999</v>
      </c>
      <c r="S442" s="27"/>
      <c r="T442" s="29"/>
      <c r="V442" s="29" t="s">
        <v>24</v>
      </c>
      <c r="W442" s="27">
        <v>145</v>
      </c>
      <c r="X442" s="30">
        <f t="shared" si="59"/>
        <v>7342.8</v>
      </c>
      <c r="Y442" s="31">
        <v>260</v>
      </c>
      <c r="Z442" s="31">
        <f t="shared" si="60"/>
        <v>13166.4</v>
      </c>
      <c r="AA442" s="29">
        <f t="shared" si="61"/>
        <v>43044</v>
      </c>
    </row>
    <row r="443" spans="1:27" s="32" customFormat="1" x14ac:dyDescent="0.25">
      <c r="A443" s="18">
        <v>447</v>
      </c>
      <c r="B443" s="19">
        <v>46032</v>
      </c>
      <c r="C443" s="19">
        <v>46032</v>
      </c>
      <c r="D443" s="20">
        <v>260110019</v>
      </c>
      <c r="E443" s="21" t="s">
        <v>858</v>
      </c>
      <c r="F443" s="21" t="s">
        <v>859</v>
      </c>
      <c r="G443" s="21">
        <v>54</v>
      </c>
      <c r="H443" s="44">
        <v>115</v>
      </c>
      <c r="I443" s="23" t="s">
        <v>33</v>
      </c>
      <c r="J443" s="24" t="s">
        <v>23</v>
      </c>
      <c r="K443" s="35" t="s">
        <v>31</v>
      </c>
      <c r="L443" s="20" t="s">
        <v>66</v>
      </c>
      <c r="M443" s="21" t="s">
        <v>35</v>
      </c>
      <c r="N443" s="37">
        <v>69.760000000000005</v>
      </c>
      <c r="O443" s="37">
        <v>15.38</v>
      </c>
      <c r="P443" s="26">
        <f t="shared" si="62"/>
        <v>54.38</v>
      </c>
      <c r="Q443" s="27">
        <v>445</v>
      </c>
      <c r="R443" s="28">
        <f t="shared" ref="R443:R472" si="64">P443*Q443</f>
        <v>24199.100000000002</v>
      </c>
      <c r="S443" s="27"/>
      <c r="T443" s="29"/>
      <c r="V443" s="29" t="s">
        <v>24</v>
      </c>
      <c r="W443" s="27">
        <v>145</v>
      </c>
      <c r="X443" s="30">
        <f t="shared" si="59"/>
        <v>7885.1</v>
      </c>
      <c r="Y443" s="31">
        <v>260</v>
      </c>
      <c r="Z443" s="31">
        <f t="shared" si="60"/>
        <v>14138.800000000001</v>
      </c>
      <c r="AA443" s="29">
        <f t="shared" si="61"/>
        <v>46223.000000000007</v>
      </c>
    </row>
    <row r="444" spans="1:27" s="32" customFormat="1" x14ac:dyDescent="0.25">
      <c r="A444" s="18">
        <v>448</v>
      </c>
      <c r="B444" s="19">
        <v>46032</v>
      </c>
      <c r="C444" s="19">
        <v>46032</v>
      </c>
      <c r="D444" s="20">
        <v>260110018</v>
      </c>
      <c r="E444" s="21" t="s">
        <v>860</v>
      </c>
      <c r="F444" s="21" t="s">
        <v>861</v>
      </c>
      <c r="G444" s="21">
        <v>35</v>
      </c>
      <c r="H444" s="44">
        <v>115</v>
      </c>
      <c r="I444" s="23" t="s">
        <v>33</v>
      </c>
      <c r="J444" s="24" t="s">
        <v>23</v>
      </c>
      <c r="K444" s="35" t="s">
        <v>31</v>
      </c>
      <c r="L444" s="20" t="s">
        <v>40</v>
      </c>
      <c r="M444" s="21" t="s">
        <v>34</v>
      </c>
      <c r="N444" s="37">
        <v>47.28</v>
      </c>
      <c r="O444" s="37">
        <v>11.46</v>
      </c>
      <c r="P444" s="26">
        <f t="shared" si="62"/>
        <v>35.82</v>
      </c>
      <c r="Q444" s="27">
        <v>545</v>
      </c>
      <c r="R444" s="28">
        <f t="shared" si="64"/>
        <v>19521.900000000001</v>
      </c>
      <c r="S444" s="27"/>
      <c r="T444" s="29"/>
      <c r="V444" s="29" t="s">
        <v>24</v>
      </c>
      <c r="W444" s="27">
        <v>145</v>
      </c>
      <c r="X444" s="30">
        <f t="shared" si="59"/>
        <v>5193.8999999999996</v>
      </c>
      <c r="Y444" s="31">
        <v>260</v>
      </c>
      <c r="Z444" s="31">
        <f t="shared" si="60"/>
        <v>9313.2000000000007</v>
      </c>
      <c r="AA444" s="29">
        <f t="shared" si="61"/>
        <v>34029</v>
      </c>
    </row>
    <row r="445" spans="1:27" s="38" customFormat="1" x14ac:dyDescent="0.25">
      <c r="A445" s="18">
        <v>449</v>
      </c>
      <c r="B445" s="19">
        <v>46032</v>
      </c>
      <c r="C445" s="19">
        <v>46032</v>
      </c>
      <c r="D445" s="20">
        <v>260110017</v>
      </c>
      <c r="E445" s="21" t="s">
        <v>862</v>
      </c>
      <c r="F445" s="21" t="s">
        <v>863</v>
      </c>
      <c r="G445" s="21">
        <v>40</v>
      </c>
      <c r="H445" s="44">
        <v>115</v>
      </c>
      <c r="I445" s="23" t="s">
        <v>33</v>
      </c>
      <c r="J445" s="24" t="s">
        <v>23</v>
      </c>
      <c r="K445" s="35" t="s">
        <v>31</v>
      </c>
      <c r="L445" s="25" t="s">
        <v>42</v>
      </c>
      <c r="M445" s="21" t="s">
        <v>35</v>
      </c>
      <c r="N445" s="37">
        <v>52.06</v>
      </c>
      <c r="O445" s="37">
        <v>11.78</v>
      </c>
      <c r="P445" s="26">
        <f t="shared" si="62"/>
        <v>40.28</v>
      </c>
      <c r="Q445" s="27">
        <v>445</v>
      </c>
      <c r="R445" s="28">
        <f t="shared" si="64"/>
        <v>17924.600000000002</v>
      </c>
      <c r="S445" s="21"/>
      <c r="T445" s="29"/>
      <c r="V445" s="29" t="s">
        <v>24</v>
      </c>
      <c r="W445" s="27">
        <v>145</v>
      </c>
      <c r="X445" s="30">
        <f t="shared" si="59"/>
        <v>5840.6</v>
      </c>
      <c r="Y445" s="31">
        <v>260</v>
      </c>
      <c r="Z445" s="31">
        <f t="shared" si="60"/>
        <v>10472.800000000001</v>
      </c>
      <c r="AA445" s="29">
        <f t="shared" si="61"/>
        <v>34238.000000000007</v>
      </c>
    </row>
    <row r="446" spans="1:27" s="38" customFormat="1" x14ac:dyDescent="0.25">
      <c r="A446" s="18">
        <v>450</v>
      </c>
      <c r="B446" s="19">
        <v>46032</v>
      </c>
      <c r="C446" s="19">
        <v>46032</v>
      </c>
      <c r="D446" s="20" t="s">
        <v>864</v>
      </c>
      <c r="E446" s="21"/>
      <c r="F446" s="21"/>
      <c r="G446" s="21"/>
      <c r="H446" s="33">
        <v>136</v>
      </c>
      <c r="I446" s="23" t="s">
        <v>865</v>
      </c>
      <c r="J446" s="34" t="s">
        <v>23</v>
      </c>
      <c r="K446" s="35" t="s">
        <v>31</v>
      </c>
      <c r="L446" s="25" t="s">
        <v>866</v>
      </c>
      <c r="M446" s="21" t="s">
        <v>289</v>
      </c>
      <c r="N446" s="37">
        <v>53.38</v>
      </c>
      <c r="O446" s="37">
        <v>17.34</v>
      </c>
      <c r="P446" s="26">
        <f t="shared" si="62"/>
        <v>36.040000000000006</v>
      </c>
      <c r="Q446" s="27">
        <v>130</v>
      </c>
      <c r="R446" s="28">
        <f t="shared" si="64"/>
        <v>4685.2000000000007</v>
      </c>
      <c r="S446" s="21"/>
      <c r="T446" s="29" t="s">
        <v>807</v>
      </c>
      <c r="V446" s="29" t="s">
        <v>45</v>
      </c>
      <c r="W446" s="27"/>
      <c r="X446" s="30">
        <f t="shared" si="59"/>
        <v>0</v>
      </c>
      <c r="Y446" s="31"/>
      <c r="Z446" s="31">
        <f t="shared" si="60"/>
        <v>0</v>
      </c>
      <c r="AA446" s="29">
        <f t="shared" si="61"/>
        <v>4685.2000000000007</v>
      </c>
    </row>
    <row r="447" spans="1:27" s="32" customFormat="1" x14ac:dyDescent="0.25">
      <c r="A447" s="18">
        <v>451</v>
      </c>
      <c r="B447" s="19">
        <v>46032</v>
      </c>
      <c r="C447" s="19">
        <v>46032</v>
      </c>
      <c r="D447" s="20" t="s">
        <v>867</v>
      </c>
      <c r="E447" s="21"/>
      <c r="F447" s="21"/>
      <c r="G447" s="21"/>
      <c r="H447" s="33">
        <v>136</v>
      </c>
      <c r="I447" s="23" t="s">
        <v>865</v>
      </c>
      <c r="J447" s="34" t="s">
        <v>23</v>
      </c>
      <c r="K447" s="35" t="s">
        <v>31</v>
      </c>
      <c r="L447" s="25" t="s">
        <v>868</v>
      </c>
      <c r="M447" s="21" t="s">
        <v>289</v>
      </c>
      <c r="N447" s="37">
        <v>52.66</v>
      </c>
      <c r="O447" s="37">
        <v>17.420000000000002</v>
      </c>
      <c r="P447" s="26">
        <f t="shared" si="62"/>
        <v>35.239999999999995</v>
      </c>
      <c r="Q447" s="27">
        <v>130</v>
      </c>
      <c r="R447" s="28">
        <f t="shared" si="64"/>
        <v>4581.1999999999989</v>
      </c>
      <c r="S447" s="27"/>
      <c r="T447" s="29" t="s">
        <v>807</v>
      </c>
      <c r="V447" s="29" t="s">
        <v>45</v>
      </c>
      <c r="W447" s="27"/>
      <c r="X447" s="30">
        <f t="shared" si="59"/>
        <v>0</v>
      </c>
      <c r="Y447" s="31"/>
      <c r="Z447" s="31">
        <f t="shared" si="60"/>
        <v>0</v>
      </c>
      <c r="AA447" s="29">
        <f t="shared" si="61"/>
        <v>4581.1999999999989</v>
      </c>
    </row>
    <row r="448" spans="1:27" s="38" customFormat="1" x14ac:dyDescent="0.25">
      <c r="A448" s="18">
        <v>452</v>
      </c>
      <c r="B448" s="19">
        <v>46032</v>
      </c>
      <c r="C448" s="19">
        <v>46032</v>
      </c>
      <c r="D448" s="20" t="s">
        <v>869</v>
      </c>
      <c r="E448" s="21"/>
      <c r="F448" s="21"/>
      <c r="G448" s="21"/>
      <c r="H448" s="33">
        <v>136</v>
      </c>
      <c r="I448" s="23" t="s">
        <v>865</v>
      </c>
      <c r="J448" s="34" t="s">
        <v>23</v>
      </c>
      <c r="K448" s="35" t="s">
        <v>31</v>
      </c>
      <c r="L448" s="25" t="s">
        <v>870</v>
      </c>
      <c r="M448" s="21" t="s">
        <v>63</v>
      </c>
      <c r="N448" s="37">
        <v>52.9</v>
      </c>
      <c r="O448" s="37">
        <v>17.7</v>
      </c>
      <c r="P448" s="26">
        <f t="shared" si="62"/>
        <v>35.200000000000003</v>
      </c>
      <c r="Q448" s="27">
        <v>425</v>
      </c>
      <c r="R448" s="28">
        <f t="shared" si="64"/>
        <v>14960.000000000002</v>
      </c>
      <c r="S448" s="27"/>
      <c r="T448" s="29" t="s">
        <v>807</v>
      </c>
      <c r="V448" s="29" t="s">
        <v>45</v>
      </c>
      <c r="W448" s="27"/>
      <c r="X448" s="30">
        <f t="shared" si="59"/>
        <v>0</v>
      </c>
      <c r="Y448" s="31"/>
      <c r="Z448" s="31">
        <f t="shared" si="60"/>
        <v>0</v>
      </c>
      <c r="AA448" s="29">
        <f t="shared" si="61"/>
        <v>14960.000000000002</v>
      </c>
    </row>
    <row r="449" spans="1:27" s="32" customFormat="1" x14ac:dyDescent="0.25">
      <c r="A449" s="18">
        <v>453</v>
      </c>
      <c r="B449" s="19">
        <v>46032</v>
      </c>
      <c r="C449" s="19">
        <v>46032</v>
      </c>
      <c r="D449" s="20" t="s">
        <v>871</v>
      </c>
      <c r="E449" s="21"/>
      <c r="F449" s="21"/>
      <c r="G449" s="21"/>
      <c r="H449" s="33">
        <v>235</v>
      </c>
      <c r="I449" s="23" t="s">
        <v>872</v>
      </c>
      <c r="J449" s="24" t="s">
        <v>23</v>
      </c>
      <c r="K449" s="23" t="s">
        <v>30</v>
      </c>
      <c r="L449" s="25" t="s">
        <v>873</v>
      </c>
      <c r="M449" s="21" t="s">
        <v>34</v>
      </c>
      <c r="N449" s="37">
        <v>17.66</v>
      </c>
      <c r="O449" s="37">
        <v>7.28</v>
      </c>
      <c r="P449" s="26">
        <f t="shared" si="62"/>
        <v>10.379999999999999</v>
      </c>
      <c r="Q449" s="27">
        <v>530</v>
      </c>
      <c r="R449" s="28">
        <f t="shared" si="64"/>
        <v>5501.4</v>
      </c>
      <c r="S449" s="27">
        <v>5500</v>
      </c>
      <c r="T449" s="29"/>
      <c r="V449" s="29" t="s">
        <v>45</v>
      </c>
      <c r="W449" s="27"/>
      <c r="X449" s="30">
        <f t="shared" si="59"/>
        <v>0</v>
      </c>
      <c r="Y449" s="31"/>
      <c r="Z449" s="31">
        <f t="shared" si="60"/>
        <v>0</v>
      </c>
      <c r="AA449" s="29">
        <f t="shared" si="61"/>
        <v>5501.4</v>
      </c>
    </row>
    <row r="450" spans="1:27" s="38" customFormat="1" x14ac:dyDescent="0.25">
      <c r="A450" s="18">
        <v>454</v>
      </c>
      <c r="B450" s="19">
        <v>46032</v>
      </c>
      <c r="C450" s="19">
        <v>46032</v>
      </c>
      <c r="D450" s="20">
        <v>260110021</v>
      </c>
      <c r="E450" s="21" t="s">
        <v>874</v>
      </c>
      <c r="F450" s="21" t="s">
        <v>875</v>
      </c>
      <c r="G450" s="21">
        <v>46</v>
      </c>
      <c r="H450" s="44">
        <v>96</v>
      </c>
      <c r="I450" s="71" t="s">
        <v>458</v>
      </c>
      <c r="J450" s="65" t="s">
        <v>23</v>
      </c>
      <c r="K450" s="35" t="s">
        <v>31</v>
      </c>
      <c r="L450" s="43" t="s">
        <v>876</v>
      </c>
      <c r="M450" s="21" t="s">
        <v>34</v>
      </c>
      <c r="N450" s="37">
        <v>62.44</v>
      </c>
      <c r="O450" s="37">
        <v>15.5</v>
      </c>
      <c r="P450" s="26">
        <f t="shared" si="62"/>
        <v>46.94</v>
      </c>
      <c r="Q450" s="27">
        <v>520</v>
      </c>
      <c r="R450" s="28">
        <f t="shared" si="64"/>
        <v>24408.799999999999</v>
      </c>
      <c r="S450" s="21"/>
      <c r="T450" s="29"/>
      <c r="V450" s="29" t="s">
        <v>24</v>
      </c>
      <c r="W450" s="27">
        <v>145</v>
      </c>
      <c r="X450" s="30">
        <f t="shared" si="59"/>
        <v>6806.2999999999993</v>
      </c>
      <c r="Y450" s="31"/>
      <c r="Z450" s="31">
        <f t="shared" si="60"/>
        <v>0</v>
      </c>
      <c r="AA450" s="29">
        <f t="shared" si="61"/>
        <v>31215.1</v>
      </c>
    </row>
    <row r="451" spans="1:27" s="32" customFormat="1" x14ac:dyDescent="0.25">
      <c r="A451" s="18">
        <v>455</v>
      </c>
      <c r="B451" s="19">
        <v>46032</v>
      </c>
      <c r="C451" s="19">
        <v>46032</v>
      </c>
      <c r="D451" s="20">
        <v>260110016</v>
      </c>
      <c r="E451" s="21" t="s">
        <v>877</v>
      </c>
      <c r="F451" s="21" t="s">
        <v>878</v>
      </c>
      <c r="G451" s="21">
        <v>45</v>
      </c>
      <c r="H451" s="44">
        <v>96</v>
      </c>
      <c r="I451" s="71" t="s">
        <v>458</v>
      </c>
      <c r="J451" s="65" t="s">
        <v>23</v>
      </c>
      <c r="K451" s="35" t="s">
        <v>31</v>
      </c>
      <c r="L451" s="25" t="s">
        <v>879</v>
      </c>
      <c r="M451" s="21" t="s">
        <v>34</v>
      </c>
      <c r="N451" s="37">
        <v>60.5</v>
      </c>
      <c r="O451" s="37">
        <v>15.46</v>
      </c>
      <c r="P451" s="26">
        <f t="shared" si="62"/>
        <v>45.04</v>
      </c>
      <c r="Q451" s="27">
        <v>520</v>
      </c>
      <c r="R451" s="28">
        <f t="shared" si="64"/>
        <v>23420.799999999999</v>
      </c>
      <c r="S451" s="27"/>
      <c r="T451" s="29"/>
      <c r="V451" s="29" t="s">
        <v>24</v>
      </c>
      <c r="W451" s="27">
        <v>145</v>
      </c>
      <c r="X451" s="30">
        <f t="shared" si="59"/>
        <v>6530.8</v>
      </c>
      <c r="Y451" s="31"/>
      <c r="Z451" s="31">
        <f t="shared" si="60"/>
        <v>0</v>
      </c>
      <c r="AA451" s="29">
        <f t="shared" si="61"/>
        <v>29951.599999999999</v>
      </c>
    </row>
    <row r="452" spans="1:27" s="32" customFormat="1" x14ac:dyDescent="0.25">
      <c r="A452" s="18">
        <v>456</v>
      </c>
      <c r="B452" s="19">
        <v>46032</v>
      </c>
      <c r="C452" s="19">
        <v>46032</v>
      </c>
      <c r="D452" s="20">
        <v>260110015</v>
      </c>
      <c r="E452" s="21" t="s">
        <v>880</v>
      </c>
      <c r="F452" s="21" t="s">
        <v>881</v>
      </c>
      <c r="G452" s="21">
        <v>46</v>
      </c>
      <c r="H452" s="44">
        <v>96</v>
      </c>
      <c r="I452" s="71" t="s">
        <v>458</v>
      </c>
      <c r="J452" s="65" t="s">
        <v>23</v>
      </c>
      <c r="K452" s="35" t="s">
        <v>31</v>
      </c>
      <c r="L452" s="25" t="s">
        <v>882</v>
      </c>
      <c r="M452" s="21" t="s">
        <v>34</v>
      </c>
      <c r="N452" s="21">
        <v>62.26</v>
      </c>
      <c r="O452" s="37">
        <v>15.76</v>
      </c>
      <c r="P452" s="26">
        <f t="shared" si="62"/>
        <v>46.5</v>
      </c>
      <c r="Q452" s="27">
        <v>520</v>
      </c>
      <c r="R452" s="28">
        <f t="shared" si="64"/>
        <v>24180</v>
      </c>
      <c r="S452" s="27"/>
      <c r="T452" s="29"/>
      <c r="V452" s="29" t="s">
        <v>24</v>
      </c>
      <c r="W452" s="27">
        <v>145</v>
      </c>
      <c r="X452" s="30">
        <f t="shared" si="59"/>
        <v>6742.5</v>
      </c>
      <c r="Y452" s="31"/>
      <c r="Z452" s="31">
        <f t="shared" si="60"/>
        <v>0</v>
      </c>
      <c r="AA452" s="29">
        <f t="shared" si="61"/>
        <v>30922.5</v>
      </c>
    </row>
    <row r="453" spans="1:27" s="32" customFormat="1" x14ac:dyDescent="0.25">
      <c r="A453" s="18">
        <v>457</v>
      </c>
      <c r="B453" s="19">
        <v>46032</v>
      </c>
      <c r="C453" s="19">
        <v>46033</v>
      </c>
      <c r="D453" s="20">
        <v>260111001</v>
      </c>
      <c r="E453" s="21" t="s">
        <v>883</v>
      </c>
      <c r="F453" s="21" t="s">
        <v>884</v>
      </c>
      <c r="G453" s="21">
        <v>34</v>
      </c>
      <c r="H453" s="44">
        <v>96</v>
      </c>
      <c r="I453" s="71" t="s">
        <v>458</v>
      </c>
      <c r="J453" s="65" t="s">
        <v>23</v>
      </c>
      <c r="K453" s="35" t="s">
        <v>31</v>
      </c>
      <c r="L453" s="43" t="s">
        <v>459</v>
      </c>
      <c r="M453" s="21" t="s">
        <v>34</v>
      </c>
      <c r="N453" s="37">
        <v>46.74</v>
      </c>
      <c r="O453" s="37">
        <v>11.82</v>
      </c>
      <c r="P453" s="26">
        <f t="shared" si="62"/>
        <v>34.92</v>
      </c>
      <c r="Q453" s="27">
        <v>520</v>
      </c>
      <c r="R453" s="28">
        <f t="shared" si="64"/>
        <v>18158.400000000001</v>
      </c>
      <c r="S453" s="27"/>
      <c r="T453" s="29"/>
      <c r="V453" s="29" t="s">
        <v>24</v>
      </c>
      <c r="W453" s="27">
        <v>145</v>
      </c>
      <c r="X453" s="30">
        <f t="shared" ref="X453:X484" si="65">P453*W453</f>
        <v>5063.4000000000005</v>
      </c>
      <c r="Y453" s="31"/>
      <c r="Z453" s="31">
        <f t="shared" ref="Z453:Z484" si="66">P453*Y453</f>
        <v>0</v>
      </c>
      <c r="AA453" s="29">
        <f t="shared" ref="AA453:AA484" si="67">R453+X453+Z453</f>
        <v>23221.800000000003</v>
      </c>
    </row>
    <row r="454" spans="1:27" s="32" customFormat="1" x14ac:dyDescent="0.25">
      <c r="A454" s="18">
        <v>458</v>
      </c>
      <c r="B454" s="19">
        <v>46032</v>
      </c>
      <c r="C454" s="19">
        <v>46033</v>
      </c>
      <c r="D454" s="20">
        <v>260111002</v>
      </c>
      <c r="E454" s="21" t="s">
        <v>885</v>
      </c>
      <c r="F454" s="21" t="s">
        <v>886</v>
      </c>
      <c r="G454" s="21">
        <v>48</v>
      </c>
      <c r="H454" s="44">
        <v>96</v>
      </c>
      <c r="I454" s="71" t="s">
        <v>458</v>
      </c>
      <c r="J454" s="65" t="s">
        <v>23</v>
      </c>
      <c r="K454" s="35" t="s">
        <v>31</v>
      </c>
      <c r="L454" s="25" t="s">
        <v>704</v>
      </c>
      <c r="M454" s="21" t="s">
        <v>34</v>
      </c>
      <c r="N454" s="37">
        <v>63.74</v>
      </c>
      <c r="O454" s="37">
        <v>15.38</v>
      </c>
      <c r="P454" s="26">
        <f t="shared" si="62"/>
        <v>48.36</v>
      </c>
      <c r="Q454" s="27">
        <v>520</v>
      </c>
      <c r="R454" s="28">
        <f t="shared" si="64"/>
        <v>25147.200000000001</v>
      </c>
      <c r="S454" s="27"/>
      <c r="T454" s="29"/>
      <c r="V454" s="29" t="s">
        <v>24</v>
      </c>
      <c r="W454" s="27">
        <v>145</v>
      </c>
      <c r="X454" s="30">
        <f t="shared" si="65"/>
        <v>7012.2</v>
      </c>
      <c r="Y454" s="31"/>
      <c r="Z454" s="31">
        <f t="shared" si="66"/>
        <v>0</v>
      </c>
      <c r="AA454" s="29">
        <f t="shared" si="67"/>
        <v>32159.4</v>
      </c>
    </row>
    <row r="455" spans="1:27" s="32" customFormat="1" x14ac:dyDescent="0.25">
      <c r="A455" s="18">
        <v>459</v>
      </c>
      <c r="B455" s="19">
        <v>46032</v>
      </c>
      <c r="C455" s="19">
        <v>46033</v>
      </c>
      <c r="D455" s="25">
        <v>260111003</v>
      </c>
      <c r="E455" s="21" t="s">
        <v>887</v>
      </c>
      <c r="F455" s="21" t="s">
        <v>888</v>
      </c>
      <c r="G455" s="21">
        <v>44</v>
      </c>
      <c r="H455" s="44">
        <v>96</v>
      </c>
      <c r="I455" s="71" t="s">
        <v>458</v>
      </c>
      <c r="J455" s="65" t="s">
        <v>23</v>
      </c>
      <c r="K455" s="35" t="s">
        <v>31</v>
      </c>
      <c r="L455" s="21" t="s">
        <v>662</v>
      </c>
      <c r="M455" s="21" t="s">
        <v>392</v>
      </c>
      <c r="N455" s="37">
        <v>58.36</v>
      </c>
      <c r="O455" s="37">
        <v>13.76</v>
      </c>
      <c r="P455" s="26">
        <f t="shared" si="62"/>
        <v>44.6</v>
      </c>
      <c r="Q455" s="27">
        <v>330</v>
      </c>
      <c r="R455" s="28">
        <f t="shared" si="64"/>
        <v>14718</v>
      </c>
      <c r="S455" s="27"/>
      <c r="T455" s="29"/>
      <c r="V455" s="29" t="s">
        <v>24</v>
      </c>
      <c r="W455" s="27">
        <v>145</v>
      </c>
      <c r="X455" s="30">
        <f t="shared" si="65"/>
        <v>6467</v>
      </c>
      <c r="Y455" s="31"/>
      <c r="Z455" s="31">
        <f t="shared" si="66"/>
        <v>0</v>
      </c>
      <c r="AA455" s="29">
        <f t="shared" si="67"/>
        <v>21185</v>
      </c>
    </row>
    <row r="456" spans="1:27" s="38" customFormat="1" x14ac:dyDescent="0.25">
      <c r="A456" s="18">
        <v>460</v>
      </c>
      <c r="B456" s="19">
        <v>46032</v>
      </c>
      <c r="C456" s="19">
        <v>46033</v>
      </c>
      <c r="D456" s="25" t="s">
        <v>889</v>
      </c>
      <c r="E456" s="21"/>
      <c r="F456" s="21"/>
      <c r="G456" s="21"/>
      <c r="H456" s="33">
        <v>113</v>
      </c>
      <c r="I456" s="60" t="s">
        <v>890</v>
      </c>
      <c r="J456" s="34" t="s">
        <v>23</v>
      </c>
      <c r="K456" s="35" t="s">
        <v>31</v>
      </c>
      <c r="L456" s="21" t="s">
        <v>249</v>
      </c>
      <c r="M456" s="21" t="s">
        <v>289</v>
      </c>
      <c r="N456" s="37">
        <v>18.739999999999998</v>
      </c>
      <c r="O456" s="37">
        <v>7.3</v>
      </c>
      <c r="P456" s="26">
        <f t="shared" si="62"/>
        <v>11.439999999999998</v>
      </c>
      <c r="Q456" s="27">
        <v>130</v>
      </c>
      <c r="R456" s="28">
        <f t="shared" si="64"/>
        <v>1487.1999999999998</v>
      </c>
      <c r="S456" s="27"/>
      <c r="T456" s="29"/>
      <c r="V456" s="29" t="s">
        <v>45</v>
      </c>
      <c r="W456" s="27"/>
      <c r="X456" s="30">
        <f t="shared" si="65"/>
        <v>0</v>
      </c>
      <c r="Y456" s="31"/>
      <c r="Z456" s="31">
        <f t="shared" si="66"/>
        <v>0</v>
      </c>
      <c r="AA456" s="29">
        <f t="shared" si="67"/>
        <v>1487.1999999999998</v>
      </c>
    </row>
    <row r="457" spans="1:27" s="32" customFormat="1" x14ac:dyDescent="0.25">
      <c r="A457" s="18">
        <v>461</v>
      </c>
      <c r="B457" s="19">
        <v>46032</v>
      </c>
      <c r="C457" s="19">
        <v>46033</v>
      </c>
      <c r="D457" s="25" t="s">
        <v>891</v>
      </c>
      <c r="E457" s="21"/>
      <c r="F457" s="21"/>
      <c r="G457" s="21"/>
      <c r="H457" s="33">
        <v>308</v>
      </c>
      <c r="I457" s="73" t="s">
        <v>892</v>
      </c>
      <c r="J457" s="24" t="s">
        <v>23</v>
      </c>
      <c r="K457" s="35" t="s">
        <v>31</v>
      </c>
      <c r="L457" s="50" t="s">
        <v>893</v>
      </c>
      <c r="M457" s="21" t="s">
        <v>34</v>
      </c>
      <c r="N457" s="37">
        <v>44.6</v>
      </c>
      <c r="O457" s="37">
        <v>11.48</v>
      </c>
      <c r="P457" s="26">
        <f t="shared" si="62"/>
        <v>33.120000000000005</v>
      </c>
      <c r="Q457" s="27">
        <v>540</v>
      </c>
      <c r="R457" s="28">
        <f t="shared" si="64"/>
        <v>17884.800000000003</v>
      </c>
      <c r="S457" s="27"/>
      <c r="T457" s="29"/>
      <c r="V457" s="29" t="s">
        <v>45</v>
      </c>
      <c r="W457" s="27"/>
      <c r="X457" s="30">
        <f t="shared" si="65"/>
        <v>0</v>
      </c>
      <c r="Y457" s="31"/>
      <c r="Z457" s="31">
        <f t="shared" si="66"/>
        <v>0</v>
      </c>
      <c r="AA457" s="29">
        <f t="shared" si="67"/>
        <v>17884.800000000003</v>
      </c>
    </row>
    <row r="458" spans="1:27" s="32" customFormat="1" x14ac:dyDescent="0.25">
      <c r="A458" s="18">
        <v>462</v>
      </c>
      <c r="B458" s="19">
        <v>46032</v>
      </c>
      <c r="C458" s="19">
        <v>46033</v>
      </c>
      <c r="D458" s="25" t="s">
        <v>894</v>
      </c>
      <c r="E458" s="21"/>
      <c r="F458" s="21"/>
      <c r="G458" s="21"/>
      <c r="H458" s="33">
        <v>136</v>
      </c>
      <c r="I458" s="23" t="s">
        <v>865</v>
      </c>
      <c r="J458" s="34" t="s">
        <v>23</v>
      </c>
      <c r="K458" s="35" t="s">
        <v>31</v>
      </c>
      <c r="L458" s="25" t="s">
        <v>868</v>
      </c>
      <c r="M458" s="21" t="s">
        <v>289</v>
      </c>
      <c r="N458" s="37">
        <v>53.4</v>
      </c>
      <c r="O458" s="37">
        <v>17.36</v>
      </c>
      <c r="P458" s="26">
        <f t="shared" si="62"/>
        <v>36.04</v>
      </c>
      <c r="Q458" s="27">
        <v>130</v>
      </c>
      <c r="R458" s="28">
        <f t="shared" si="64"/>
        <v>4685.2</v>
      </c>
      <c r="S458" s="27"/>
      <c r="T458" s="29" t="s">
        <v>807</v>
      </c>
      <c r="V458" s="29" t="s">
        <v>45</v>
      </c>
      <c r="W458" s="27"/>
      <c r="X458" s="30">
        <f t="shared" si="65"/>
        <v>0</v>
      </c>
      <c r="Y458" s="31"/>
      <c r="Z458" s="31">
        <f t="shared" si="66"/>
        <v>0</v>
      </c>
      <c r="AA458" s="29">
        <f t="shared" si="67"/>
        <v>4685.2</v>
      </c>
    </row>
    <row r="459" spans="1:27" s="32" customFormat="1" x14ac:dyDescent="0.25">
      <c r="A459" s="18">
        <v>463</v>
      </c>
      <c r="B459" s="19">
        <v>46032</v>
      </c>
      <c r="C459" s="19">
        <v>46033</v>
      </c>
      <c r="D459" s="25" t="s">
        <v>895</v>
      </c>
      <c r="E459" s="21"/>
      <c r="F459" s="21"/>
      <c r="G459" s="21"/>
      <c r="H459" s="33">
        <v>136</v>
      </c>
      <c r="I459" s="23" t="s">
        <v>865</v>
      </c>
      <c r="J459" s="34" t="s">
        <v>23</v>
      </c>
      <c r="K459" s="35" t="s">
        <v>31</v>
      </c>
      <c r="L459" s="21" t="s">
        <v>866</v>
      </c>
      <c r="M459" s="21" t="s">
        <v>63</v>
      </c>
      <c r="N459" s="37">
        <v>51.68</v>
      </c>
      <c r="O459" s="37">
        <v>17.3</v>
      </c>
      <c r="P459" s="26">
        <f t="shared" si="62"/>
        <v>34.379999999999995</v>
      </c>
      <c r="Q459" s="27">
        <v>425</v>
      </c>
      <c r="R459" s="28">
        <f t="shared" si="64"/>
        <v>14611.499999999998</v>
      </c>
      <c r="S459" s="27"/>
      <c r="T459" s="29" t="s">
        <v>807</v>
      </c>
      <c r="V459" s="29" t="s">
        <v>45</v>
      </c>
      <c r="W459" s="27"/>
      <c r="X459" s="30">
        <f t="shared" si="65"/>
        <v>0</v>
      </c>
      <c r="Y459" s="31"/>
      <c r="Z459" s="31">
        <f t="shared" si="66"/>
        <v>0</v>
      </c>
      <c r="AA459" s="29">
        <f t="shared" si="67"/>
        <v>14611.499999999998</v>
      </c>
    </row>
    <row r="460" spans="1:27" s="32" customFormat="1" x14ac:dyDescent="0.25">
      <c r="A460" s="18">
        <v>464</v>
      </c>
      <c r="B460" s="19">
        <v>46032</v>
      </c>
      <c r="C460" s="19">
        <v>46033</v>
      </c>
      <c r="D460" s="25">
        <v>260111007</v>
      </c>
      <c r="E460" s="21" t="s">
        <v>896</v>
      </c>
      <c r="F460" s="21" t="s">
        <v>897</v>
      </c>
      <c r="G460" s="21">
        <v>47</v>
      </c>
      <c r="H460" s="48">
        <v>53</v>
      </c>
      <c r="I460" s="52" t="s">
        <v>57</v>
      </c>
      <c r="J460" s="49" t="s">
        <v>23</v>
      </c>
      <c r="K460" s="23" t="s">
        <v>31</v>
      </c>
      <c r="L460" s="21" t="s">
        <v>401</v>
      </c>
      <c r="M460" s="21" t="s">
        <v>63</v>
      </c>
      <c r="N460" s="37">
        <v>65.459999999999994</v>
      </c>
      <c r="O460" s="21">
        <v>17.579999999999998</v>
      </c>
      <c r="P460" s="26">
        <f t="shared" si="62"/>
        <v>47.879999999999995</v>
      </c>
      <c r="Q460" s="27">
        <v>425</v>
      </c>
      <c r="R460" s="28">
        <f t="shared" si="64"/>
        <v>20348.999999999996</v>
      </c>
      <c r="S460" s="27"/>
      <c r="T460" s="29"/>
      <c r="V460" s="29" t="s">
        <v>24</v>
      </c>
      <c r="W460" s="27">
        <v>145</v>
      </c>
      <c r="X460" s="30">
        <f t="shared" si="65"/>
        <v>6942.5999999999995</v>
      </c>
      <c r="Y460" s="31">
        <v>200</v>
      </c>
      <c r="Z460" s="31">
        <f t="shared" si="66"/>
        <v>9576</v>
      </c>
      <c r="AA460" s="29">
        <f t="shared" si="67"/>
        <v>36867.599999999991</v>
      </c>
    </row>
    <row r="461" spans="1:27" s="38" customFormat="1" x14ac:dyDescent="0.25">
      <c r="A461" s="18">
        <v>465</v>
      </c>
      <c r="B461" s="19">
        <v>46032</v>
      </c>
      <c r="C461" s="19">
        <v>46033</v>
      </c>
      <c r="D461" s="25">
        <v>260111004</v>
      </c>
      <c r="E461" s="21" t="s">
        <v>898</v>
      </c>
      <c r="F461" s="21" t="s">
        <v>899</v>
      </c>
      <c r="G461" s="21">
        <v>37</v>
      </c>
      <c r="H461" s="48">
        <v>53</v>
      </c>
      <c r="I461" s="52" t="s">
        <v>57</v>
      </c>
      <c r="J461" s="49" t="s">
        <v>23</v>
      </c>
      <c r="K461" s="23" t="s">
        <v>31</v>
      </c>
      <c r="L461" s="21" t="s">
        <v>39</v>
      </c>
      <c r="M461" s="21" t="s">
        <v>49</v>
      </c>
      <c r="N461" s="37">
        <v>48.98</v>
      </c>
      <c r="O461" s="37">
        <v>11.64</v>
      </c>
      <c r="P461" s="26">
        <f t="shared" si="62"/>
        <v>37.339999999999996</v>
      </c>
      <c r="Q461" s="27">
        <v>245</v>
      </c>
      <c r="R461" s="28">
        <f t="shared" si="64"/>
        <v>9148.2999999999993</v>
      </c>
      <c r="S461" s="27"/>
      <c r="T461" s="29"/>
      <c r="V461" s="29" t="s">
        <v>24</v>
      </c>
      <c r="W461" s="27">
        <v>145</v>
      </c>
      <c r="X461" s="30">
        <f t="shared" si="65"/>
        <v>5414.2999999999993</v>
      </c>
      <c r="Y461" s="31">
        <v>200</v>
      </c>
      <c r="Z461" s="31">
        <f t="shared" si="66"/>
        <v>7467.9999999999991</v>
      </c>
      <c r="AA461" s="29">
        <f t="shared" si="67"/>
        <v>22030.6</v>
      </c>
    </row>
    <row r="462" spans="1:27" s="32" customFormat="1" x14ac:dyDescent="0.25">
      <c r="A462" s="18">
        <v>466</v>
      </c>
      <c r="B462" s="19">
        <v>46032</v>
      </c>
      <c r="C462" s="19">
        <v>46033</v>
      </c>
      <c r="D462" s="25">
        <v>260111009</v>
      </c>
      <c r="E462" s="21" t="s">
        <v>900</v>
      </c>
      <c r="F462" s="21" t="s">
        <v>901</v>
      </c>
      <c r="G462" s="21">
        <v>44</v>
      </c>
      <c r="H462" s="48">
        <v>53</v>
      </c>
      <c r="I462" s="52" t="s">
        <v>57</v>
      </c>
      <c r="J462" s="49" t="s">
        <v>23</v>
      </c>
      <c r="K462" s="23" t="s">
        <v>31</v>
      </c>
      <c r="L462" s="21" t="s">
        <v>56</v>
      </c>
      <c r="M462" s="21" t="s">
        <v>49</v>
      </c>
      <c r="N462" s="37">
        <v>63.02</v>
      </c>
      <c r="O462" s="21">
        <v>19</v>
      </c>
      <c r="P462" s="26">
        <f t="shared" si="62"/>
        <v>44.02</v>
      </c>
      <c r="Q462" s="27">
        <v>245</v>
      </c>
      <c r="R462" s="28">
        <f t="shared" si="64"/>
        <v>10784.900000000001</v>
      </c>
      <c r="S462" s="27"/>
      <c r="V462" s="29" t="s">
        <v>24</v>
      </c>
      <c r="W462" s="27">
        <v>145</v>
      </c>
      <c r="X462" s="30">
        <f t="shared" si="65"/>
        <v>6382.9000000000005</v>
      </c>
      <c r="Y462" s="31">
        <v>200</v>
      </c>
      <c r="Z462" s="31">
        <f t="shared" si="66"/>
        <v>8804</v>
      </c>
      <c r="AA462" s="29">
        <f t="shared" si="67"/>
        <v>25971.800000000003</v>
      </c>
    </row>
    <row r="463" spans="1:27" s="32" customFormat="1" x14ac:dyDescent="0.25">
      <c r="A463" s="18">
        <v>467</v>
      </c>
      <c r="B463" s="19">
        <v>46032</v>
      </c>
      <c r="C463" s="19">
        <v>46033</v>
      </c>
      <c r="D463" s="25">
        <v>260111006</v>
      </c>
      <c r="E463" s="21" t="s">
        <v>902</v>
      </c>
      <c r="F463" s="21" t="s">
        <v>903</v>
      </c>
      <c r="G463" s="21">
        <v>42</v>
      </c>
      <c r="H463" s="48">
        <v>53</v>
      </c>
      <c r="I463" s="52" t="s">
        <v>57</v>
      </c>
      <c r="J463" s="49" t="s">
        <v>23</v>
      </c>
      <c r="K463" s="23" t="s">
        <v>31</v>
      </c>
      <c r="L463" s="21" t="s">
        <v>462</v>
      </c>
      <c r="M463" s="21" t="s">
        <v>49</v>
      </c>
      <c r="N463" s="21">
        <v>57.88</v>
      </c>
      <c r="O463" s="37">
        <v>15.74</v>
      </c>
      <c r="P463" s="26">
        <f t="shared" si="62"/>
        <v>42.14</v>
      </c>
      <c r="Q463" s="27">
        <v>245</v>
      </c>
      <c r="R463" s="28">
        <f t="shared" si="64"/>
        <v>10324.299999999999</v>
      </c>
      <c r="S463" s="27"/>
      <c r="T463" s="29"/>
      <c r="V463" s="29" t="s">
        <v>24</v>
      </c>
      <c r="W463" s="27">
        <v>145</v>
      </c>
      <c r="X463" s="30">
        <f t="shared" si="65"/>
        <v>6110.3</v>
      </c>
      <c r="Y463" s="31">
        <v>200</v>
      </c>
      <c r="Z463" s="31">
        <f t="shared" si="66"/>
        <v>8428</v>
      </c>
      <c r="AA463" s="29">
        <f t="shared" si="67"/>
        <v>24862.6</v>
      </c>
    </row>
    <row r="464" spans="1:27" s="32" customFormat="1" x14ac:dyDescent="0.25">
      <c r="A464" s="18">
        <v>468</v>
      </c>
      <c r="B464" s="19">
        <v>46032</v>
      </c>
      <c r="C464" s="19">
        <v>46033</v>
      </c>
      <c r="D464" s="25">
        <v>260111005</v>
      </c>
      <c r="E464" s="21" t="s">
        <v>904</v>
      </c>
      <c r="F464" s="21" t="s">
        <v>905</v>
      </c>
      <c r="G464" s="21">
        <v>45</v>
      </c>
      <c r="H464" s="48">
        <v>53</v>
      </c>
      <c r="I464" s="52" t="s">
        <v>57</v>
      </c>
      <c r="J464" s="49" t="s">
        <v>23</v>
      </c>
      <c r="K464" s="23" t="s">
        <v>31</v>
      </c>
      <c r="L464" s="21" t="s">
        <v>37</v>
      </c>
      <c r="M464" s="21" t="s">
        <v>63</v>
      </c>
      <c r="N464" s="21">
        <v>61.14</v>
      </c>
      <c r="O464" s="21">
        <v>15.74</v>
      </c>
      <c r="P464" s="26">
        <f t="shared" si="62"/>
        <v>45.4</v>
      </c>
      <c r="Q464" s="27">
        <v>425</v>
      </c>
      <c r="R464" s="28">
        <f t="shared" si="64"/>
        <v>19295</v>
      </c>
      <c r="S464" s="27"/>
      <c r="T464" s="29"/>
      <c r="V464" s="29" t="s">
        <v>24</v>
      </c>
      <c r="W464" s="27">
        <v>145</v>
      </c>
      <c r="X464" s="30">
        <f t="shared" si="65"/>
        <v>6583</v>
      </c>
      <c r="Y464" s="31">
        <v>200</v>
      </c>
      <c r="Z464" s="31">
        <f t="shared" si="66"/>
        <v>9080</v>
      </c>
      <c r="AA464" s="29">
        <f t="shared" si="67"/>
        <v>34958</v>
      </c>
    </row>
    <row r="465" spans="1:27" s="32" customFormat="1" x14ac:dyDescent="0.25">
      <c r="A465" s="18">
        <v>469</v>
      </c>
      <c r="B465" s="19">
        <v>46032</v>
      </c>
      <c r="C465" s="19">
        <v>46033</v>
      </c>
      <c r="D465" s="25">
        <v>260111008</v>
      </c>
      <c r="E465" s="21" t="s">
        <v>906</v>
      </c>
      <c r="F465" s="21" t="s">
        <v>907</v>
      </c>
      <c r="G465" s="21">
        <v>45</v>
      </c>
      <c r="H465" s="48">
        <v>53</v>
      </c>
      <c r="I465" s="52" t="s">
        <v>57</v>
      </c>
      <c r="J465" s="49" t="s">
        <v>23</v>
      </c>
      <c r="K465" s="23" t="s">
        <v>31</v>
      </c>
      <c r="L465" s="43" t="s">
        <v>62</v>
      </c>
      <c r="M465" s="21" t="s">
        <v>63</v>
      </c>
      <c r="N465" s="21">
        <v>60.72</v>
      </c>
      <c r="O465" s="21">
        <v>15.38</v>
      </c>
      <c r="P465" s="26">
        <f t="shared" si="62"/>
        <v>45.339999999999996</v>
      </c>
      <c r="Q465" s="27">
        <v>425</v>
      </c>
      <c r="R465" s="28">
        <f t="shared" si="64"/>
        <v>19269.5</v>
      </c>
      <c r="S465" s="27"/>
      <c r="T465" s="29"/>
      <c r="V465" s="29" t="s">
        <v>24</v>
      </c>
      <c r="W465" s="27">
        <v>145</v>
      </c>
      <c r="X465" s="30">
        <f t="shared" si="65"/>
        <v>6574.2999999999993</v>
      </c>
      <c r="Y465" s="31">
        <v>200</v>
      </c>
      <c r="Z465" s="31">
        <f t="shared" si="66"/>
        <v>9068</v>
      </c>
      <c r="AA465" s="29">
        <f t="shared" si="67"/>
        <v>34911.800000000003</v>
      </c>
    </row>
    <row r="466" spans="1:27" s="32" customFormat="1" x14ac:dyDescent="0.25">
      <c r="A466" s="18">
        <v>470</v>
      </c>
      <c r="B466" s="19">
        <v>46032</v>
      </c>
      <c r="C466" s="19">
        <v>46033</v>
      </c>
      <c r="D466" s="25">
        <v>260111010</v>
      </c>
      <c r="E466" s="21" t="s">
        <v>908</v>
      </c>
      <c r="F466" s="21" t="s">
        <v>909</v>
      </c>
      <c r="G466" s="21">
        <v>47</v>
      </c>
      <c r="H466" s="48">
        <v>53</v>
      </c>
      <c r="I466" s="52" t="s">
        <v>57</v>
      </c>
      <c r="J466" s="49" t="s">
        <v>23</v>
      </c>
      <c r="K466" s="23" t="s">
        <v>31</v>
      </c>
      <c r="L466" s="21" t="s">
        <v>58</v>
      </c>
      <c r="M466" s="21" t="s">
        <v>49</v>
      </c>
      <c r="N466" s="37">
        <v>62.9</v>
      </c>
      <c r="O466" s="37">
        <v>15.46</v>
      </c>
      <c r="P466" s="26">
        <f t="shared" si="62"/>
        <v>47.44</v>
      </c>
      <c r="Q466" s="27">
        <v>245</v>
      </c>
      <c r="R466" s="28">
        <f t="shared" si="64"/>
        <v>11622.8</v>
      </c>
      <c r="S466" s="27"/>
      <c r="T466" s="29"/>
      <c r="V466" s="29" t="s">
        <v>24</v>
      </c>
      <c r="W466" s="27">
        <v>145</v>
      </c>
      <c r="X466" s="30">
        <f t="shared" si="65"/>
        <v>6878.7999999999993</v>
      </c>
      <c r="Y466" s="31">
        <v>200</v>
      </c>
      <c r="Z466" s="31">
        <f t="shared" si="66"/>
        <v>9488</v>
      </c>
      <c r="AA466" s="29">
        <f t="shared" si="67"/>
        <v>27989.599999999999</v>
      </c>
    </row>
    <row r="467" spans="1:27" s="32" customFormat="1" x14ac:dyDescent="0.25">
      <c r="A467" s="18">
        <v>471</v>
      </c>
      <c r="B467" s="19">
        <v>46032</v>
      </c>
      <c r="C467" s="19">
        <v>46033</v>
      </c>
      <c r="D467" s="25">
        <v>260111011</v>
      </c>
      <c r="E467" s="21" t="s">
        <v>910</v>
      </c>
      <c r="F467" s="21" t="s">
        <v>911</v>
      </c>
      <c r="G467" s="21">
        <v>49</v>
      </c>
      <c r="H467" s="48">
        <v>53</v>
      </c>
      <c r="I467" s="52" t="s">
        <v>57</v>
      </c>
      <c r="J467" s="49" t="s">
        <v>23</v>
      </c>
      <c r="K467" s="23" t="s">
        <v>31</v>
      </c>
      <c r="L467" s="25" t="s">
        <v>534</v>
      </c>
      <c r="M467" s="21" t="s">
        <v>49</v>
      </c>
      <c r="N467" s="21">
        <v>65.319999999999993</v>
      </c>
      <c r="O467" s="21">
        <v>15.82</v>
      </c>
      <c r="P467" s="26">
        <f t="shared" si="62"/>
        <v>49.499999999999993</v>
      </c>
      <c r="Q467" s="27">
        <v>245</v>
      </c>
      <c r="R467" s="28">
        <f t="shared" si="64"/>
        <v>12127.499999999998</v>
      </c>
      <c r="S467" s="27"/>
      <c r="T467" s="29"/>
      <c r="V467" s="29" t="s">
        <v>24</v>
      </c>
      <c r="W467" s="27">
        <v>145</v>
      </c>
      <c r="X467" s="30">
        <f t="shared" si="65"/>
        <v>7177.4999999999991</v>
      </c>
      <c r="Y467" s="31">
        <v>200</v>
      </c>
      <c r="Z467" s="31">
        <f t="shared" si="66"/>
        <v>9899.9999999999982</v>
      </c>
      <c r="AA467" s="29">
        <f t="shared" si="67"/>
        <v>29204.999999999993</v>
      </c>
    </row>
    <row r="468" spans="1:27" s="32" customFormat="1" x14ac:dyDescent="0.25">
      <c r="A468" s="18">
        <v>472</v>
      </c>
      <c r="B468" s="19">
        <v>46032</v>
      </c>
      <c r="C468" s="19">
        <v>46033</v>
      </c>
      <c r="D468" s="20" t="s">
        <v>912</v>
      </c>
      <c r="E468" s="21"/>
      <c r="F468" s="21"/>
      <c r="G468" s="21"/>
      <c r="H468" s="33">
        <v>102</v>
      </c>
      <c r="I468" s="60" t="s">
        <v>287</v>
      </c>
      <c r="J468" s="34" t="s">
        <v>23</v>
      </c>
      <c r="K468" s="35" t="s">
        <v>31</v>
      </c>
      <c r="L468" s="25" t="s">
        <v>288</v>
      </c>
      <c r="M468" s="21" t="s">
        <v>289</v>
      </c>
      <c r="N468" s="21">
        <v>9.02</v>
      </c>
      <c r="O468" s="21">
        <v>3.6</v>
      </c>
      <c r="P468" s="26">
        <f t="shared" si="62"/>
        <v>5.42</v>
      </c>
      <c r="Q468" s="27">
        <v>140</v>
      </c>
      <c r="R468" s="28">
        <f t="shared" si="64"/>
        <v>758.8</v>
      </c>
      <c r="S468" s="27"/>
      <c r="T468" s="29"/>
      <c r="V468" s="29" t="s">
        <v>253</v>
      </c>
      <c r="W468" s="27"/>
      <c r="X468" s="30">
        <f t="shared" si="65"/>
        <v>0</v>
      </c>
      <c r="Y468" s="31"/>
      <c r="Z468" s="31">
        <f t="shared" si="66"/>
        <v>0</v>
      </c>
      <c r="AA468" s="29">
        <f t="shared" si="67"/>
        <v>758.8</v>
      </c>
    </row>
    <row r="469" spans="1:27" s="32" customFormat="1" x14ac:dyDescent="0.25">
      <c r="A469" s="18">
        <v>473</v>
      </c>
      <c r="B469" s="19">
        <v>46032</v>
      </c>
      <c r="C469" s="19">
        <v>46033</v>
      </c>
      <c r="D469" s="20">
        <v>260111012</v>
      </c>
      <c r="E469" s="21" t="s">
        <v>913</v>
      </c>
      <c r="F469" s="21" t="s">
        <v>914</v>
      </c>
      <c r="G469" s="21">
        <v>47</v>
      </c>
      <c r="H469" s="48">
        <v>53</v>
      </c>
      <c r="I469" s="52" t="s">
        <v>57</v>
      </c>
      <c r="J469" s="49" t="s">
        <v>23</v>
      </c>
      <c r="K469" s="23" t="s">
        <v>31</v>
      </c>
      <c r="L469" s="21" t="s">
        <v>50</v>
      </c>
      <c r="M469" s="21" t="s">
        <v>63</v>
      </c>
      <c r="N469" s="37">
        <v>64.84</v>
      </c>
      <c r="O469" s="37">
        <v>16.940000000000001</v>
      </c>
      <c r="P469" s="26">
        <f t="shared" si="62"/>
        <v>47.900000000000006</v>
      </c>
      <c r="Q469" s="27">
        <v>425</v>
      </c>
      <c r="R469" s="28">
        <f t="shared" si="64"/>
        <v>20357.500000000004</v>
      </c>
      <c r="S469" s="27"/>
      <c r="T469" s="29"/>
      <c r="V469" s="29" t="s">
        <v>24</v>
      </c>
      <c r="W469" s="27">
        <v>145</v>
      </c>
      <c r="X469" s="30">
        <f t="shared" si="65"/>
        <v>6945.5000000000009</v>
      </c>
      <c r="Y469" s="31">
        <v>200</v>
      </c>
      <c r="Z469" s="31">
        <f t="shared" si="66"/>
        <v>9580.0000000000018</v>
      </c>
      <c r="AA469" s="29">
        <f t="shared" si="67"/>
        <v>36883.000000000007</v>
      </c>
    </row>
    <row r="470" spans="1:27" s="32" customFormat="1" x14ac:dyDescent="0.25">
      <c r="A470" s="18">
        <v>474</v>
      </c>
      <c r="B470" s="19">
        <v>46032</v>
      </c>
      <c r="C470" s="19">
        <v>46033</v>
      </c>
      <c r="D470" s="20">
        <v>260111013</v>
      </c>
      <c r="E470" s="21" t="s">
        <v>915</v>
      </c>
      <c r="F470" s="21" t="s">
        <v>916</v>
      </c>
      <c r="G470" s="21">
        <v>46</v>
      </c>
      <c r="H470" s="48">
        <v>53</v>
      </c>
      <c r="I470" s="52" t="s">
        <v>57</v>
      </c>
      <c r="J470" s="49" t="s">
        <v>23</v>
      </c>
      <c r="K470" s="23" t="s">
        <v>31</v>
      </c>
      <c r="L470" s="21" t="s">
        <v>59</v>
      </c>
      <c r="M470" s="21" t="s">
        <v>63</v>
      </c>
      <c r="N470" s="21">
        <v>62.28</v>
      </c>
      <c r="O470" s="21">
        <v>16.18</v>
      </c>
      <c r="P470" s="26">
        <f t="shared" si="62"/>
        <v>46.1</v>
      </c>
      <c r="Q470" s="21">
        <v>425</v>
      </c>
      <c r="R470" s="28">
        <f t="shared" si="64"/>
        <v>19592.5</v>
      </c>
      <c r="S470" s="21"/>
      <c r="T470" s="29"/>
      <c r="V470" s="29" t="s">
        <v>24</v>
      </c>
      <c r="W470" s="27">
        <v>145</v>
      </c>
      <c r="X470" s="30">
        <f t="shared" si="65"/>
        <v>6684.5</v>
      </c>
      <c r="Y470" s="31">
        <v>200</v>
      </c>
      <c r="Z470" s="31">
        <f t="shared" si="66"/>
        <v>9220</v>
      </c>
      <c r="AA470" s="29">
        <f t="shared" si="67"/>
        <v>35497</v>
      </c>
    </row>
    <row r="471" spans="1:27" s="32" customFormat="1" x14ac:dyDescent="0.25">
      <c r="A471" s="18">
        <v>475</v>
      </c>
      <c r="B471" s="19">
        <v>46032</v>
      </c>
      <c r="C471" s="19">
        <v>46033</v>
      </c>
      <c r="D471" s="20" t="s">
        <v>917</v>
      </c>
      <c r="E471" s="21"/>
      <c r="F471" s="21"/>
      <c r="G471" s="21"/>
      <c r="H471" s="33">
        <v>102</v>
      </c>
      <c r="I471" s="60" t="s">
        <v>287</v>
      </c>
      <c r="J471" s="34" t="s">
        <v>23</v>
      </c>
      <c r="K471" s="35" t="s">
        <v>31</v>
      </c>
      <c r="L471" s="21" t="s">
        <v>639</v>
      </c>
      <c r="M471" s="21" t="s">
        <v>289</v>
      </c>
      <c r="N471" s="21">
        <v>9.18</v>
      </c>
      <c r="O471" s="21">
        <v>3.6</v>
      </c>
      <c r="P471" s="26">
        <f t="shared" si="62"/>
        <v>5.58</v>
      </c>
      <c r="Q471" s="21">
        <v>140</v>
      </c>
      <c r="R471" s="28">
        <f t="shared" si="64"/>
        <v>781.2</v>
      </c>
      <c r="S471" s="21"/>
      <c r="T471" s="29"/>
      <c r="V471" s="29" t="s">
        <v>253</v>
      </c>
      <c r="W471" s="27"/>
      <c r="X471" s="30">
        <f t="shared" si="65"/>
        <v>0</v>
      </c>
      <c r="Y471" s="31"/>
      <c r="Z471" s="31">
        <f t="shared" si="66"/>
        <v>0</v>
      </c>
      <c r="AA471" s="29">
        <f t="shared" si="67"/>
        <v>781.2</v>
      </c>
    </row>
    <row r="472" spans="1:27" s="32" customFormat="1" x14ac:dyDescent="0.25">
      <c r="A472" s="18">
        <v>476</v>
      </c>
      <c r="B472" s="19">
        <v>46032</v>
      </c>
      <c r="C472" s="19">
        <v>46033</v>
      </c>
      <c r="D472" s="20">
        <v>260111014</v>
      </c>
      <c r="E472" s="21" t="s">
        <v>918</v>
      </c>
      <c r="F472" s="21" t="s">
        <v>919</v>
      </c>
      <c r="G472" s="21">
        <v>48</v>
      </c>
      <c r="H472" s="48">
        <v>53</v>
      </c>
      <c r="I472" s="52" t="s">
        <v>57</v>
      </c>
      <c r="J472" s="49" t="s">
        <v>23</v>
      </c>
      <c r="K472" s="23" t="s">
        <v>31</v>
      </c>
      <c r="L472" s="21" t="s">
        <v>140</v>
      </c>
      <c r="M472" s="21" t="s">
        <v>63</v>
      </c>
      <c r="N472" s="21">
        <v>66.48</v>
      </c>
      <c r="O472" s="21">
        <v>17.600000000000001</v>
      </c>
      <c r="P472" s="26">
        <f t="shared" si="62"/>
        <v>48.88</v>
      </c>
      <c r="Q472" s="21">
        <v>425</v>
      </c>
      <c r="R472" s="28">
        <f t="shared" si="64"/>
        <v>20774</v>
      </c>
      <c r="S472" s="21"/>
      <c r="T472" s="29"/>
      <c r="V472" s="29" t="s">
        <v>24</v>
      </c>
      <c r="W472" s="27">
        <v>145</v>
      </c>
      <c r="X472" s="30">
        <f t="shared" si="65"/>
        <v>7087.6</v>
      </c>
      <c r="Y472" s="31">
        <v>200</v>
      </c>
      <c r="Z472" s="31">
        <f t="shared" si="66"/>
        <v>9776</v>
      </c>
      <c r="AA472" s="29">
        <f t="shared" si="67"/>
        <v>37637.599999999999</v>
      </c>
    </row>
    <row r="473" spans="1:27" s="32" customFormat="1" x14ac:dyDescent="0.25">
      <c r="A473" s="18">
        <v>477</v>
      </c>
      <c r="B473" s="19">
        <v>46032</v>
      </c>
      <c r="C473" s="19">
        <v>46033</v>
      </c>
      <c r="D473" s="78">
        <v>260111016</v>
      </c>
      <c r="E473" s="21" t="s">
        <v>920</v>
      </c>
      <c r="F473" s="21" t="s">
        <v>921</v>
      </c>
      <c r="G473" s="21">
        <v>46</v>
      </c>
      <c r="H473" s="48">
        <v>53</v>
      </c>
      <c r="I473" s="52" t="s">
        <v>57</v>
      </c>
      <c r="J473" s="49" t="s">
        <v>23</v>
      </c>
      <c r="K473" s="23" t="s">
        <v>31</v>
      </c>
      <c r="L473" s="21" t="s">
        <v>38</v>
      </c>
      <c r="M473" s="21" t="s">
        <v>63</v>
      </c>
      <c r="N473" s="21">
        <v>61.38</v>
      </c>
      <c r="O473" s="21">
        <v>14.96</v>
      </c>
      <c r="P473" s="26">
        <f t="shared" si="62"/>
        <v>46.42</v>
      </c>
      <c r="Q473" s="21">
        <v>425</v>
      </c>
      <c r="R473" s="28">
        <f t="shared" ref="R473:R474" si="68">Q473*P473</f>
        <v>19728.5</v>
      </c>
      <c r="S473" s="21"/>
      <c r="T473" s="29"/>
      <c r="V473" s="29" t="s">
        <v>24</v>
      </c>
      <c r="W473" s="27">
        <v>145</v>
      </c>
      <c r="X473" s="30">
        <f t="shared" si="65"/>
        <v>6730.9000000000005</v>
      </c>
      <c r="Y473" s="31">
        <v>200</v>
      </c>
      <c r="Z473" s="31">
        <f t="shared" si="66"/>
        <v>9284</v>
      </c>
      <c r="AA473" s="29">
        <f t="shared" si="67"/>
        <v>35743.4</v>
      </c>
    </row>
    <row r="474" spans="1:27" s="32" customFormat="1" x14ac:dyDescent="0.25">
      <c r="A474" s="18">
        <v>478</v>
      </c>
      <c r="B474" s="19">
        <v>46032</v>
      </c>
      <c r="C474" s="19">
        <v>46033</v>
      </c>
      <c r="D474" s="78">
        <v>260111015</v>
      </c>
      <c r="E474" s="21" t="s">
        <v>922</v>
      </c>
      <c r="F474" s="21" t="s">
        <v>923</v>
      </c>
      <c r="G474" s="21">
        <v>46</v>
      </c>
      <c r="H474" s="48">
        <v>53</v>
      </c>
      <c r="I474" s="52" t="s">
        <v>57</v>
      </c>
      <c r="J474" s="49" t="s">
        <v>23</v>
      </c>
      <c r="K474" s="23" t="s">
        <v>31</v>
      </c>
      <c r="L474" s="25" t="s">
        <v>46</v>
      </c>
      <c r="M474" s="21" t="s">
        <v>63</v>
      </c>
      <c r="N474" s="37">
        <v>61.34</v>
      </c>
      <c r="O474" s="37">
        <v>14.86</v>
      </c>
      <c r="P474" s="26">
        <f t="shared" si="62"/>
        <v>46.480000000000004</v>
      </c>
      <c r="Q474" s="21">
        <v>425</v>
      </c>
      <c r="R474" s="28">
        <f t="shared" si="68"/>
        <v>19754</v>
      </c>
      <c r="S474" s="21"/>
      <c r="T474" s="29"/>
      <c r="V474" s="29" t="s">
        <v>24</v>
      </c>
      <c r="W474" s="27">
        <v>145</v>
      </c>
      <c r="X474" s="30">
        <f t="shared" si="65"/>
        <v>6739.6</v>
      </c>
      <c r="Y474" s="31">
        <v>200</v>
      </c>
      <c r="Z474" s="31">
        <f t="shared" si="66"/>
        <v>9296</v>
      </c>
      <c r="AA474" s="29">
        <f t="shared" si="67"/>
        <v>35789.599999999999</v>
      </c>
    </row>
    <row r="475" spans="1:27" s="32" customFormat="1" x14ac:dyDescent="0.25">
      <c r="A475" s="18">
        <v>479</v>
      </c>
      <c r="B475" s="19">
        <v>46033</v>
      </c>
      <c r="C475" s="19">
        <v>46033</v>
      </c>
      <c r="D475" s="70" t="s">
        <v>924</v>
      </c>
      <c r="E475" s="21"/>
      <c r="F475" s="21"/>
      <c r="G475" s="21"/>
      <c r="H475" s="33">
        <v>123</v>
      </c>
      <c r="I475" s="60" t="s">
        <v>832</v>
      </c>
      <c r="J475" s="34" t="s">
        <v>23</v>
      </c>
      <c r="K475" s="35" t="s">
        <v>31</v>
      </c>
      <c r="L475" s="25" t="s">
        <v>925</v>
      </c>
      <c r="M475" s="21" t="s">
        <v>35</v>
      </c>
      <c r="N475" s="21">
        <v>60.08</v>
      </c>
      <c r="O475" s="21">
        <v>15.14</v>
      </c>
      <c r="P475" s="26">
        <f t="shared" si="62"/>
        <v>44.94</v>
      </c>
      <c r="Q475" s="27">
        <v>450</v>
      </c>
      <c r="R475" s="28">
        <f t="shared" ref="R475:R491" si="69">P475*Q475</f>
        <v>20223</v>
      </c>
      <c r="S475" s="27"/>
      <c r="T475" s="29"/>
      <c r="V475" s="29" t="s">
        <v>24</v>
      </c>
      <c r="W475" s="27"/>
      <c r="X475" s="30">
        <f t="shared" si="65"/>
        <v>0</v>
      </c>
      <c r="Y475" s="31"/>
      <c r="Z475" s="31">
        <f t="shared" si="66"/>
        <v>0</v>
      </c>
      <c r="AA475" s="29">
        <f t="shared" si="67"/>
        <v>20223</v>
      </c>
    </row>
    <row r="476" spans="1:27" s="32" customFormat="1" x14ac:dyDescent="0.25">
      <c r="A476" s="18">
        <v>480</v>
      </c>
      <c r="B476" s="19">
        <v>46033</v>
      </c>
      <c r="C476" s="19">
        <v>46033</v>
      </c>
      <c r="D476" s="70">
        <v>260111017</v>
      </c>
      <c r="E476" s="21"/>
      <c r="F476" s="21" t="s">
        <v>926</v>
      </c>
      <c r="G476" s="21">
        <v>45</v>
      </c>
      <c r="H476" s="33">
        <v>285</v>
      </c>
      <c r="I476" s="73" t="s">
        <v>703</v>
      </c>
      <c r="J476" s="24" t="s">
        <v>23</v>
      </c>
      <c r="K476" s="23" t="s">
        <v>31</v>
      </c>
      <c r="L476" s="25" t="s">
        <v>36</v>
      </c>
      <c r="M476" s="21" t="s">
        <v>34</v>
      </c>
      <c r="N476" s="21">
        <v>61.42</v>
      </c>
      <c r="O476" s="21">
        <v>15.88</v>
      </c>
      <c r="P476" s="26">
        <f t="shared" si="62"/>
        <v>45.54</v>
      </c>
      <c r="Q476" s="27">
        <v>520</v>
      </c>
      <c r="R476" s="28">
        <f t="shared" si="69"/>
        <v>23680.799999999999</v>
      </c>
      <c r="S476" s="27"/>
      <c r="T476" s="29"/>
      <c r="V476" s="29" t="s">
        <v>45</v>
      </c>
      <c r="W476" s="27"/>
      <c r="X476" s="30">
        <f t="shared" si="65"/>
        <v>0</v>
      </c>
      <c r="Y476" s="31">
        <v>0</v>
      </c>
      <c r="Z476" s="31">
        <f t="shared" si="66"/>
        <v>0</v>
      </c>
      <c r="AA476" s="29">
        <f t="shared" si="67"/>
        <v>23680.799999999999</v>
      </c>
    </row>
    <row r="477" spans="1:27" s="32" customFormat="1" x14ac:dyDescent="0.25">
      <c r="A477" s="18">
        <v>481</v>
      </c>
      <c r="B477" s="19">
        <v>46033</v>
      </c>
      <c r="C477" s="19">
        <v>46033</v>
      </c>
      <c r="D477" s="70">
        <v>260111018</v>
      </c>
      <c r="E477" s="21" t="s">
        <v>927</v>
      </c>
      <c r="F477" s="21" t="s">
        <v>928</v>
      </c>
      <c r="G477" s="21">
        <v>43</v>
      </c>
      <c r="H477" s="48">
        <v>53</v>
      </c>
      <c r="I477" s="52" t="s">
        <v>57</v>
      </c>
      <c r="J477" s="49" t="s">
        <v>23</v>
      </c>
      <c r="K477" s="23" t="s">
        <v>31</v>
      </c>
      <c r="L477" s="46" t="s">
        <v>401</v>
      </c>
      <c r="M477" s="21" t="s">
        <v>63</v>
      </c>
      <c r="N477" s="21">
        <v>61.06</v>
      </c>
      <c r="O477" s="21">
        <v>17.46</v>
      </c>
      <c r="P477" s="26">
        <f t="shared" si="62"/>
        <v>43.6</v>
      </c>
      <c r="Q477" s="27">
        <v>425</v>
      </c>
      <c r="R477" s="28">
        <f t="shared" si="69"/>
        <v>18530</v>
      </c>
      <c r="S477" s="27"/>
      <c r="T477" s="29"/>
      <c r="V477" s="29" t="s">
        <v>24</v>
      </c>
      <c r="W477" s="27">
        <v>145</v>
      </c>
      <c r="X477" s="30">
        <f t="shared" si="65"/>
        <v>6322</v>
      </c>
      <c r="Y477" s="31">
        <v>210</v>
      </c>
      <c r="Z477" s="31">
        <f t="shared" si="66"/>
        <v>9156</v>
      </c>
      <c r="AA477" s="29">
        <f t="shared" si="67"/>
        <v>34008</v>
      </c>
    </row>
    <row r="478" spans="1:27" s="38" customFormat="1" x14ac:dyDescent="0.25">
      <c r="A478" s="18">
        <v>482</v>
      </c>
      <c r="B478" s="19">
        <v>46033</v>
      </c>
      <c r="C478" s="19">
        <v>46033</v>
      </c>
      <c r="D478" s="70" t="s">
        <v>929</v>
      </c>
      <c r="E478" s="21"/>
      <c r="F478" s="21"/>
      <c r="G478" s="21"/>
      <c r="H478" s="33">
        <v>102</v>
      </c>
      <c r="I478" s="60" t="s">
        <v>287</v>
      </c>
      <c r="J478" s="34" t="s">
        <v>23</v>
      </c>
      <c r="K478" s="35" t="s">
        <v>31</v>
      </c>
      <c r="L478" s="25" t="s">
        <v>288</v>
      </c>
      <c r="M478" s="21" t="s">
        <v>289</v>
      </c>
      <c r="N478" s="21">
        <v>9.68</v>
      </c>
      <c r="O478" s="37">
        <v>3.56</v>
      </c>
      <c r="P478" s="26">
        <f t="shared" si="62"/>
        <v>6.1199999999999992</v>
      </c>
      <c r="Q478" s="27">
        <v>140</v>
      </c>
      <c r="R478" s="28">
        <f t="shared" si="69"/>
        <v>856.79999999999984</v>
      </c>
      <c r="S478" s="27"/>
      <c r="T478" s="29"/>
      <c r="V478" s="29" t="s">
        <v>253</v>
      </c>
      <c r="W478" s="27"/>
      <c r="X478" s="30">
        <f t="shared" si="65"/>
        <v>0</v>
      </c>
      <c r="Y478" s="31"/>
      <c r="Z478" s="31">
        <f t="shared" si="66"/>
        <v>0</v>
      </c>
      <c r="AA478" s="29">
        <f t="shared" si="67"/>
        <v>856.79999999999984</v>
      </c>
    </row>
    <row r="479" spans="1:27" s="32" customFormat="1" x14ac:dyDescent="0.25">
      <c r="A479" s="18">
        <v>483</v>
      </c>
      <c r="B479" s="19">
        <v>46033</v>
      </c>
      <c r="C479" s="19">
        <v>46033</v>
      </c>
      <c r="D479" s="20">
        <v>260111019</v>
      </c>
      <c r="E479" s="21" t="s">
        <v>930</v>
      </c>
      <c r="F479" s="21" t="s">
        <v>931</v>
      </c>
      <c r="G479" s="21">
        <v>39</v>
      </c>
      <c r="H479" s="44">
        <v>96</v>
      </c>
      <c r="I479" s="71" t="s">
        <v>458</v>
      </c>
      <c r="J479" s="65" t="s">
        <v>23</v>
      </c>
      <c r="K479" s="35" t="s">
        <v>31</v>
      </c>
      <c r="L479" s="25" t="s">
        <v>932</v>
      </c>
      <c r="M479" s="21" t="s">
        <v>392</v>
      </c>
      <c r="N479" s="37">
        <v>51.38</v>
      </c>
      <c r="O479" s="21">
        <v>11.96</v>
      </c>
      <c r="P479" s="26">
        <f t="shared" si="62"/>
        <v>39.42</v>
      </c>
      <c r="Q479" s="27">
        <v>330</v>
      </c>
      <c r="R479" s="28">
        <f t="shared" si="69"/>
        <v>13008.6</v>
      </c>
      <c r="S479" s="27"/>
      <c r="T479" s="29"/>
      <c r="V479" s="29" t="s">
        <v>24</v>
      </c>
      <c r="W479" s="27">
        <v>145</v>
      </c>
      <c r="X479" s="30">
        <f t="shared" si="65"/>
        <v>5715.9000000000005</v>
      </c>
      <c r="Y479" s="31"/>
      <c r="Z479" s="31">
        <f t="shared" si="66"/>
        <v>0</v>
      </c>
      <c r="AA479" s="29">
        <f t="shared" si="67"/>
        <v>18724.5</v>
      </c>
    </row>
    <row r="480" spans="1:27" s="32" customFormat="1" x14ac:dyDescent="0.25">
      <c r="A480" s="18">
        <v>484</v>
      </c>
      <c r="B480" s="19">
        <v>46033</v>
      </c>
      <c r="C480" s="19">
        <v>46033</v>
      </c>
      <c r="D480" s="20">
        <v>260111020</v>
      </c>
      <c r="E480" s="21" t="s">
        <v>933</v>
      </c>
      <c r="F480" s="21" t="s">
        <v>934</v>
      </c>
      <c r="G480" s="21">
        <v>36</v>
      </c>
      <c r="H480" s="44">
        <v>96</v>
      </c>
      <c r="I480" s="71" t="s">
        <v>458</v>
      </c>
      <c r="J480" s="65" t="s">
        <v>23</v>
      </c>
      <c r="K480" s="35" t="s">
        <v>31</v>
      </c>
      <c r="L480" s="25" t="s">
        <v>935</v>
      </c>
      <c r="M480" s="21" t="s">
        <v>392</v>
      </c>
      <c r="N480" s="37">
        <v>48.24</v>
      </c>
      <c r="O480" s="37">
        <v>11.68</v>
      </c>
      <c r="P480" s="26">
        <f t="shared" si="62"/>
        <v>36.56</v>
      </c>
      <c r="Q480" s="27">
        <v>330</v>
      </c>
      <c r="R480" s="28">
        <f t="shared" si="69"/>
        <v>12064.800000000001</v>
      </c>
      <c r="S480" s="27"/>
      <c r="T480" s="29"/>
      <c r="V480" s="29" t="s">
        <v>24</v>
      </c>
      <c r="W480" s="27">
        <v>145</v>
      </c>
      <c r="X480" s="30">
        <f t="shared" si="65"/>
        <v>5301.2000000000007</v>
      </c>
      <c r="Y480" s="31"/>
      <c r="Z480" s="31">
        <f t="shared" si="66"/>
        <v>0</v>
      </c>
      <c r="AA480" s="29">
        <f t="shared" si="67"/>
        <v>17366</v>
      </c>
    </row>
    <row r="481" spans="1:38" s="32" customFormat="1" x14ac:dyDescent="0.25">
      <c r="A481" s="18">
        <v>485</v>
      </c>
      <c r="B481" s="19">
        <v>46033</v>
      </c>
      <c r="C481" s="19">
        <v>46033</v>
      </c>
      <c r="D481" s="70" t="s">
        <v>936</v>
      </c>
      <c r="E481" s="21"/>
      <c r="F481" s="21"/>
      <c r="G481" s="21"/>
      <c r="H481" s="33">
        <v>102</v>
      </c>
      <c r="I481" s="60" t="s">
        <v>287</v>
      </c>
      <c r="J481" s="34" t="s">
        <v>23</v>
      </c>
      <c r="K481" s="35" t="s">
        <v>31</v>
      </c>
      <c r="L481" s="25" t="s">
        <v>639</v>
      </c>
      <c r="M481" s="21" t="s">
        <v>289</v>
      </c>
      <c r="N481" s="37">
        <v>9.1</v>
      </c>
      <c r="O481" s="37">
        <v>3.58</v>
      </c>
      <c r="P481" s="26">
        <f t="shared" si="62"/>
        <v>5.52</v>
      </c>
      <c r="Q481" s="27">
        <v>140</v>
      </c>
      <c r="R481" s="28">
        <f t="shared" si="69"/>
        <v>772.8</v>
      </c>
      <c r="S481" s="27"/>
      <c r="T481" s="29"/>
      <c r="V481" s="29" t="s">
        <v>253</v>
      </c>
      <c r="W481" s="27"/>
      <c r="X481" s="30">
        <f t="shared" si="65"/>
        <v>0</v>
      </c>
      <c r="Y481" s="31"/>
      <c r="Z481" s="31">
        <f t="shared" si="66"/>
        <v>0</v>
      </c>
      <c r="AA481" s="29">
        <f t="shared" si="67"/>
        <v>772.8</v>
      </c>
    </row>
    <row r="482" spans="1:38" s="32" customFormat="1" x14ac:dyDescent="0.25">
      <c r="A482" s="18">
        <v>486</v>
      </c>
      <c r="B482" s="19">
        <v>46033</v>
      </c>
      <c r="C482" s="19">
        <v>46033</v>
      </c>
      <c r="D482" s="20">
        <v>260111021</v>
      </c>
      <c r="E482" s="21" t="s">
        <v>937</v>
      </c>
      <c r="F482" s="21" t="s">
        <v>938</v>
      </c>
      <c r="G482" s="21">
        <v>37</v>
      </c>
      <c r="H482" s="48">
        <v>53</v>
      </c>
      <c r="I482" s="52" t="s">
        <v>57</v>
      </c>
      <c r="J482" s="49" t="s">
        <v>23</v>
      </c>
      <c r="K482" s="23" t="s">
        <v>31</v>
      </c>
      <c r="L482" s="25" t="s">
        <v>51</v>
      </c>
      <c r="M482" s="21" t="s">
        <v>49</v>
      </c>
      <c r="N482" s="37">
        <v>48.46</v>
      </c>
      <c r="O482" s="37">
        <v>11.4</v>
      </c>
      <c r="P482" s="26">
        <f t="shared" si="62"/>
        <v>37.06</v>
      </c>
      <c r="Q482" s="27">
        <v>245</v>
      </c>
      <c r="R482" s="28">
        <f t="shared" si="69"/>
        <v>9079.7000000000007</v>
      </c>
      <c r="S482" s="27"/>
      <c r="T482" s="29"/>
      <c r="V482" s="29" t="s">
        <v>24</v>
      </c>
      <c r="W482" s="27">
        <v>145</v>
      </c>
      <c r="X482" s="30">
        <f t="shared" si="65"/>
        <v>5373.7000000000007</v>
      </c>
      <c r="Y482" s="31">
        <v>210</v>
      </c>
      <c r="Z482" s="31">
        <f t="shared" si="66"/>
        <v>7782.6</v>
      </c>
      <c r="AA482" s="29">
        <f t="shared" si="67"/>
        <v>22236</v>
      </c>
      <c r="AB482" s="40"/>
      <c r="AC482" s="39"/>
      <c r="AD482" s="41"/>
      <c r="AE482" s="42"/>
      <c r="AF482" s="39"/>
      <c r="AG482" s="42"/>
      <c r="AH482" s="39"/>
      <c r="AI482" s="41"/>
      <c r="AJ482" s="39"/>
      <c r="AK482" s="41"/>
      <c r="AL482" s="41"/>
    </row>
    <row r="483" spans="1:38" s="32" customFormat="1" x14ac:dyDescent="0.25">
      <c r="A483" s="18">
        <v>487</v>
      </c>
      <c r="B483" s="19">
        <v>46033</v>
      </c>
      <c r="C483" s="19">
        <v>46033</v>
      </c>
      <c r="D483" s="20">
        <v>260111022</v>
      </c>
      <c r="E483" s="21" t="s">
        <v>939</v>
      </c>
      <c r="F483" s="21" t="s">
        <v>940</v>
      </c>
      <c r="G483" s="21">
        <v>45</v>
      </c>
      <c r="H483" s="48">
        <v>84</v>
      </c>
      <c r="I483" s="71" t="s">
        <v>941</v>
      </c>
      <c r="J483" s="49" t="s">
        <v>23</v>
      </c>
      <c r="K483" s="23" t="s">
        <v>31</v>
      </c>
      <c r="L483" s="25" t="s">
        <v>38</v>
      </c>
      <c r="M483" s="21" t="s">
        <v>32</v>
      </c>
      <c r="N483" s="37">
        <v>60.58</v>
      </c>
      <c r="O483" s="37">
        <v>15.1</v>
      </c>
      <c r="P483" s="26">
        <f t="shared" si="62"/>
        <v>45.48</v>
      </c>
      <c r="Q483" s="27">
        <v>305</v>
      </c>
      <c r="R483" s="28">
        <f t="shared" si="69"/>
        <v>13871.4</v>
      </c>
      <c r="S483" s="27"/>
      <c r="T483" s="29"/>
      <c r="V483" s="29" t="s">
        <v>24</v>
      </c>
      <c r="W483" s="27">
        <v>145</v>
      </c>
      <c r="X483" s="30">
        <f t="shared" si="65"/>
        <v>6594.5999999999995</v>
      </c>
      <c r="Y483" s="31">
        <v>210</v>
      </c>
      <c r="Z483" s="31">
        <f t="shared" si="66"/>
        <v>9550.7999999999993</v>
      </c>
      <c r="AA483" s="29">
        <f t="shared" si="67"/>
        <v>30016.799999999999</v>
      </c>
    </row>
    <row r="484" spans="1:38" s="32" customFormat="1" x14ac:dyDescent="0.25">
      <c r="A484" s="18">
        <v>488</v>
      </c>
      <c r="B484" s="19">
        <v>46033</v>
      </c>
      <c r="C484" s="19">
        <v>46033</v>
      </c>
      <c r="D484" s="20">
        <v>260111023</v>
      </c>
      <c r="E484" s="21"/>
      <c r="F484" s="21" t="s">
        <v>942</v>
      </c>
      <c r="G484" s="21">
        <v>38</v>
      </c>
      <c r="H484" s="33">
        <v>285</v>
      </c>
      <c r="I484" s="73" t="s">
        <v>703</v>
      </c>
      <c r="J484" s="24" t="s">
        <v>23</v>
      </c>
      <c r="K484" s="23" t="s">
        <v>31</v>
      </c>
      <c r="L484" s="25" t="s">
        <v>53</v>
      </c>
      <c r="M484" s="21" t="s">
        <v>49</v>
      </c>
      <c r="N484" s="37">
        <v>50.14</v>
      </c>
      <c r="O484" s="37">
        <v>11.42</v>
      </c>
      <c r="P484" s="26">
        <f t="shared" si="62"/>
        <v>38.72</v>
      </c>
      <c r="Q484" s="27">
        <v>220</v>
      </c>
      <c r="R484" s="28">
        <f t="shared" si="69"/>
        <v>8518.4</v>
      </c>
      <c r="S484" s="27"/>
      <c r="T484" s="29"/>
      <c r="V484" s="29" t="s">
        <v>45</v>
      </c>
      <c r="W484" s="27"/>
      <c r="X484" s="30">
        <f t="shared" si="65"/>
        <v>0</v>
      </c>
      <c r="Y484" s="31"/>
      <c r="Z484" s="31">
        <f t="shared" si="66"/>
        <v>0</v>
      </c>
      <c r="AA484" s="29">
        <f t="shared" si="67"/>
        <v>8518.4</v>
      </c>
    </row>
    <row r="485" spans="1:38" s="32" customFormat="1" x14ac:dyDescent="0.25">
      <c r="A485" s="18">
        <v>489</v>
      </c>
      <c r="B485" s="19">
        <v>46033</v>
      </c>
      <c r="C485" s="19">
        <v>46033</v>
      </c>
      <c r="D485" s="70" t="s">
        <v>943</v>
      </c>
      <c r="E485" s="21"/>
      <c r="F485" s="21"/>
      <c r="G485" s="21"/>
      <c r="H485" s="33">
        <v>102</v>
      </c>
      <c r="I485" s="60" t="s">
        <v>287</v>
      </c>
      <c r="J485" s="34" t="s">
        <v>23</v>
      </c>
      <c r="K485" s="35" t="s">
        <v>31</v>
      </c>
      <c r="L485" s="25" t="s">
        <v>288</v>
      </c>
      <c r="M485" s="21" t="s">
        <v>289</v>
      </c>
      <c r="N485" s="37">
        <v>9.34</v>
      </c>
      <c r="O485" s="37">
        <v>3.58</v>
      </c>
      <c r="P485" s="26">
        <f t="shared" si="62"/>
        <v>5.76</v>
      </c>
      <c r="Q485" s="27">
        <v>140</v>
      </c>
      <c r="R485" s="28">
        <f t="shared" si="69"/>
        <v>806.4</v>
      </c>
      <c r="S485" s="27"/>
      <c r="T485" s="29"/>
      <c r="V485" s="29" t="s">
        <v>253</v>
      </c>
      <c r="W485" s="27"/>
      <c r="X485" s="30">
        <f t="shared" ref="X485:X516" si="70">P485*W485</f>
        <v>0</v>
      </c>
      <c r="Y485" s="31"/>
      <c r="Z485" s="31">
        <f t="shared" ref="Z485:Z516" si="71">P485*Y485</f>
        <v>0</v>
      </c>
      <c r="AA485" s="29">
        <f t="shared" ref="AA485:AA516" si="72">R485+X485+Z485</f>
        <v>806.4</v>
      </c>
    </row>
    <row r="486" spans="1:38" s="32" customFormat="1" x14ac:dyDescent="0.25">
      <c r="A486" s="18">
        <v>490</v>
      </c>
      <c r="B486" s="19">
        <v>46033</v>
      </c>
      <c r="C486" s="19">
        <v>46033</v>
      </c>
      <c r="D486" s="70" t="s">
        <v>944</v>
      </c>
      <c r="E486" s="21"/>
      <c r="F486" s="21"/>
      <c r="G486" s="21"/>
      <c r="H486" s="33">
        <v>102</v>
      </c>
      <c r="I486" s="60" t="s">
        <v>287</v>
      </c>
      <c r="J486" s="34" t="s">
        <v>23</v>
      </c>
      <c r="K486" s="35" t="s">
        <v>31</v>
      </c>
      <c r="L486" s="25" t="s">
        <v>639</v>
      </c>
      <c r="M486" s="21" t="s">
        <v>289</v>
      </c>
      <c r="N486" s="37">
        <v>8.98</v>
      </c>
      <c r="O486" s="37">
        <v>3.58</v>
      </c>
      <c r="P486" s="26">
        <f t="shared" si="62"/>
        <v>5.4</v>
      </c>
      <c r="Q486" s="27">
        <v>140</v>
      </c>
      <c r="R486" s="28">
        <f t="shared" si="69"/>
        <v>756</v>
      </c>
      <c r="S486" s="27"/>
      <c r="T486" s="29"/>
      <c r="V486" s="29" t="s">
        <v>253</v>
      </c>
      <c r="W486" s="27"/>
      <c r="X486" s="30">
        <f t="shared" si="70"/>
        <v>0</v>
      </c>
      <c r="Y486" s="31"/>
      <c r="Z486" s="31">
        <f t="shared" si="71"/>
        <v>0</v>
      </c>
      <c r="AA486" s="29">
        <f t="shared" si="72"/>
        <v>756</v>
      </c>
    </row>
    <row r="487" spans="1:38" s="38" customFormat="1" x14ac:dyDescent="0.25">
      <c r="A487" s="18">
        <v>491</v>
      </c>
      <c r="B487" s="19">
        <v>46033</v>
      </c>
      <c r="C487" s="19">
        <v>46033</v>
      </c>
      <c r="D487" s="70" t="s">
        <v>945</v>
      </c>
      <c r="E487" s="21"/>
      <c r="F487" s="21"/>
      <c r="G487" s="21"/>
      <c r="H487" s="66"/>
      <c r="I487" s="23" t="s">
        <v>201</v>
      </c>
      <c r="J487" s="49" t="s">
        <v>23</v>
      </c>
      <c r="K487" s="23" t="s">
        <v>31</v>
      </c>
      <c r="L487" s="25" t="s">
        <v>946</v>
      </c>
      <c r="M487" s="21" t="s">
        <v>203</v>
      </c>
      <c r="N487" s="37">
        <v>26.68</v>
      </c>
      <c r="O487" s="37">
        <v>14.14</v>
      </c>
      <c r="P487" s="26">
        <f t="shared" ref="P487:P550" si="73">N487-O487</f>
        <v>12.54</v>
      </c>
      <c r="Q487" s="27">
        <v>0</v>
      </c>
      <c r="R487" s="28">
        <f t="shared" si="69"/>
        <v>0</v>
      </c>
      <c r="S487" s="27"/>
      <c r="T487" s="29"/>
      <c r="V487" s="29" t="s">
        <v>24</v>
      </c>
      <c r="W487" s="27"/>
      <c r="X487" s="30">
        <f t="shared" si="70"/>
        <v>0</v>
      </c>
      <c r="Y487" s="31"/>
      <c r="Z487" s="31">
        <f t="shared" si="71"/>
        <v>0</v>
      </c>
      <c r="AA487" s="29">
        <f t="shared" si="72"/>
        <v>0</v>
      </c>
    </row>
    <row r="488" spans="1:38" s="38" customFormat="1" x14ac:dyDescent="0.25">
      <c r="A488" s="18">
        <v>492</v>
      </c>
      <c r="B488" s="19">
        <v>46033</v>
      </c>
      <c r="C488" s="19">
        <v>46033</v>
      </c>
      <c r="D488" s="70">
        <v>260111024</v>
      </c>
      <c r="E488" s="21"/>
      <c r="F488" s="21" t="s">
        <v>947</v>
      </c>
      <c r="G488" s="21">
        <v>37</v>
      </c>
      <c r="H488" s="33">
        <v>285</v>
      </c>
      <c r="I488" s="73" t="s">
        <v>703</v>
      </c>
      <c r="J488" s="24" t="s">
        <v>23</v>
      </c>
      <c r="K488" s="23" t="s">
        <v>31</v>
      </c>
      <c r="L488" s="25" t="s">
        <v>459</v>
      </c>
      <c r="M488" s="21" t="s">
        <v>49</v>
      </c>
      <c r="N488" s="37">
        <v>49.24</v>
      </c>
      <c r="O488" s="37">
        <v>11.88</v>
      </c>
      <c r="P488" s="26">
        <f t="shared" si="73"/>
        <v>37.36</v>
      </c>
      <c r="Q488" s="27">
        <v>220</v>
      </c>
      <c r="R488" s="28">
        <f t="shared" si="69"/>
        <v>8219.2000000000007</v>
      </c>
      <c r="S488" s="27"/>
      <c r="T488" s="29"/>
      <c r="V488" s="29" t="s">
        <v>45</v>
      </c>
      <c r="W488" s="27"/>
      <c r="X488" s="30">
        <f t="shared" si="70"/>
        <v>0</v>
      </c>
      <c r="Y488" s="31"/>
      <c r="Z488" s="31">
        <f t="shared" si="71"/>
        <v>0</v>
      </c>
      <c r="AA488" s="29">
        <f t="shared" si="72"/>
        <v>8219.2000000000007</v>
      </c>
    </row>
    <row r="489" spans="1:38" s="32" customFormat="1" x14ac:dyDescent="0.25">
      <c r="A489" s="18">
        <v>493</v>
      </c>
      <c r="B489" s="19">
        <v>46033</v>
      </c>
      <c r="C489" s="19">
        <v>46033</v>
      </c>
      <c r="D489" s="70">
        <v>260111025</v>
      </c>
      <c r="E489" s="21" t="s">
        <v>948</v>
      </c>
      <c r="F489" s="21" t="s">
        <v>949</v>
      </c>
      <c r="G489" s="21">
        <v>35</v>
      </c>
      <c r="H489" s="48">
        <v>84</v>
      </c>
      <c r="I489" s="71" t="s">
        <v>941</v>
      </c>
      <c r="J489" s="49" t="s">
        <v>23</v>
      </c>
      <c r="K489" s="23" t="s">
        <v>31</v>
      </c>
      <c r="L489" s="25" t="s">
        <v>43</v>
      </c>
      <c r="M489" s="21" t="s">
        <v>32</v>
      </c>
      <c r="N489" s="37">
        <v>46.4</v>
      </c>
      <c r="O489" s="37">
        <v>11.16</v>
      </c>
      <c r="P489" s="26">
        <f t="shared" si="73"/>
        <v>35.239999999999995</v>
      </c>
      <c r="Q489" s="27">
        <v>305</v>
      </c>
      <c r="R489" s="28">
        <f t="shared" si="69"/>
        <v>10748.199999999999</v>
      </c>
      <c r="S489" s="27"/>
      <c r="T489" s="29"/>
      <c r="V489" s="29" t="s">
        <v>24</v>
      </c>
      <c r="W489" s="27">
        <v>145</v>
      </c>
      <c r="X489" s="30">
        <f t="shared" si="70"/>
        <v>5109.7999999999993</v>
      </c>
      <c r="Y489" s="31">
        <v>210</v>
      </c>
      <c r="Z489" s="31">
        <f t="shared" si="71"/>
        <v>7400.3999999999987</v>
      </c>
      <c r="AA489" s="29">
        <f t="shared" si="72"/>
        <v>23258.399999999998</v>
      </c>
    </row>
    <row r="490" spans="1:38" s="32" customFormat="1" x14ac:dyDescent="0.25">
      <c r="A490" s="18">
        <v>494</v>
      </c>
      <c r="B490" s="19">
        <v>46033</v>
      </c>
      <c r="C490" s="19">
        <v>46033</v>
      </c>
      <c r="D490" s="70">
        <v>260111026</v>
      </c>
      <c r="E490" s="21"/>
      <c r="F490" s="21" t="s">
        <v>950</v>
      </c>
      <c r="G490" s="21">
        <v>34</v>
      </c>
      <c r="H490" s="33">
        <v>285</v>
      </c>
      <c r="I490" s="73" t="s">
        <v>703</v>
      </c>
      <c r="J490" s="24" t="s">
        <v>23</v>
      </c>
      <c r="K490" s="23" t="s">
        <v>31</v>
      </c>
      <c r="L490" s="25" t="s">
        <v>772</v>
      </c>
      <c r="M490" s="21" t="s">
        <v>34</v>
      </c>
      <c r="N490" s="37">
        <v>45.82</v>
      </c>
      <c r="O490" s="37">
        <v>11.48</v>
      </c>
      <c r="P490" s="26">
        <f t="shared" si="73"/>
        <v>34.340000000000003</v>
      </c>
      <c r="Q490" s="27">
        <v>520</v>
      </c>
      <c r="R490" s="28">
        <f t="shared" si="69"/>
        <v>17856.800000000003</v>
      </c>
      <c r="S490" s="27"/>
      <c r="T490" s="29"/>
      <c r="V490" s="29" t="s">
        <v>45</v>
      </c>
      <c r="W490" s="27"/>
      <c r="X490" s="30">
        <f t="shared" si="70"/>
        <v>0</v>
      </c>
      <c r="Y490" s="31"/>
      <c r="Z490" s="31">
        <f t="shared" si="71"/>
        <v>0</v>
      </c>
      <c r="AA490" s="29">
        <f t="shared" si="72"/>
        <v>17856.800000000003</v>
      </c>
    </row>
    <row r="491" spans="1:38" s="32" customFormat="1" x14ac:dyDescent="0.25">
      <c r="A491" s="18">
        <v>495</v>
      </c>
      <c r="B491" s="19">
        <v>46033</v>
      </c>
      <c r="C491" s="19">
        <v>46033</v>
      </c>
      <c r="D491" s="80">
        <v>260111027</v>
      </c>
      <c r="E491" s="21"/>
      <c r="F491" s="21" t="s">
        <v>951</v>
      </c>
      <c r="G491" s="21">
        <v>43</v>
      </c>
      <c r="H491" s="33">
        <v>285</v>
      </c>
      <c r="I491" s="73" t="s">
        <v>703</v>
      </c>
      <c r="J491" s="24" t="s">
        <v>23</v>
      </c>
      <c r="K491" s="23" t="s">
        <v>31</v>
      </c>
      <c r="L491" s="25" t="s">
        <v>711</v>
      </c>
      <c r="M491" s="21" t="s">
        <v>34</v>
      </c>
      <c r="N491" s="37">
        <v>59.6</v>
      </c>
      <c r="O491" s="37">
        <v>15.84</v>
      </c>
      <c r="P491" s="26">
        <f t="shared" si="73"/>
        <v>43.760000000000005</v>
      </c>
      <c r="Q491" s="27">
        <v>520</v>
      </c>
      <c r="R491" s="28">
        <f t="shared" si="69"/>
        <v>22755.200000000004</v>
      </c>
      <c r="S491" s="27"/>
      <c r="T491" s="29"/>
      <c r="V491" s="29" t="s">
        <v>45</v>
      </c>
      <c r="W491" s="27"/>
      <c r="X491" s="30">
        <f t="shared" si="70"/>
        <v>0</v>
      </c>
      <c r="Y491" s="31"/>
      <c r="Z491" s="31">
        <f t="shared" si="71"/>
        <v>0</v>
      </c>
      <c r="AA491" s="29">
        <f t="shared" si="72"/>
        <v>22755.200000000004</v>
      </c>
    </row>
    <row r="492" spans="1:38" s="38" customFormat="1" x14ac:dyDescent="0.25">
      <c r="A492" s="18">
        <v>496</v>
      </c>
      <c r="B492" s="19">
        <v>46033</v>
      </c>
      <c r="C492" s="19">
        <v>46033</v>
      </c>
      <c r="D492" s="70">
        <v>260111028</v>
      </c>
      <c r="E492" s="21" t="s">
        <v>952</v>
      </c>
      <c r="F492" s="21" t="s">
        <v>953</v>
      </c>
      <c r="G492" s="21">
        <v>43</v>
      </c>
      <c r="H492" s="48">
        <v>76</v>
      </c>
      <c r="I492" s="79" t="s">
        <v>237</v>
      </c>
      <c r="J492" s="49" t="s">
        <v>23</v>
      </c>
      <c r="K492" s="23" t="s">
        <v>31</v>
      </c>
      <c r="L492" s="50" t="s">
        <v>117</v>
      </c>
      <c r="M492" s="21" t="s">
        <v>32</v>
      </c>
      <c r="N492" s="37">
        <v>59.46</v>
      </c>
      <c r="O492" s="37">
        <v>15.66</v>
      </c>
      <c r="P492" s="26">
        <f t="shared" si="73"/>
        <v>43.8</v>
      </c>
      <c r="Q492" s="27">
        <v>285</v>
      </c>
      <c r="R492" s="28">
        <f>P492*Q492</f>
        <v>12483</v>
      </c>
      <c r="S492" s="27"/>
      <c r="T492" s="29"/>
      <c r="V492" s="29" t="s">
        <v>24</v>
      </c>
      <c r="W492" s="27">
        <v>145</v>
      </c>
      <c r="X492" s="30">
        <f t="shared" si="70"/>
        <v>6351</v>
      </c>
      <c r="Y492" s="31">
        <v>180</v>
      </c>
      <c r="Z492" s="31">
        <f t="shared" si="71"/>
        <v>7883.9999999999991</v>
      </c>
      <c r="AA492" s="29">
        <f t="shared" si="72"/>
        <v>26718</v>
      </c>
    </row>
    <row r="493" spans="1:38" s="38" customFormat="1" x14ac:dyDescent="0.25">
      <c r="A493" s="18">
        <v>497</v>
      </c>
      <c r="B493" s="19">
        <v>46033</v>
      </c>
      <c r="C493" s="19">
        <v>46033</v>
      </c>
      <c r="D493" s="70">
        <v>260111029</v>
      </c>
      <c r="E493" s="21"/>
      <c r="F493" s="21" t="s">
        <v>954</v>
      </c>
      <c r="G493" s="21">
        <v>33</v>
      </c>
      <c r="H493" s="33">
        <v>285</v>
      </c>
      <c r="I493" s="73" t="s">
        <v>703</v>
      </c>
      <c r="J493" s="24" t="s">
        <v>23</v>
      </c>
      <c r="K493" s="23" t="s">
        <v>31</v>
      </c>
      <c r="L493" s="20" t="s">
        <v>649</v>
      </c>
      <c r="M493" s="21" t="s">
        <v>34</v>
      </c>
      <c r="N493" s="37">
        <v>46.3</v>
      </c>
      <c r="O493" s="37">
        <v>12.38</v>
      </c>
      <c r="P493" s="26">
        <f t="shared" si="73"/>
        <v>33.919999999999995</v>
      </c>
      <c r="Q493" s="27">
        <v>520</v>
      </c>
      <c r="R493" s="28">
        <f>P493*Q493</f>
        <v>17638.399999999998</v>
      </c>
      <c r="S493" s="27"/>
      <c r="T493" s="29"/>
      <c r="V493" s="29" t="s">
        <v>45</v>
      </c>
      <c r="W493" s="27"/>
      <c r="X493" s="30">
        <f t="shared" si="70"/>
        <v>0</v>
      </c>
      <c r="Y493" s="31"/>
      <c r="Z493" s="31">
        <f t="shared" si="71"/>
        <v>0</v>
      </c>
      <c r="AA493" s="29">
        <f t="shared" si="72"/>
        <v>17638.399999999998</v>
      </c>
    </row>
    <row r="494" spans="1:38" s="32" customFormat="1" x14ac:dyDescent="0.25">
      <c r="A494" s="18">
        <v>498</v>
      </c>
      <c r="B494" s="19">
        <v>46033</v>
      </c>
      <c r="C494" s="19">
        <v>46033</v>
      </c>
      <c r="D494" s="70">
        <v>260111030</v>
      </c>
      <c r="E494" s="21"/>
      <c r="F494" s="21" t="s">
        <v>955</v>
      </c>
      <c r="G494" s="21">
        <v>34</v>
      </c>
      <c r="H494" s="33">
        <v>285</v>
      </c>
      <c r="I494" s="73" t="s">
        <v>703</v>
      </c>
      <c r="J494" s="24" t="s">
        <v>23</v>
      </c>
      <c r="K494" s="23" t="s">
        <v>31</v>
      </c>
      <c r="L494" s="25" t="s">
        <v>772</v>
      </c>
      <c r="M494" s="21" t="s">
        <v>34</v>
      </c>
      <c r="N494" s="37">
        <v>45.88</v>
      </c>
      <c r="O494" s="37">
        <v>11.58</v>
      </c>
      <c r="P494" s="26">
        <f t="shared" si="73"/>
        <v>34.300000000000004</v>
      </c>
      <c r="Q494" s="27">
        <v>520</v>
      </c>
      <c r="R494" s="28">
        <f>P494*Q494</f>
        <v>17836.000000000004</v>
      </c>
      <c r="S494" s="27"/>
      <c r="T494" s="29"/>
      <c r="V494" s="29" t="s">
        <v>45</v>
      </c>
      <c r="W494" s="27"/>
      <c r="X494" s="30">
        <f t="shared" si="70"/>
        <v>0</v>
      </c>
      <c r="Y494" s="31"/>
      <c r="Z494" s="31">
        <f t="shared" si="71"/>
        <v>0</v>
      </c>
      <c r="AA494" s="29">
        <f t="shared" si="72"/>
        <v>17836.000000000004</v>
      </c>
    </row>
    <row r="495" spans="1:38" s="32" customFormat="1" x14ac:dyDescent="0.25">
      <c r="A495" s="18">
        <v>499</v>
      </c>
      <c r="B495" s="19">
        <v>46033</v>
      </c>
      <c r="C495" s="19">
        <v>46033</v>
      </c>
      <c r="D495" s="70">
        <v>260111031</v>
      </c>
      <c r="E495" s="21"/>
      <c r="F495" s="21" t="s">
        <v>956</v>
      </c>
      <c r="G495" s="21">
        <v>34</v>
      </c>
      <c r="H495" s="33">
        <v>285</v>
      </c>
      <c r="I495" s="73" t="s">
        <v>703</v>
      </c>
      <c r="J495" s="24" t="s">
        <v>23</v>
      </c>
      <c r="K495" s="23" t="s">
        <v>31</v>
      </c>
      <c r="L495" s="50" t="s">
        <v>43</v>
      </c>
      <c r="M495" s="21" t="s">
        <v>34</v>
      </c>
      <c r="N495" s="37">
        <v>45.9</v>
      </c>
      <c r="O495" s="37">
        <v>11.12</v>
      </c>
      <c r="P495" s="26">
        <f t="shared" si="73"/>
        <v>34.78</v>
      </c>
      <c r="Q495" s="27">
        <v>520</v>
      </c>
      <c r="R495" s="28">
        <f>P495*Q495</f>
        <v>18085.600000000002</v>
      </c>
      <c r="S495" s="27"/>
      <c r="T495" s="29"/>
      <c r="V495" s="29" t="s">
        <v>45</v>
      </c>
      <c r="W495" s="27"/>
      <c r="X495" s="30">
        <f t="shared" si="70"/>
        <v>0</v>
      </c>
      <c r="Y495" s="31"/>
      <c r="Z495" s="31">
        <f t="shared" si="71"/>
        <v>0</v>
      </c>
      <c r="AA495" s="29">
        <f t="shared" si="72"/>
        <v>18085.600000000002</v>
      </c>
    </row>
    <row r="496" spans="1:38" s="32" customFormat="1" x14ac:dyDescent="0.25">
      <c r="A496" s="18">
        <v>500</v>
      </c>
      <c r="B496" s="19">
        <v>46033</v>
      </c>
      <c r="C496" s="19">
        <v>46033</v>
      </c>
      <c r="D496" s="70">
        <v>260111032</v>
      </c>
      <c r="E496" s="21" t="s">
        <v>957</v>
      </c>
      <c r="F496" s="21" t="s">
        <v>958</v>
      </c>
      <c r="G496" s="21">
        <v>39</v>
      </c>
      <c r="H496" s="44">
        <v>115</v>
      </c>
      <c r="I496" s="23" t="s">
        <v>33</v>
      </c>
      <c r="J496" s="24" t="s">
        <v>23</v>
      </c>
      <c r="K496" s="35" t="s">
        <v>31</v>
      </c>
      <c r="L496" s="25" t="s">
        <v>42</v>
      </c>
      <c r="M496" s="21" t="s">
        <v>35</v>
      </c>
      <c r="N496" s="37">
        <v>51.6</v>
      </c>
      <c r="O496" s="37">
        <v>11.78</v>
      </c>
      <c r="P496" s="26">
        <f t="shared" si="73"/>
        <v>39.82</v>
      </c>
      <c r="Q496" s="27">
        <v>445</v>
      </c>
      <c r="R496" s="28">
        <f>P496*Q496</f>
        <v>17719.900000000001</v>
      </c>
      <c r="S496" s="27"/>
      <c r="T496" s="29"/>
      <c r="V496" s="29" t="s">
        <v>24</v>
      </c>
      <c r="W496" s="27">
        <v>145</v>
      </c>
      <c r="X496" s="30">
        <f t="shared" si="70"/>
        <v>5773.9</v>
      </c>
      <c r="Y496" s="31">
        <v>260</v>
      </c>
      <c r="Z496" s="31">
        <f t="shared" si="71"/>
        <v>10353.200000000001</v>
      </c>
      <c r="AA496" s="29">
        <f t="shared" si="72"/>
        <v>33847</v>
      </c>
    </row>
    <row r="497" spans="1:27" s="32" customFormat="1" x14ac:dyDescent="0.25">
      <c r="A497" s="18">
        <v>501</v>
      </c>
      <c r="B497" s="19">
        <v>46033</v>
      </c>
      <c r="C497" s="19">
        <v>46033</v>
      </c>
      <c r="D497" s="70">
        <v>260111033</v>
      </c>
      <c r="E497" s="21" t="s">
        <v>959</v>
      </c>
      <c r="F497" s="21" t="s">
        <v>960</v>
      </c>
      <c r="G497" s="21">
        <v>39</v>
      </c>
      <c r="H497" s="44">
        <v>115</v>
      </c>
      <c r="I497" s="23" t="s">
        <v>33</v>
      </c>
      <c r="J497" s="24" t="s">
        <v>23</v>
      </c>
      <c r="K497" s="35" t="s">
        <v>31</v>
      </c>
      <c r="L497" s="20" t="s">
        <v>51</v>
      </c>
      <c r="M497" s="21" t="s">
        <v>35</v>
      </c>
      <c r="N497" s="37">
        <v>51.12</v>
      </c>
      <c r="O497" s="37">
        <v>11.36</v>
      </c>
      <c r="P497" s="26">
        <f t="shared" si="73"/>
        <v>39.76</v>
      </c>
      <c r="Q497" s="27">
        <v>445</v>
      </c>
      <c r="R497" s="28">
        <f t="shared" ref="R497:R560" si="74">P497*Q497</f>
        <v>17693.2</v>
      </c>
      <c r="S497" s="27"/>
      <c r="T497" s="29"/>
      <c r="V497" s="29" t="s">
        <v>24</v>
      </c>
      <c r="W497" s="27">
        <v>145</v>
      </c>
      <c r="X497" s="30">
        <f t="shared" si="70"/>
        <v>5765.2</v>
      </c>
      <c r="Y497" s="31">
        <v>260</v>
      </c>
      <c r="Z497" s="31">
        <f t="shared" si="71"/>
        <v>10337.6</v>
      </c>
      <c r="AA497" s="29">
        <f t="shared" si="72"/>
        <v>33796</v>
      </c>
    </row>
    <row r="498" spans="1:27" s="32" customFormat="1" x14ac:dyDescent="0.25">
      <c r="A498" s="18">
        <v>502</v>
      </c>
      <c r="B498" s="19">
        <v>46033</v>
      </c>
      <c r="C498" s="19">
        <v>46033</v>
      </c>
      <c r="D498" s="70">
        <v>260111034</v>
      </c>
      <c r="E498" s="21" t="s">
        <v>961</v>
      </c>
      <c r="F498" s="21" t="s">
        <v>962</v>
      </c>
      <c r="G498" s="21">
        <v>38</v>
      </c>
      <c r="H498" s="44">
        <v>115</v>
      </c>
      <c r="I498" s="23" t="s">
        <v>33</v>
      </c>
      <c r="J498" s="24" t="s">
        <v>23</v>
      </c>
      <c r="K498" s="35" t="s">
        <v>31</v>
      </c>
      <c r="L498" s="20" t="s">
        <v>39</v>
      </c>
      <c r="M498" s="21" t="s">
        <v>35</v>
      </c>
      <c r="N498" s="37">
        <v>50.44</v>
      </c>
      <c r="O498" s="37">
        <v>11.74</v>
      </c>
      <c r="P498" s="26">
        <f t="shared" si="73"/>
        <v>38.699999999999996</v>
      </c>
      <c r="Q498" s="27">
        <v>445</v>
      </c>
      <c r="R498" s="28">
        <f t="shared" si="74"/>
        <v>17221.499999999996</v>
      </c>
      <c r="S498" s="27"/>
      <c r="T498" s="29"/>
      <c r="V498" s="29" t="s">
        <v>24</v>
      </c>
      <c r="W498" s="27">
        <v>145</v>
      </c>
      <c r="X498" s="30">
        <f t="shared" si="70"/>
        <v>5611.4999999999991</v>
      </c>
      <c r="Y498" s="31">
        <v>260</v>
      </c>
      <c r="Z498" s="31">
        <f t="shared" si="71"/>
        <v>10061.999999999998</v>
      </c>
      <c r="AA498" s="29">
        <f t="shared" si="72"/>
        <v>32894.999999999993</v>
      </c>
    </row>
    <row r="499" spans="1:27" s="38" customFormat="1" x14ac:dyDescent="0.25">
      <c r="A499" s="18">
        <v>503</v>
      </c>
      <c r="B499" s="19">
        <v>46033</v>
      </c>
      <c r="C499" s="19">
        <v>46033</v>
      </c>
      <c r="D499" s="70">
        <v>260111035</v>
      </c>
      <c r="E499" s="21" t="s">
        <v>963</v>
      </c>
      <c r="F499" s="21" t="s">
        <v>964</v>
      </c>
      <c r="G499" s="21">
        <v>47</v>
      </c>
      <c r="H499" s="44">
        <v>115</v>
      </c>
      <c r="I499" s="23" t="s">
        <v>33</v>
      </c>
      <c r="J499" s="24" t="s">
        <v>23</v>
      </c>
      <c r="K499" s="35" t="s">
        <v>31</v>
      </c>
      <c r="L499" s="25" t="s">
        <v>401</v>
      </c>
      <c r="M499" s="21" t="s">
        <v>32</v>
      </c>
      <c r="N499" s="37">
        <v>65.260000000000005</v>
      </c>
      <c r="O499" s="37">
        <v>17.5</v>
      </c>
      <c r="P499" s="26">
        <f t="shared" si="73"/>
        <v>47.760000000000005</v>
      </c>
      <c r="Q499" s="27">
        <v>315</v>
      </c>
      <c r="R499" s="28">
        <f t="shared" si="74"/>
        <v>15044.400000000001</v>
      </c>
      <c r="S499" s="21"/>
      <c r="T499" s="29"/>
      <c r="V499" s="29" t="s">
        <v>24</v>
      </c>
      <c r="W499" s="27">
        <v>145</v>
      </c>
      <c r="X499" s="30">
        <f t="shared" si="70"/>
        <v>6925.2000000000007</v>
      </c>
      <c r="Y499" s="31">
        <v>260</v>
      </c>
      <c r="Z499" s="31">
        <f t="shared" si="71"/>
        <v>12417.600000000002</v>
      </c>
      <c r="AA499" s="29">
        <f t="shared" si="72"/>
        <v>34387.200000000004</v>
      </c>
    </row>
    <row r="500" spans="1:27" s="38" customFormat="1" x14ac:dyDescent="0.25">
      <c r="A500" s="18">
        <v>504</v>
      </c>
      <c r="B500" s="19">
        <v>46033</v>
      </c>
      <c r="C500" s="19">
        <v>46033</v>
      </c>
      <c r="D500" s="70">
        <v>260111036</v>
      </c>
      <c r="E500" s="21" t="s">
        <v>965</v>
      </c>
      <c r="F500" s="21" t="s">
        <v>966</v>
      </c>
      <c r="G500" s="21">
        <v>47</v>
      </c>
      <c r="H500" s="44">
        <v>115</v>
      </c>
      <c r="I500" s="23" t="s">
        <v>33</v>
      </c>
      <c r="J500" s="24" t="s">
        <v>23</v>
      </c>
      <c r="K500" s="35" t="s">
        <v>31</v>
      </c>
      <c r="L500" s="25" t="s">
        <v>38</v>
      </c>
      <c r="M500" s="21" t="s">
        <v>34</v>
      </c>
      <c r="N500" s="37">
        <v>62.36</v>
      </c>
      <c r="O500" s="37">
        <v>15.04</v>
      </c>
      <c r="P500" s="26">
        <f t="shared" si="73"/>
        <v>47.32</v>
      </c>
      <c r="Q500" s="27">
        <v>545</v>
      </c>
      <c r="R500" s="28">
        <f t="shared" si="74"/>
        <v>25789.4</v>
      </c>
      <c r="S500" s="21"/>
      <c r="T500" s="29"/>
      <c r="V500" s="29" t="s">
        <v>24</v>
      </c>
      <c r="W500" s="27">
        <v>145</v>
      </c>
      <c r="X500" s="30">
        <f t="shared" si="70"/>
        <v>6861.4</v>
      </c>
      <c r="Y500" s="31">
        <v>260</v>
      </c>
      <c r="Z500" s="31">
        <f t="shared" si="71"/>
        <v>12303.2</v>
      </c>
      <c r="AA500" s="29">
        <f t="shared" si="72"/>
        <v>44954</v>
      </c>
    </row>
    <row r="501" spans="1:27" s="32" customFormat="1" x14ac:dyDescent="0.25">
      <c r="A501" s="18">
        <v>505</v>
      </c>
      <c r="B501" s="19">
        <v>46033</v>
      </c>
      <c r="C501" s="19">
        <v>46034</v>
      </c>
      <c r="D501" s="70">
        <v>260112001</v>
      </c>
      <c r="E501" s="21" t="s">
        <v>967</v>
      </c>
      <c r="F501" s="21" t="s">
        <v>968</v>
      </c>
      <c r="G501" s="21">
        <v>43</v>
      </c>
      <c r="H501" s="44">
        <v>115</v>
      </c>
      <c r="I501" s="23" t="s">
        <v>33</v>
      </c>
      <c r="J501" s="24" t="s">
        <v>23</v>
      </c>
      <c r="K501" s="35" t="s">
        <v>31</v>
      </c>
      <c r="L501" s="25" t="s">
        <v>46</v>
      </c>
      <c r="M501" s="21" t="s">
        <v>34</v>
      </c>
      <c r="N501" s="37">
        <v>58.18</v>
      </c>
      <c r="O501" s="37">
        <v>14.98</v>
      </c>
      <c r="P501" s="26">
        <f t="shared" si="73"/>
        <v>43.2</v>
      </c>
      <c r="Q501" s="27">
        <v>545</v>
      </c>
      <c r="R501" s="28">
        <f t="shared" si="74"/>
        <v>23544</v>
      </c>
      <c r="S501" s="27"/>
      <c r="T501" s="29"/>
      <c r="V501" s="29" t="s">
        <v>24</v>
      </c>
      <c r="W501" s="27">
        <v>145</v>
      </c>
      <c r="X501" s="30">
        <f t="shared" si="70"/>
        <v>6264</v>
      </c>
      <c r="Y501" s="31">
        <v>260</v>
      </c>
      <c r="Z501" s="31">
        <f t="shared" si="71"/>
        <v>11232</v>
      </c>
      <c r="AA501" s="29">
        <f t="shared" si="72"/>
        <v>41040</v>
      </c>
    </row>
    <row r="502" spans="1:27" s="38" customFormat="1" x14ac:dyDescent="0.25">
      <c r="A502" s="18">
        <v>506</v>
      </c>
      <c r="B502" s="19">
        <v>46033</v>
      </c>
      <c r="C502" s="19">
        <v>46034</v>
      </c>
      <c r="D502" s="70">
        <v>260112002</v>
      </c>
      <c r="E502" s="21" t="s">
        <v>969</v>
      </c>
      <c r="F502" s="21" t="s">
        <v>970</v>
      </c>
      <c r="G502" s="21">
        <v>49</v>
      </c>
      <c r="H502" s="44">
        <v>115</v>
      </c>
      <c r="I502" s="23" t="s">
        <v>33</v>
      </c>
      <c r="J502" s="24" t="s">
        <v>23</v>
      </c>
      <c r="K502" s="35" t="s">
        <v>31</v>
      </c>
      <c r="L502" s="25" t="s">
        <v>140</v>
      </c>
      <c r="M502" s="21" t="s">
        <v>34</v>
      </c>
      <c r="N502" s="37">
        <v>67.42</v>
      </c>
      <c r="O502" s="37">
        <v>17.600000000000001</v>
      </c>
      <c r="P502" s="26">
        <f t="shared" si="73"/>
        <v>49.82</v>
      </c>
      <c r="Q502" s="27">
        <v>545</v>
      </c>
      <c r="R502" s="28">
        <f t="shared" si="74"/>
        <v>27151.9</v>
      </c>
      <c r="S502" s="27"/>
      <c r="T502" s="29"/>
      <c r="V502" s="29" t="s">
        <v>24</v>
      </c>
      <c r="W502" s="27">
        <v>145</v>
      </c>
      <c r="X502" s="30">
        <f t="shared" si="70"/>
        <v>7223.9</v>
      </c>
      <c r="Y502" s="31">
        <v>260</v>
      </c>
      <c r="Z502" s="31">
        <f t="shared" si="71"/>
        <v>12953.2</v>
      </c>
      <c r="AA502" s="29">
        <f t="shared" si="72"/>
        <v>47329</v>
      </c>
    </row>
    <row r="503" spans="1:27" s="32" customFormat="1" x14ac:dyDescent="0.25">
      <c r="A503" s="18">
        <v>507</v>
      </c>
      <c r="B503" s="19">
        <v>46033</v>
      </c>
      <c r="C503" s="19">
        <v>46034</v>
      </c>
      <c r="D503" s="70">
        <v>260112003</v>
      </c>
      <c r="E503" s="21" t="s">
        <v>971</v>
      </c>
      <c r="F503" s="21" t="s">
        <v>972</v>
      </c>
      <c r="G503" s="21">
        <v>43</v>
      </c>
      <c r="H503" s="44">
        <v>115</v>
      </c>
      <c r="I503" s="23" t="s">
        <v>33</v>
      </c>
      <c r="J503" s="24" t="s">
        <v>23</v>
      </c>
      <c r="K503" s="35" t="s">
        <v>31</v>
      </c>
      <c r="L503" s="25" t="s">
        <v>117</v>
      </c>
      <c r="M503" s="21" t="s">
        <v>32</v>
      </c>
      <c r="N503" s="37">
        <v>59</v>
      </c>
      <c r="O503" s="37">
        <v>15.62</v>
      </c>
      <c r="P503" s="26">
        <f t="shared" si="73"/>
        <v>43.38</v>
      </c>
      <c r="Q503" s="27">
        <v>315</v>
      </c>
      <c r="R503" s="28">
        <f t="shared" si="74"/>
        <v>13664.7</v>
      </c>
      <c r="S503" s="27"/>
      <c r="T503" s="29"/>
      <c r="V503" s="29" t="s">
        <v>24</v>
      </c>
      <c r="W503" s="27">
        <v>145</v>
      </c>
      <c r="X503" s="30">
        <f t="shared" si="70"/>
        <v>6290.1</v>
      </c>
      <c r="Y503" s="31">
        <v>260</v>
      </c>
      <c r="Z503" s="31">
        <f t="shared" si="71"/>
        <v>11278.800000000001</v>
      </c>
      <c r="AA503" s="29">
        <f t="shared" si="72"/>
        <v>31233.600000000006</v>
      </c>
    </row>
    <row r="504" spans="1:27" s="38" customFormat="1" x14ac:dyDescent="0.25">
      <c r="A504" s="18">
        <v>508</v>
      </c>
      <c r="B504" s="19">
        <v>46033</v>
      </c>
      <c r="C504" s="19">
        <v>46034</v>
      </c>
      <c r="D504" s="70">
        <v>260112004</v>
      </c>
      <c r="E504" s="21"/>
      <c r="F504" s="21" t="s">
        <v>973</v>
      </c>
      <c r="G504" s="21">
        <v>40</v>
      </c>
      <c r="H504" s="33">
        <v>285</v>
      </c>
      <c r="I504" s="73" t="s">
        <v>703</v>
      </c>
      <c r="J504" s="24" t="s">
        <v>23</v>
      </c>
      <c r="K504" s="23" t="s">
        <v>31</v>
      </c>
      <c r="L504" s="43" t="s">
        <v>53</v>
      </c>
      <c r="M504" s="21" t="s">
        <v>49</v>
      </c>
      <c r="N504" s="37">
        <v>52</v>
      </c>
      <c r="O504" s="37">
        <v>11.34</v>
      </c>
      <c r="P504" s="26">
        <f t="shared" si="73"/>
        <v>40.659999999999997</v>
      </c>
      <c r="Q504" s="27">
        <v>220</v>
      </c>
      <c r="R504" s="28">
        <f t="shared" si="74"/>
        <v>8945.1999999999989</v>
      </c>
      <c r="S504" s="21"/>
      <c r="T504" s="29"/>
      <c r="V504" s="29" t="s">
        <v>45</v>
      </c>
      <c r="W504" s="27"/>
      <c r="X504" s="30">
        <f t="shared" si="70"/>
        <v>0</v>
      </c>
      <c r="Y504" s="31"/>
      <c r="Z504" s="31">
        <f t="shared" si="71"/>
        <v>0</v>
      </c>
      <c r="AA504" s="29">
        <f t="shared" si="72"/>
        <v>8945.1999999999989</v>
      </c>
    </row>
    <row r="505" spans="1:27" s="32" customFormat="1" x14ac:dyDescent="0.25">
      <c r="A505" s="18">
        <v>509</v>
      </c>
      <c r="B505" s="19">
        <v>46033</v>
      </c>
      <c r="C505" s="19">
        <v>46034</v>
      </c>
      <c r="D505" s="70">
        <v>260112005</v>
      </c>
      <c r="E505" s="21" t="s">
        <v>974</v>
      </c>
      <c r="F505" s="21" t="s">
        <v>975</v>
      </c>
      <c r="G505" s="21">
        <v>43</v>
      </c>
      <c r="H505" s="48">
        <v>53</v>
      </c>
      <c r="I505" s="52" t="s">
        <v>57</v>
      </c>
      <c r="J505" s="49" t="s">
        <v>23</v>
      </c>
      <c r="K505" s="23" t="s">
        <v>31</v>
      </c>
      <c r="L505" s="25" t="s">
        <v>37</v>
      </c>
      <c r="M505" s="21" t="s">
        <v>63</v>
      </c>
      <c r="N505" s="37">
        <v>59.56</v>
      </c>
      <c r="O505" s="37">
        <v>15.7</v>
      </c>
      <c r="P505" s="26">
        <f t="shared" si="73"/>
        <v>43.86</v>
      </c>
      <c r="Q505" s="27">
        <v>425</v>
      </c>
      <c r="R505" s="28">
        <f t="shared" si="74"/>
        <v>18640.5</v>
      </c>
      <c r="S505" s="27"/>
      <c r="T505" s="29"/>
      <c r="V505" s="29" t="s">
        <v>24</v>
      </c>
      <c r="W505" s="27">
        <v>145</v>
      </c>
      <c r="X505" s="30">
        <f t="shared" si="70"/>
        <v>6359.7</v>
      </c>
      <c r="Y505" s="31">
        <v>210</v>
      </c>
      <c r="Z505" s="31">
        <f t="shared" si="71"/>
        <v>9210.6</v>
      </c>
      <c r="AA505" s="29">
        <f t="shared" si="72"/>
        <v>34210.800000000003</v>
      </c>
    </row>
    <row r="506" spans="1:27" s="32" customFormat="1" x14ac:dyDescent="0.25">
      <c r="A506" s="18">
        <v>510</v>
      </c>
      <c r="B506" s="19">
        <v>46033</v>
      </c>
      <c r="C506" s="19">
        <v>46034</v>
      </c>
      <c r="D506" s="70">
        <v>260112006</v>
      </c>
      <c r="E506" s="21" t="s">
        <v>976</v>
      </c>
      <c r="F506" s="21" t="s">
        <v>977</v>
      </c>
      <c r="G506" s="21">
        <v>48</v>
      </c>
      <c r="H506" s="48">
        <v>53</v>
      </c>
      <c r="I506" s="52" t="s">
        <v>57</v>
      </c>
      <c r="J506" s="49" t="s">
        <v>23</v>
      </c>
      <c r="K506" s="23" t="s">
        <v>31</v>
      </c>
      <c r="L506" s="25" t="s">
        <v>58</v>
      </c>
      <c r="M506" s="21" t="s">
        <v>63</v>
      </c>
      <c r="N506" s="37">
        <v>64.400000000000006</v>
      </c>
      <c r="O506" s="37">
        <v>15.52</v>
      </c>
      <c r="P506" s="26">
        <f t="shared" si="73"/>
        <v>48.88000000000001</v>
      </c>
      <c r="Q506" s="27">
        <v>425</v>
      </c>
      <c r="R506" s="28">
        <f t="shared" si="74"/>
        <v>20774.000000000004</v>
      </c>
      <c r="S506" s="27"/>
      <c r="T506" s="29"/>
      <c r="V506" s="29" t="s">
        <v>24</v>
      </c>
      <c r="W506" s="27">
        <v>145</v>
      </c>
      <c r="X506" s="30">
        <f t="shared" si="70"/>
        <v>7087.6000000000013</v>
      </c>
      <c r="Y506" s="31">
        <v>210</v>
      </c>
      <c r="Z506" s="31">
        <f t="shared" si="71"/>
        <v>10264.800000000003</v>
      </c>
      <c r="AA506" s="29">
        <f t="shared" si="72"/>
        <v>38126.400000000009</v>
      </c>
    </row>
    <row r="507" spans="1:27" s="32" customFormat="1" x14ac:dyDescent="0.25">
      <c r="A507" s="18">
        <v>511</v>
      </c>
      <c r="B507" s="19">
        <v>46033</v>
      </c>
      <c r="C507" s="19">
        <v>46034</v>
      </c>
      <c r="D507" s="70">
        <v>260112007</v>
      </c>
      <c r="E507" s="21" t="s">
        <v>978</v>
      </c>
      <c r="F507" s="21" t="s">
        <v>979</v>
      </c>
      <c r="G507" s="21">
        <v>47</v>
      </c>
      <c r="H507" s="48">
        <v>53</v>
      </c>
      <c r="I507" s="52" t="s">
        <v>57</v>
      </c>
      <c r="J507" s="49" t="s">
        <v>23</v>
      </c>
      <c r="K507" s="23" t="s">
        <v>31</v>
      </c>
      <c r="L507" s="25" t="s">
        <v>50</v>
      </c>
      <c r="M507" s="21" t="s">
        <v>63</v>
      </c>
      <c r="N507" s="37">
        <v>64.3</v>
      </c>
      <c r="O507" s="37">
        <v>16.66</v>
      </c>
      <c r="P507" s="26">
        <f t="shared" si="73"/>
        <v>47.64</v>
      </c>
      <c r="Q507" s="27">
        <v>425</v>
      </c>
      <c r="R507" s="28">
        <f t="shared" si="74"/>
        <v>20247</v>
      </c>
      <c r="S507" s="27"/>
      <c r="T507" s="29"/>
      <c r="V507" s="29" t="s">
        <v>24</v>
      </c>
      <c r="W507" s="27">
        <v>145</v>
      </c>
      <c r="X507" s="30">
        <f t="shared" si="70"/>
        <v>6907.8</v>
      </c>
      <c r="Y507" s="31">
        <v>210</v>
      </c>
      <c r="Z507" s="31">
        <f t="shared" si="71"/>
        <v>10004.4</v>
      </c>
      <c r="AA507" s="29">
        <f t="shared" si="72"/>
        <v>37159.199999999997</v>
      </c>
    </row>
    <row r="508" spans="1:27" s="32" customFormat="1" x14ac:dyDescent="0.25">
      <c r="A508" s="18">
        <v>512</v>
      </c>
      <c r="B508" s="19">
        <v>46033</v>
      </c>
      <c r="C508" s="19">
        <v>46034</v>
      </c>
      <c r="D508" s="70">
        <v>260112008</v>
      </c>
      <c r="E508" s="21" t="s">
        <v>980</v>
      </c>
      <c r="F508" s="21" t="s">
        <v>981</v>
      </c>
      <c r="G508" s="21">
        <v>49</v>
      </c>
      <c r="H508" s="48">
        <v>53</v>
      </c>
      <c r="I508" s="52" t="s">
        <v>57</v>
      </c>
      <c r="J508" s="49" t="s">
        <v>23</v>
      </c>
      <c r="K508" s="23" t="s">
        <v>31</v>
      </c>
      <c r="L508" s="25" t="s">
        <v>55</v>
      </c>
      <c r="M508" s="21" t="s">
        <v>63</v>
      </c>
      <c r="N508" s="37">
        <v>67.22</v>
      </c>
      <c r="O508" s="37">
        <v>18.12</v>
      </c>
      <c r="P508" s="26">
        <f t="shared" si="73"/>
        <v>49.099999999999994</v>
      </c>
      <c r="Q508" s="27">
        <v>425</v>
      </c>
      <c r="R508" s="28">
        <f t="shared" si="74"/>
        <v>20867.499999999996</v>
      </c>
      <c r="S508" s="27"/>
      <c r="T508" s="29"/>
      <c r="V508" s="29" t="s">
        <v>24</v>
      </c>
      <c r="W508" s="27">
        <v>145</v>
      </c>
      <c r="X508" s="30">
        <f t="shared" si="70"/>
        <v>7119.4999999999991</v>
      </c>
      <c r="Y508" s="31">
        <v>210</v>
      </c>
      <c r="Z508" s="31">
        <f t="shared" si="71"/>
        <v>10310.999999999998</v>
      </c>
      <c r="AA508" s="29">
        <f t="shared" si="72"/>
        <v>38297.999999999993</v>
      </c>
    </row>
    <row r="509" spans="1:27" s="32" customFormat="1" x14ac:dyDescent="0.25">
      <c r="A509" s="18">
        <v>513</v>
      </c>
      <c r="B509" s="19">
        <v>46033</v>
      </c>
      <c r="C509" s="19">
        <v>46034</v>
      </c>
      <c r="D509" s="70">
        <v>260112009</v>
      </c>
      <c r="E509" s="21" t="s">
        <v>982</v>
      </c>
      <c r="F509" s="21" t="s">
        <v>983</v>
      </c>
      <c r="G509" s="21">
        <v>43</v>
      </c>
      <c r="H509" s="48">
        <v>53</v>
      </c>
      <c r="I509" s="52" t="s">
        <v>57</v>
      </c>
      <c r="J509" s="49" t="s">
        <v>23</v>
      </c>
      <c r="K509" s="23" t="s">
        <v>31</v>
      </c>
      <c r="L509" s="21" t="s">
        <v>534</v>
      </c>
      <c r="M509" s="21" t="s">
        <v>63</v>
      </c>
      <c r="N509" s="37">
        <v>59.8</v>
      </c>
      <c r="O509" s="37">
        <v>15.92</v>
      </c>
      <c r="P509" s="26">
        <f t="shared" si="73"/>
        <v>43.879999999999995</v>
      </c>
      <c r="Q509" s="27">
        <v>425</v>
      </c>
      <c r="R509" s="28">
        <f t="shared" si="74"/>
        <v>18648.999999999996</v>
      </c>
      <c r="S509" s="27"/>
      <c r="T509" s="29"/>
      <c r="V509" s="29" t="s">
        <v>24</v>
      </c>
      <c r="W509" s="27">
        <v>145</v>
      </c>
      <c r="X509" s="30">
        <f t="shared" si="70"/>
        <v>6362.5999999999995</v>
      </c>
      <c r="Y509" s="31">
        <v>210</v>
      </c>
      <c r="Z509" s="31">
        <f t="shared" si="71"/>
        <v>9214.7999999999993</v>
      </c>
      <c r="AA509" s="29">
        <f t="shared" si="72"/>
        <v>34226.399999999994</v>
      </c>
    </row>
    <row r="510" spans="1:27" s="38" customFormat="1" x14ac:dyDescent="0.25">
      <c r="A510" s="18">
        <v>514</v>
      </c>
      <c r="B510" s="19">
        <v>46033</v>
      </c>
      <c r="C510" s="19">
        <v>46034</v>
      </c>
      <c r="D510" s="70">
        <v>260112010</v>
      </c>
      <c r="E510" s="21" t="s">
        <v>984</v>
      </c>
      <c r="F510" s="21" t="s">
        <v>985</v>
      </c>
      <c r="G510" s="21">
        <v>38</v>
      </c>
      <c r="H510" s="48">
        <v>53</v>
      </c>
      <c r="I510" s="52" t="s">
        <v>57</v>
      </c>
      <c r="J510" s="49" t="s">
        <v>23</v>
      </c>
      <c r="K510" s="23" t="s">
        <v>31</v>
      </c>
      <c r="L510" s="21" t="s">
        <v>173</v>
      </c>
      <c r="M510" s="21" t="s">
        <v>49</v>
      </c>
      <c r="N510" s="37">
        <v>49.76</v>
      </c>
      <c r="O510" s="37">
        <v>11.6</v>
      </c>
      <c r="P510" s="26">
        <f t="shared" si="73"/>
        <v>38.159999999999997</v>
      </c>
      <c r="Q510" s="27">
        <v>245</v>
      </c>
      <c r="R510" s="28">
        <f t="shared" si="74"/>
        <v>9349.1999999999989</v>
      </c>
      <c r="S510" s="27"/>
      <c r="T510" s="29"/>
      <c r="V510" s="29" t="s">
        <v>24</v>
      </c>
      <c r="W510" s="27">
        <v>145</v>
      </c>
      <c r="X510" s="30">
        <f t="shared" si="70"/>
        <v>5533.2</v>
      </c>
      <c r="Y510" s="31">
        <v>210</v>
      </c>
      <c r="Z510" s="31">
        <f t="shared" si="71"/>
        <v>8013.5999999999995</v>
      </c>
      <c r="AA510" s="29">
        <f t="shared" si="72"/>
        <v>22895.999999999996</v>
      </c>
    </row>
    <row r="511" spans="1:27" s="32" customFormat="1" x14ac:dyDescent="0.25">
      <c r="A511" s="18">
        <v>515</v>
      </c>
      <c r="B511" s="19">
        <v>46033</v>
      </c>
      <c r="C511" s="19">
        <v>46034</v>
      </c>
      <c r="D511" s="70">
        <v>260112011</v>
      </c>
      <c r="E511" s="21" t="s">
        <v>986</v>
      </c>
      <c r="F511" s="21" t="s">
        <v>987</v>
      </c>
      <c r="G511" s="21">
        <v>43</v>
      </c>
      <c r="H511" s="48">
        <v>53</v>
      </c>
      <c r="I511" s="52" t="s">
        <v>57</v>
      </c>
      <c r="J511" s="49" t="s">
        <v>23</v>
      </c>
      <c r="K511" s="23" t="s">
        <v>31</v>
      </c>
      <c r="L511" s="21" t="s">
        <v>67</v>
      </c>
      <c r="M511" s="21" t="s">
        <v>49</v>
      </c>
      <c r="N511" s="37">
        <v>57.02</v>
      </c>
      <c r="O511" s="37">
        <v>13.34</v>
      </c>
      <c r="P511" s="26">
        <f t="shared" si="73"/>
        <v>43.680000000000007</v>
      </c>
      <c r="Q511" s="27">
        <v>245</v>
      </c>
      <c r="R511" s="28">
        <f t="shared" si="74"/>
        <v>10701.600000000002</v>
      </c>
      <c r="S511" s="27"/>
      <c r="T511" s="29"/>
      <c r="V511" s="29" t="s">
        <v>24</v>
      </c>
      <c r="W511" s="27">
        <v>145</v>
      </c>
      <c r="X511" s="30">
        <f t="shared" si="70"/>
        <v>6333.6000000000013</v>
      </c>
      <c r="Y511" s="31">
        <v>210</v>
      </c>
      <c r="Z511" s="31">
        <f t="shared" si="71"/>
        <v>9172.8000000000011</v>
      </c>
      <c r="AA511" s="29">
        <f t="shared" si="72"/>
        <v>26208.000000000007</v>
      </c>
    </row>
    <row r="512" spans="1:27" s="32" customFormat="1" x14ac:dyDescent="0.25">
      <c r="A512" s="18">
        <v>516</v>
      </c>
      <c r="B512" s="19">
        <v>46033</v>
      </c>
      <c r="C512" s="19">
        <v>46034</v>
      </c>
      <c r="D512" s="70">
        <v>260112012</v>
      </c>
      <c r="E512" s="21" t="s">
        <v>988</v>
      </c>
      <c r="F512" s="21" t="s">
        <v>989</v>
      </c>
      <c r="G512" s="21">
        <v>46</v>
      </c>
      <c r="H512" s="48">
        <v>53</v>
      </c>
      <c r="I512" s="52" t="s">
        <v>57</v>
      </c>
      <c r="J512" s="49" t="s">
        <v>23</v>
      </c>
      <c r="K512" s="23" t="s">
        <v>31</v>
      </c>
      <c r="L512" s="25" t="s">
        <v>59</v>
      </c>
      <c r="M512" s="21" t="s">
        <v>63</v>
      </c>
      <c r="N512" s="37">
        <v>62.96</v>
      </c>
      <c r="O512" s="37">
        <v>16.3</v>
      </c>
      <c r="P512" s="26">
        <f t="shared" si="73"/>
        <v>46.66</v>
      </c>
      <c r="Q512" s="27">
        <v>425</v>
      </c>
      <c r="R512" s="28">
        <f t="shared" si="74"/>
        <v>19830.5</v>
      </c>
      <c r="S512" s="27"/>
      <c r="T512" s="29"/>
      <c r="V512" s="29" t="s">
        <v>24</v>
      </c>
      <c r="W512" s="27">
        <v>145</v>
      </c>
      <c r="X512" s="30">
        <f t="shared" si="70"/>
        <v>6765.7</v>
      </c>
      <c r="Y512" s="31">
        <v>210</v>
      </c>
      <c r="Z512" s="31">
        <f t="shared" si="71"/>
        <v>9798.5999999999985</v>
      </c>
      <c r="AA512" s="29">
        <f t="shared" si="72"/>
        <v>36394.800000000003</v>
      </c>
    </row>
    <row r="513" spans="1:27" s="32" customFormat="1" x14ac:dyDescent="0.25">
      <c r="A513" s="18">
        <v>517</v>
      </c>
      <c r="B513" s="19">
        <v>46033</v>
      </c>
      <c r="C513" s="19">
        <v>46034</v>
      </c>
      <c r="D513" s="70">
        <v>260112013</v>
      </c>
      <c r="E513" s="21" t="s">
        <v>990</v>
      </c>
      <c r="F513" s="21" t="s">
        <v>991</v>
      </c>
      <c r="G513" s="21">
        <v>46</v>
      </c>
      <c r="H513" s="48">
        <v>53</v>
      </c>
      <c r="I513" s="52" t="s">
        <v>57</v>
      </c>
      <c r="J513" s="49" t="s">
        <v>23</v>
      </c>
      <c r="K513" s="23" t="s">
        <v>31</v>
      </c>
      <c r="L513" s="25" t="s">
        <v>38</v>
      </c>
      <c r="M513" s="21" t="s">
        <v>63</v>
      </c>
      <c r="N513" s="37">
        <v>61.42</v>
      </c>
      <c r="O513" s="37">
        <v>15</v>
      </c>
      <c r="P513" s="26">
        <f t="shared" si="73"/>
        <v>46.42</v>
      </c>
      <c r="Q513" s="27">
        <v>425</v>
      </c>
      <c r="R513" s="28">
        <f t="shared" si="74"/>
        <v>19728.5</v>
      </c>
      <c r="S513" s="27"/>
      <c r="T513" s="29"/>
      <c r="V513" s="29" t="s">
        <v>24</v>
      </c>
      <c r="W513" s="27">
        <v>145</v>
      </c>
      <c r="X513" s="30">
        <f t="shared" si="70"/>
        <v>6730.9000000000005</v>
      </c>
      <c r="Y513" s="31">
        <v>210</v>
      </c>
      <c r="Z513" s="31">
        <f t="shared" si="71"/>
        <v>9748.2000000000007</v>
      </c>
      <c r="AA513" s="29">
        <f t="shared" si="72"/>
        <v>36207.600000000006</v>
      </c>
    </row>
    <row r="514" spans="1:27" s="32" customFormat="1" x14ac:dyDescent="0.25">
      <c r="A514" s="18">
        <v>518</v>
      </c>
      <c r="B514" s="19">
        <v>46033</v>
      </c>
      <c r="C514" s="19">
        <v>46034</v>
      </c>
      <c r="D514" s="70">
        <v>260112014</v>
      </c>
      <c r="E514" s="21" t="s">
        <v>992</v>
      </c>
      <c r="F514" s="21" t="s">
        <v>993</v>
      </c>
      <c r="G514" s="21">
        <v>38</v>
      </c>
      <c r="H514" s="48">
        <v>53</v>
      </c>
      <c r="I514" s="52" t="s">
        <v>57</v>
      </c>
      <c r="J514" s="49" t="s">
        <v>23</v>
      </c>
      <c r="K514" s="23" t="s">
        <v>31</v>
      </c>
      <c r="L514" s="21" t="s">
        <v>51</v>
      </c>
      <c r="M514" s="21" t="s">
        <v>49</v>
      </c>
      <c r="N514" s="37">
        <v>49.54</v>
      </c>
      <c r="O514" s="21">
        <v>11.32</v>
      </c>
      <c r="P514" s="26">
        <f t="shared" si="73"/>
        <v>38.22</v>
      </c>
      <c r="Q514" s="27">
        <v>245</v>
      </c>
      <c r="R514" s="28">
        <f t="shared" si="74"/>
        <v>9363.9</v>
      </c>
      <c r="S514" s="27"/>
      <c r="T514" s="29"/>
      <c r="V514" s="29" t="s">
        <v>24</v>
      </c>
      <c r="W514" s="27">
        <v>145</v>
      </c>
      <c r="X514" s="30">
        <f t="shared" si="70"/>
        <v>5541.9</v>
      </c>
      <c r="Y514" s="31">
        <v>210</v>
      </c>
      <c r="Z514" s="31">
        <f t="shared" si="71"/>
        <v>8026.2</v>
      </c>
      <c r="AA514" s="29">
        <f t="shared" si="72"/>
        <v>22932</v>
      </c>
    </row>
    <row r="515" spans="1:27" s="38" customFormat="1" x14ac:dyDescent="0.25">
      <c r="A515" s="18">
        <v>519</v>
      </c>
      <c r="B515" s="19">
        <v>46033</v>
      </c>
      <c r="C515" s="19">
        <v>46034</v>
      </c>
      <c r="D515" s="70">
        <v>260112015</v>
      </c>
      <c r="E515" s="21" t="s">
        <v>994</v>
      </c>
      <c r="F515" s="21" t="s">
        <v>995</v>
      </c>
      <c r="G515" s="21">
        <v>37</v>
      </c>
      <c r="H515" s="48">
        <v>53</v>
      </c>
      <c r="I515" s="52" t="s">
        <v>57</v>
      </c>
      <c r="J515" s="49" t="s">
        <v>23</v>
      </c>
      <c r="K515" s="23" t="s">
        <v>31</v>
      </c>
      <c r="L515" s="21" t="s">
        <v>39</v>
      </c>
      <c r="M515" s="21" t="s">
        <v>49</v>
      </c>
      <c r="N515" s="37">
        <v>49.28</v>
      </c>
      <c r="O515" s="37">
        <v>11.7</v>
      </c>
      <c r="P515" s="26">
        <f t="shared" si="73"/>
        <v>37.58</v>
      </c>
      <c r="Q515" s="27">
        <v>245</v>
      </c>
      <c r="R515" s="28">
        <f t="shared" si="74"/>
        <v>9207.1</v>
      </c>
      <c r="S515" s="27"/>
      <c r="T515" s="29"/>
      <c r="V515" s="29" t="s">
        <v>24</v>
      </c>
      <c r="W515" s="27">
        <v>145</v>
      </c>
      <c r="X515" s="30">
        <f t="shared" si="70"/>
        <v>5449.0999999999995</v>
      </c>
      <c r="Y515" s="31">
        <v>210</v>
      </c>
      <c r="Z515" s="31">
        <f t="shared" si="71"/>
        <v>7891.7999999999993</v>
      </c>
      <c r="AA515" s="29">
        <f t="shared" si="72"/>
        <v>22548</v>
      </c>
    </row>
    <row r="516" spans="1:27" s="32" customFormat="1" x14ac:dyDescent="0.25">
      <c r="A516" s="18">
        <v>520</v>
      </c>
      <c r="B516" s="19">
        <v>46033</v>
      </c>
      <c r="C516" s="19">
        <v>46034</v>
      </c>
      <c r="D516" s="70">
        <v>260112016</v>
      </c>
      <c r="E516" s="21" t="s">
        <v>996</v>
      </c>
      <c r="F516" s="21" t="s">
        <v>997</v>
      </c>
      <c r="G516" s="21">
        <v>40</v>
      </c>
      <c r="H516" s="48">
        <v>42</v>
      </c>
      <c r="I516" s="23" t="s">
        <v>44</v>
      </c>
      <c r="J516" s="49" t="s">
        <v>23</v>
      </c>
      <c r="K516" s="23" t="s">
        <v>31</v>
      </c>
      <c r="L516" s="21" t="s">
        <v>40</v>
      </c>
      <c r="M516" s="21" t="s">
        <v>35</v>
      </c>
      <c r="N516" s="37">
        <v>52.28</v>
      </c>
      <c r="O516" s="21">
        <v>11.52</v>
      </c>
      <c r="P516" s="26">
        <f t="shared" si="73"/>
        <v>40.760000000000005</v>
      </c>
      <c r="Q516" s="27">
        <v>470</v>
      </c>
      <c r="R516" s="28">
        <f t="shared" si="74"/>
        <v>19157.2</v>
      </c>
      <c r="S516" s="27"/>
      <c r="V516" s="29" t="s">
        <v>24</v>
      </c>
      <c r="W516" s="27">
        <v>145</v>
      </c>
      <c r="X516" s="30">
        <f t="shared" si="70"/>
        <v>5910.2000000000007</v>
      </c>
      <c r="Y516" s="31">
        <v>260</v>
      </c>
      <c r="Z516" s="31">
        <f t="shared" si="71"/>
        <v>10597.600000000002</v>
      </c>
      <c r="AA516" s="29">
        <f t="shared" si="72"/>
        <v>35665</v>
      </c>
    </row>
    <row r="517" spans="1:27" s="32" customFormat="1" x14ac:dyDescent="0.25">
      <c r="A517" s="18">
        <v>521</v>
      </c>
      <c r="B517" s="19">
        <v>46033</v>
      </c>
      <c r="C517" s="19">
        <v>46034</v>
      </c>
      <c r="D517" s="70">
        <v>260112017</v>
      </c>
      <c r="E517" s="21" t="s">
        <v>998</v>
      </c>
      <c r="F517" s="21" t="s">
        <v>999</v>
      </c>
      <c r="G517" s="21">
        <v>36</v>
      </c>
      <c r="H517" s="48">
        <v>42</v>
      </c>
      <c r="I517" s="23" t="s">
        <v>44</v>
      </c>
      <c r="J517" s="49" t="s">
        <v>23</v>
      </c>
      <c r="K517" s="23" t="s">
        <v>31</v>
      </c>
      <c r="L517" s="21" t="s">
        <v>124</v>
      </c>
      <c r="M517" s="21" t="s">
        <v>32</v>
      </c>
      <c r="N517" s="21">
        <v>49.4</v>
      </c>
      <c r="O517" s="37">
        <v>12.74</v>
      </c>
      <c r="P517" s="26">
        <f t="shared" si="73"/>
        <v>36.659999999999997</v>
      </c>
      <c r="Q517" s="27">
        <v>285</v>
      </c>
      <c r="R517" s="28">
        <f t="shared" si="74"/>
        <v>10448.099999999999</v>
      </c>
      <c r="S517" s="27"/>
      <c r="T517" s="29"/>
      <c r="V517" s="29" t="s">
        <v>24</v>
      </c>
      <c r="W517" s="27">
        <v>145</v>
      </c>
      <c r="X517" s="30">
        <f t="shared" ref="X517:X525" si="75">P517*W517</f>
        <v>5315.7</v>
      </c>
      <c r="Y517" s="31">
        <v>260</v>
      </c>
      <c r="Z517" s="31">
        <f t="shared" ref="Z517:Z525" si="76">P517*Y517</f>
        <v>9531.5999999999985</v>
      </c>
      <c r="AA517" s="29">
        <f t="shared" ref="AA517:AA525" si="77">R517+X517+Z517</f>
        <v>25295.399999999998</v>
      </c>
    </row>
    <row r="518" spans="1:27" s="32" customFormat="1" x14ac:dyDescent="0.25">
      <c r="A518" s="18">
        <v>522</v>
      </c>
      <c r="B518" s="19">
        <v>46033</v>
      </c>
      <c r="C518" s="19">
        <v>46034</v>
      </c>
      <c r="D518" s="70">
        <v>260112018</v>
      </c>
      <c r="E518" s="21" t="s">
        <v>1000</v>
      </c>
      <c r="F518" s="21" t="s">
        <v>1001</v>
      </c>
      <c r="G518" s="21">
        <v>46</v>
      </c>
      <c r="H518" s="48">
        <v>42</v>
      </c>
      <c r="I518" s="23" t="s">
        <v>44</v>
      </c>
      <c r="J518" s="49" t="s">
        <v>23</v>
      </c>
      <c r="K518" s="23" t="s">
        <v>31</v>
      </c>
      <c r="L518" s="21" t="s">
        <v>401</v>
      </c>
      <c r="M518" s="21" t="s">
        <v>34</v>
      </c>
      <c r="N518" s="21">
        <v>64</v>
      </c>
      <c r="O518" s="21">
        <v>17.46</v>
      </c>
      <c r="P518" s="26">
        <f t="shared" si="73"/>
        <v>46.54</v>
      </c>
      <c r="Q518" s="27">
        <v>525</v>
      </c>
      <c r="R518" s="28">
        <f t="shared" si="74"/>
        <v>24433.5</v>
      </c>
      <c r="S518" s="27"/>
      <c r="T518" s="29"/>
      <c r="V518" s="29" t="s">
        <v>24</v>
      </c>
      <c r="W518" s="27">
        <v>145</v>
      </c>
      <c r="X518" s="30">
        <f t="shared" si="75"/>
        <v>6748.3</v>
      </c>
      <c r="Y518" s="31">
        <v>260</v>
      </c>
      <c r="Z518" s="31">
        <f t="shared" si="76"/>
        <v>12100.4</v>
      </c>
      <c r="AA518" s="29">
        <f t="shared" si="77"/>
        <v>43282.2</v>
      </c>
    </row>
    <row r="519" spans="1:27" s="32" customFormat="1" x14ac:dyDescent="0.25">
      <c r="A519" s="18">
        <v>523</v>
      </c>
      <c r="B519" s="19">
        <v>46033</v>
      </c>
      <c r="C519" s="19">
        <v>46034</v>
      </c>
      <c r="D519" s="70">
        <v>260112019</v>
      </c>
      <c r="E519" s="21" t="s">
        <v>1002</v>
      </c>
      <c r="F519" s="21" t="s">
        <v>1003</v>
      </c>
      <c r="G519" s="21">
        <v>40</v>
      </c>
      <c r="H519" s="48">
        <v>42</v>
      </c>
      <c r="I519" s="23" t="s">
        <v>44</v>
      </c>
      <c r="J519" s="49" t="s">
        <v>23</v>
      </c>
      <c r="K519" s="23" t="s">
        <v>31</v>
      </c>
      <c r="L519" s="43" t="s">
        <v>42</v>
      </c>
      <c r="M519" s="21" t="s">
        <v>35</v>
      </c>
      <c r="N519" s="21">
        <v>52.14</v>
      </c>
      <c r="O519" s="21">
        <v>11.74</v>
      </c>
      <c r="P519" s="26">
        <f t="shared" si="73"/>
        <v>40.4</v>
      </c>
      <c r="Q519" s="27">
        <v>470</v>
      </c>
      <c r="R519" s="28">
        <f t="shared" si="74"/>
        <v>18988</v>
      </c>
      <c r="S519" s="27"/>
      <c r="T519" s="29"/>
      <c r="V519" s="29" t="s">
        <v>24</v>
      </c>
      <c r="W519" s="27">
        <v>145</v>
      </c>
      <c r="X519" s="30">
        <f t="shared" si="75"/>
        <v>5858</v>
      </c>
      <c r="Y519" s="31">
        <v>260</v>
      </c>
      <c r="Z519" s="31">
        <f t="shared" si="76"/>
        <v>10504</v>
      </c>
      <c r="AA519" s="29">
        <f t="shared" si="77"/>
        <v>35350</v>
      </c>
    </row>
    <row r="520" spans="1:27" s="32" customFormat="1" x14ac:dyDescent="0.25">
      <c r="A520" s="18">
        <v>524</v>
      </c>
      <c r="B520" s="19">
        <v>46033</v>
      </c>
      <c r="C520" s="19">
        <v>46034</v>
      </c>
      <c r="D520" s="70">
        <v>260112020</v>
      </c>
      <c r="E520" s="21" t="s">
        <v>1004</v>
      </c>
      <c r="F520" s="21" t="s">
        <v>1005</v>
      </c>
      <c r="G520" s="21">
        <v>46</v>
      </c>
      <c r="H520" s="48">
        <v>53</v>
      </c>
      <c r="I520" s="52" t="s">
        <v>57</v>
      </c>
      <c r="J520" s="49" t="s">
        <v>23</v>
      </c>
      <c r="K520" s="23" t="s">
        <v>31</v>
      </c>
      <c r="L520" s="21" t="s">
        <v>46</v>
      </c>
      <c r="M520" s="21" t="s">
        <v>63</v>
      </c>
      <c r="N520" s="37">
        <v>61.34</v>
      </c>
      <c r="O520" s="37">
        <v>14.94</v>
      </c>
      <c r="P520" s="26">
        <f t="shared" si="73"/>
        <v>46.400000000000006</v>
      </c>
      <c r="Q520" s="27">
        <v>425</v>
      </c>
      <c r="R520" s="28">
        <f t="shared" si="74"/>
        <v>19720.000000000004</v>
      </c>
      <c r="S520" s="27"/>
      <c r="T520" s="29"/>
      <c r="V520" s="29" t="s">
        <v>24</v>
      </c>
      <c r="W520" s="27">
        <v>145</v>
      </c>
      <c r="X520" s="30">
        <f t="shared" si="75"/>
        <v>6728.0000000000009</v>
      </c>
      <c r="Y520" s="31">
        <v>210</v>
      </c>
      <c r="Z520" s="31">
        <f t="shared" si="76"/>
        <v>9744.0000000000018</v>
      </c>
      <c r="AA520" s="29">
        <f t="shared" si="77"/>
        <v>36192.000000000007</v>
      </c>
    </row>
    <row r="521" spans="1:27" s="32" customFormat="1" x14ac:dyDescent="0.25">
      <c r="A521" s="18">
        <v>525</v>
      </c>
      <c r="B521" s="19">
        <v>46033</v>
      </c>
      <c r="C521" s="19">
        <v>46034</v>
      </c>
      <c r="D521" s="70">
        <v>260112021</v>
      </c>
      <c r="E521" s="21"/>
      <c r="F521" s="21" t="s">
        <v>1006</v>
      </c>
      <c r="G521" s="21">
        <v>45</v>
      </c>
      <c r="H521" s="33">
        <v>285</v>
      </c>
      <c r="I521" s="73" t="s">
        <v>703</v>
      </c>
      <c r="J521" s="24" t="s">
        <v>23</v>
      </c>
      <c r="K521" s="23" t="s">
        <v>31</v>
      </c>
      <c r="L521" s="25" t="s">
        <v>36</v>
      </c>
      <c r="M521" s="21" t="s">
        <v>34</v>
      </c>
      <c r="N521" s="21">
        <v>61.48</v>
      </c>
      <c r="O521" s="21">
        <v>15.84</v>
      </c>
      <c r="P521" s="26">
        <f t="shared" si="73"/>
        <v>45.64</v>
      </c>
      <c r="Q521" s="27">
        <v>520</v>
      </c>
      <c r="R521" s="28">
        <f t="shared" si="74"/>
        <v>23732.799999999999</v>
      </c>
      <c r="S521" s="27"/>
      <c r="T521" s="29"/>
      <c r="V521" s="29" t="s">
        <v>24</v>
      </c>
      <c r="W521" s="27"/>
      <c r="X521" s="30">
        <f t="shared" si="75"/>
        <v>0</v>
      </c>
      <c r="Y521" s="31"/>
      <c r="Z521" s="31">
        <f t="shared" si="76"/>
        <v>0</v>
      </c>
      <c r="AA521" s="29">
        <f t="shared" si="77"/>
        <v>23732.799999999999</v>
      </c>
    </row>
    <row r="522" spans="1:27" s="32" customFormat="1" x14ac:dyDescent="0.25">
      <c r="A522" s="18">
        <v>526</v>
      </c>
      <c r="B522" s="19">
        <v>46033</v>
      </c>
      <c r="C522" s="19">
        <v>46034</v>
      </c>
      <c r="D522" s="70">
        <v>260112022</v>
      </c>
      <c r="E522" s="21" t="s">
        <v>1007</v>
      </c>
      <c r="F522" s="21" t="s">
        <v>1008</v>
      </c>
      <c r="G522" s="21">
        <v>42</v>
      </c>
      <c r="H522" s="36">
        <v>122</v>
      </c>
      <c r="I522" s="23" t="s">
        <v>342</v>
      </c>
      <c r="J522" s="24" t="s">
        <v>23</v>
      </c>
      <c r="K522" s="23" t="s">
        <v>31</v>
      </c>
      <c r="L522" s="25" t="s">
        <v>60</v>
      </c>
      <c r="M522" s="21" t="s">
        <v>343</v>
      </c>
      <c r="N522" s="21">
        <v>56.48</v>
      </c>
      <c r="O522" s="21">
        <v>14.16</v>
      </c>
      <c r="P522" s="26">
        <f t="shared" si="73"/>
        <v>42.319999999999993</v>
      </c>
      <c r="Q522" s="27">
        <v>395</v>
      </c>
      <c r="R522" s="28">
        <f t="shared" si="74"/>
        <v>16716.399999999998</v>
      </c>
      <c r="S522" s="27"/>
      <c r="T522" s="29"/>
      <c r="V522" s="29" t="s">
        <v>24</v>
      </c>
      <c r="W522" s="27">
        <v>145</v>
      </c>
      <c r="X522" s="30">
        <f t="shared" si="75"/>
        <v>6136.3999999999987</v>
      </c>
      <c r="Y522" s="31">
        <v>250</v>
      </c>
      <c r="Z522" s="31">
        <f t="shared" si="76"/>
        <v>10579.999999999998</v>
      </c>
      <c r="AA522" s="29">
        <f t="shared" si="77"/>
        <v>33432.799999999996</v>
      </c>
    </row>
    <row r="523" spans="1:27" s="32" customFormat="1" x14ac:dyDescent="0.25">
      <c r="A523" s="18">
        <v>527</v>
      </c>
      <c r="B523" s="19">
        <v>46033</v>
      </c>
      <c r="C523" s="19">
        <v>46034</v>
      </c>
      <c r="D523" s="70">
        <v>260112023</v>
      </c>
      <c r="E523" s="21" t="s">
        <v>1009</v>
      </c>
      <c r="F523" s="21" t="s">
        <v>1010</v>
      </c>
      <c r="G523" s="21">
        <v>43</v>
      </c>
      <c r="H523" s="36">
        <v>122</v>
      </c>
      <c r="I523" s="23" t="s">
        <v>342</v>
      </c>
      <c r="J523" s="24" t="s">
        <v>23</v>
      </c>
      <c r="K523" s="23" t="s">
        <v>31</v>
      </c>
      <c r="L523" s="21" t="s">
        <v>54</v>
      </c>
      <c r="M523" s="21" t="s">
        <v>343</v>
      </c>
      <c r="N523" s="37">
        <v>59.56</v>
      </c>
      <c r="O523" s="37">
        <v>15.86</v>
      </c>
      <c r="P523" s="26">
        <f t="shared" si="73"/>
        <v>43.7</v>
      </c>
      <c r="Q523" s="27">
        <v>395</v>
      </c>
      <c r="R523" s="28">
        <f t="shared" si="74"/>
        <v>17261.5</v>
      </c>
      <c r="S523" s="27"/>
      <c r="T523" s="29"/>
      <c r="V523" s="29" t="s">
        <v>24</v>
      </c>
      <c r="W523" s="27">
        <v>145</v>
      </c>
      <c r="X523" s="30">
        <f t="shared" si="75"/>
        <v>6336.5</v>
      </c>
      <c r="Y523" s="31">
        <v>250</v>
      </c>
      <c r="Z523" s="31">
        <f t="shared" si="76"/>
        <v>10925</v>
      </c>
      <c r="AA523" s="29">
        <f t="shared" si="77"/>
        <v>34523</v>
      </c>
    </row>
    <row r="524" spans="1:27" s="32" customFormat="1" x14ac:dyDescent="0.25">
      <c r="A524" s="18">
        <v>528</v>
      </c>
      <c r="B524" s="19">
        <v>46033</v>
      </c>
      <c r="C524" s="19">
        <v>46034</v>
      </c>
      <c r="D524" s="70">
        <v>260112024</v>
      </c>
      <c r="E524" s="21" t="s">
        <v>1011</v>
      </c>
      <c r="F524" s="21" t="s">
        <v>1012</v>
      </c>
      <c r="G524" s="21">
        <v>42</v>
      </c>
      <c r="H524" s="36">
        <v>122</v>
      </c>
      <c r="I524" s="23" t="s">
        <v>342</v>
      </c>
      <c r="J524" s="24" t="s">
        <v>23</v>
      </c>
      <c r="K524" s="23" t="s">
        <v>31</v>
      </c>
      <c r="L524" s="21" t="s">
        <v>61</v>
      </c>
      <c r="M524" s="21" t="s">
        <v>343</v>
      </c>
      <c r="N524" s="21">
        <v>58</v>
      </c>
      <c r="O524" s="21">
        <v>15.44</v>
      </c>
      <c r="P524" s="26">
        <f t="shared" si="73"/>
        <v>42.56</v>
      </c>
      <c r="Q524" s="27">
        <v>395</v>
      </c>
      <c r="R524" s="28">
        <f t="shared" si="74"/>
        <v>16811.2</v>
      </c>
      <c r="S524" s="21"/>
      <c r="T524" s="29"/>
      <c r="V524" s="29" t="s">
        <v>24</v>
      </c>
      <c r="W524" s="27">
        <v>145</v>
      </c>
      <c r="X524" s="30">
        <f t="shared" si="75"/>
        <v>6171.2000000000007</v>
      </c>
      <c r="Y524" s="31">
        <v>250</v>
      </c>
      <c r="Z524" s="31">
        <f t="shared" si="76"/>
        <v>10640</v>
      </c>
      <c r="AA524" s="29">
        <f t="shared" si="77"/>
        <v>33622.400000000001</v>
      </c>
    </row>
    <row r="525" spans="1:27" s="32" customFormat="1" x14ac:dyDescent="0.25">
      <c r="A525" s="18">
        <v>529</v>
      </c>
      <c r="B525" s="19">
        <v>46033</v>
      </c>
      <c r="C525" s="19">
        <v>46034</v>
      </c>
      <c r="D525" s="70">
        <v>260112025</v>
      </c>
      <c r="E525" s="21"/>
      <c r="F525" s="21" t="s">
        <v>1013</v>
      </c>
      <c r="G525" s="21">
        <v>34</v>
      </c>
      <c r="H525" s="33">
        <v>285</v>
      </c>
      <c r="I525" s="73" t="s">
        <v>703</v>
      </c>
      <c r="J525" s="24" t="s">
        <v>23</v>
      </c>
      <c r="K525" s="23" t="s">
        <v>31</v>
      </c>
      <c r="L525" s="21" t="s">
        <v>649</v>
      </c>
      <c r="M525" s="21" t="s">
        <v>34</v>
      </c>
      <c r="N525" s="21">
        <v>46.64</v>
      </c>
      <c r="O525" s="21">
        <v>12.36</v>
      </c>
      <c r="P525" s="26">
        <f t="shared" si="73"/>
        <v>34.28</v>
      </c>
      <c r="Q525" s="21">
        <v>520</v>
      </c>
      <c r="R525" s="28">
        <f t="shared" si="74"/>
        <v>17825.600000000002</v>
      </c>
      <c r="S525" s="21"/>
      <c r="T525" s="29"/>
      <c r="V525" s="29" t="s">
        <v>24</v>
      </c>
      <c r="W525" s="27"/>
      <c r="X525" s="30">
        <f t="shared" si="75"/>
        <v>0</v>
      </c>
      <c r="Y525" s="31"/>
      <c r="Z525" s="31">
        <f t="shared" si="76"/>
        <v>0</v>
      </c>
      <c r="AA525" s="29">
        <f t="shared" si="77"/>
        <v>17825.600000000002</v>
      </c>
    </row>
    <row r="526" spans="1:27" s="32" customFormat="1" x14ac:dyDescent="0.25">
      <c r="A526" s="18">
        <v>530</v>
      </c>
      <c r="B526" s="19">
        <v>45669</v>
      </c>
      <c r="C526" s="19">
        <v>45669</v>
      </c>
      <c r="D526" s="70">
        <v>260112026</v>
      </c>
      <c r="E526" s="21" t="s">
        <v>1014</v>
      </c>
      <c r="F526" s="21" t="s">
        <v>1015</v>
      </c>
      <c r="G526" s="21">
        <v>44</v>
      </c>
      <c r="H526" s="48">
        <v>53</v>
      </c>
      <c r="I526" s="52" t="s">
        <v>57</v>
      </c>
      <c r="J526" s="49" t="s">
        <v>23</v>
      </c>
      <c r="K526" s="23" t="s">
        <v>31</v>
      </c>
      <c r="L526" s="25" t="s">
        <v>140</v>
      </c>
      <c r="M526" s="21" t="s">
        <v>63</v>
      </c>
      <c r="N526" s="21">
        <v>62.4</v>
      </c>
      <c r="O526" s="21">
        <v>17.559999999999999</v>
      </c>
      <c r="P526" s="26">
        <f t="shared" si="73"/>
        <v>44.84</v>
      </c>
      <c r="Q526" s="27">
        <v>425</v>
      </c>
      <c r="R526" s="28">
        <f t="shared" si="74"/>
        <v>19057</v>
      </c>
      <c r="S526" s="27"/>
      <c r="T526" s="29"/>
      <c r="V526" s="29" t="s">
        <v>24</v>
      </c>
      <c r="W526" s="27">
        <v>145</v>
      </c>
      <c r="X526" s="30">
        <f t="shared" ref="X526:X564" si="78">P526*W526</f>
        <v>6501.8</v>
      </c>
      <c r="Y526" s="31">
        <v>210</v>
      </c>
      <c r="Z526" s="31">
        <f t="shared" ref="Z526:Z564" si="79">P526*Y526</f>
        <v>9416.4000000000015</v>
      </c>
      <c r="AA526" s="29">
        <f t="shared" ref="AA526:AA564" si="80">R526+X526+Z526</f>
        <v>34975.199999999997</v>
      </c>
    </row>
    <row r="527" spans="1:27" s="32" customFormat="1" x14ac:dyDescent="0.25">
      <c r="A527" s="18">
        <v>531</v>
      </c>
      <c r="B527" s="19">
        <v>45669</v>
      </c>
      <c r="C527" s="19">
        <v>45669</v>
      </c>
      <c r="D527" s="70">
        <v>260112027</v>
      </c>
      <c r="E527" s="21" t="s">
        <v>1016</v>
      </c>
      <c r="F527" s="21" t="s">
        <v>1017</v>
      </c>
      <c r="G527" s="21">
        <v>45</v>
      </c>
      <c r="H527" s="48">
        <v>53</v>
      </c>
      <c r="I527" s="52" t="s">
        <v>57</v>
      </c>
      <c r="J527" s="49" t="s">
        <v>23</v>
      </c>
      <c r="K527" s="23" t="s">
        <v>31</v>
      </c>
      <c r="L527" s="25" t="s">
        <v>462</v>
      </c>
      <c r="M527" s="21" t="s">
        <v>63</v>
      </c>
      <c r="N527" s="21">
        <v>61.52</v>
      </c>
      <c r="O527" s="21">
        <v>15.84</v>
      </c>
      <c r="P527" s="26">
        <f t="shared" si="73"/>
        <v>45.680000000000007</v>
      </c>
      <c r="Q527" s="27">
        <v>425</v>
      </c>
      <c r="R527" s="28">
        <f t="shared" si="74"/>
        <v>19414.000000000004</v>
      </c>
      <c r="S527" s="27"/>
      <c r="T527" s="29"/>
      <c r="V527" s="29" t="s">
        <v>24</v>
      </c>
      <c r="W527" s="27">
        <v>145</v>
      </c>
      <c r="X527" s="30">
        <f t="shared" si="78"/>
        <v>6623.6000000000013</v>
      </c>
      <c r="Y527" s="31">
        <v>210</v>
      </c>
      <c r="Z527" s="31">
        <f t="shared" si="79"/>
        <v>9592.8000000000011</v>
      </c>
      <c r="AA527" s="29">
        <f t="shared" si="80"/>
        <v>35630.400000000009</v>
      </c>
    </row>
    <row r="528" spans="1:27" s="32" customFormat="1" x14ac:dyDescent="0.25">
      <c r="A528" s="18">
        <v>532</v>
      </c>
      <c r="B528" s="19">
        <v>45669</v>
      </c>
      <c r="C528" s="19">
        <v>45669</v>
      </c>
      <c r="D528" s="70">
        <v>260112028</v>
      </c>
      <c r="E528" s="21" t="s">
        <v>1018</v>
      </c>
      <c r="F528" s="21" t="s">
        <v>1019</v>
      </c>
      <c r="G528" s="21">
        <v>45</v>
      </c>
      <c r="H528" s="48">
        <v>53</v>
      </c>
      <c r="I528" s="52" t="s">
        <v>57</v>
      </c>
      <c r="J528" s="49" t="s">
        <v>23</v>
      </c>
      <c r="K528" s="23" t="s">
        <v>31</v>
      </c>
      <c r="L528" s="46" t="s">
        <v>37</v>
      </c>
      <c r="M528" s="21" t="s">
        <v>34</v>
      </c>
      <c r="N528" s="21">
        <v>61.2</v>
      </c>
      <c r="O528" s="21">
        <v>15.64</v>
      </c>
      <c r="P528" s="26">
        <f t="shared" si="73"/>
        <v>45.56</v>
      </c>
      <c r="Q528" s="27">
        <v>530</v>
      </c>
      <c r="R528" s="28">
        <f t="shared" si="74"/>
        <v>24146.800000000003</v>
      </c>
      <c r="S528" s="27"/>
      <c r="T528" s="29"/>
      <c r="V528" s="29" t="s">
        <v>24</v>
      </c>
      <c r="W528" s="27">
        <v>145</v>
      </c>
      <c r="X528" s="30">
        <f t="shared" si="78"/>
        <v>6606.2000000000007</v>
      </c>
      <c r="Y528" s="31">
        <v>210</v>
      </c>
      <c r="Z528" s="31">
        <f t="shared" si="79"/>
        <v>9567.6</v>
      </c>
      <c r="AA528" s="29">
        <f t="shared" si="80"/>
        <v>40320.600000000006</v>
      </c>
    </row>
    <row r="529" spans="1:38" s="38" customFormat="1" x14ac:dyDescent="0.25">
      <c r="A529" s="18">
        <v>533</v>
      </c>
      <c r="B529" s="19">
        <v>45669</v>
      </c>
      <c r="C529" s="19">
        <v>45669</v>
      </c>
      <c r="D529" s="70">
        <v>260112029</v>
      </c>
      <c r="E529" s="21" t="s">
        <v>1020</v>
      </c>
      <c r="F529" s="21" t="s">
        <v>1021</v>
      </c>
      <c r="G529" s="21">
        <v>54</v>
      </c>
      <c r="H529" s="44">
        <v>115</v>
      </c>
      <c r="I529" s="23" t="s">
        <v>33</v>
      </c>
      <c r="J529" s="24" t="s">
        <v>23</v>
      </c>
      <c r="K529" s="35" t="s">
        <v>31</v>
      </c>
      <c r="L529" s="25" t="s">
        <v>206</v>
      </c>
      <c r="M529" s="21" t="s">
        <v>34</v>
      </c>
      <c r="N529" s="21">
        <v>71.8</v>
      </c>
      <c r="O529" s="37">
        <v>17.2</v>
      </c>
      <c r="P529" s="26">
        <f t="shared" si="73"/>
        <v>54.599999999999994</v>
      </c>
      <c r="Q529" s="27">
        <v>545</v>
      </c>
      <c r="R529" s="28">
        <f t="shared" si="74"/>
        <v>29756.999999999996</v>
      </c>
      <c r="S529" s="27"/>
      <c r="T529" s="29"/>
      <c r="V529" s="29" t="s">
        <v>24</v>
      </c>
      <c r="W529" s="27">
        <v>145</v>
      </c>
      <c r="X529" s="30">
        <f t="shared" si="78"/>
        <v>7916.9999999999991</v>
      </c>
      <c r="Y529" s="31">
        <v>260</v>
      </c>
      <c r="Z529" s="31">
        <f t="shared" si="79"/>
        <v>14195.999999999998</v>
      </c>
      <c r="AA529" s="29">
        <f t="shared" si="80"/>
        <v>51869.999999999993</v>
      </c>
    </row>
    <row r="530" spans="1:38" s="32" customFormat="1" x14ac:dyDescent="0.25">
      <c r="A530" s="18">
        <v>534</v>
      </c>
      <c r="B530" s="19">
        <v>45669</v>
      </c>
      <c r="C530" s="19">
        <v>45669</v>
      </c>
      <c r="D530" s="70">
        <v>260112030</v>
      </c>
      <c r="E530" s="21" t="s">
        <v>1022</v>
      </c>
      <c r="F530" s="21" t="s">
        <v>1023</v>
      </c>
      <c r="G530" s="21">
        <v>52</v>
      </c>
      <c r="H530" s="36">
        <v>131</v>
      </c>
      <c r="I530" s="23" t="s">
        <v>64</v>
      </c>
      <c r="J530" s="24" t="s">
        <v>23</v>
      </c>
      <c r="K530" s="23" t="s">
        <v>31</v>
      </c>
      <c r="L530" s="25" t="s">
        <v>55</v>
      </c>
      <c r="M530" s="21" t="s">
        <v>34</v>
      </c>
      <c r="N530" s="37">
        <v>70.400000000000006</v>
      </c>
      <c r="O530" s="21">
        <v>17.96</v>
      </c>
      <c r="P530" s="26">
        <f t="shared" si="73"/>
        <v>52.440000000000005</v>
      </c>
      <c r="Q530" s="27">
        <v>535</v>
      </c>
      <c r="R530" s="28">
        <f t="shared" si="74"/>
        <v>28055.4</v>
      </c>
      <c r="S530" s="27"/>
      <c r="T530" s="29"/>
      <c r="V530" s="29" t="s">
        <v>24</v>
      </c>
      <c r="W530" s="27">
        <v>145</v>
      </c>
      <c r="X530" s="30">
        <f t="shared" si="78"/>
        <v>7603.8000000000011</v>
      </c>
      <c r="Y530" s="31">
        <v>200</v>
      </c>
      <c r="Z530" s="31">
        <f t="shared" si="79"/>
        <v>10488.000000000002</v>
      </c>
      <c r="AA530" s="29">
        <f t="shared" si="80"/>
        <v>46147.200000000004</v>
      </c>
    </row>
    <row r="531" spans="1:38" s="32" customFormat="1" x14ac:dyDescent="0.25">
      <c r="A531" s="18">
        <v>535</v>
      </c>
      <c r="B531" s="19">
        <v>45669</v>
      </c>
      <c r="C531" s="19">
        <v>45669</v>
      </c>
      <c r="D531" s="70">
        <v>260112031</v>
      </c>
      <c r="E531" s="21" t="s">
        <v>1024</v>
      </c>
      <c r="F531" s="21" t="s">
        <v>1025</v>
      </c>
      <c r="G531" s="21">
        <v>35</v>
      </c>
      <c r="H531" s="48">
        <v>42</v>
      </c>
      <c r="I531" s="23" t="s">
        <v>44</v>
      </c>
      <c r="J531" s="49" t="s">
        <v>23</v>
      </c>
      <c r="K531" s="23" t="s">
        <v>31</v>
      </c>
      <c r="L531" s="25" t="s">
        <v>51</v>
      </c>
      <c r="M531" s="21" t="s">
        <v>34</v>
      </c>
      <c r="N531" s="37">
        <v>47.3</v>
      </c>
      <c r="O531" s="37">
        <v>11.32</v>
      </c>
      <c r="P531" s="26">
        <f t="shared" si="73"/>
        <v>35.979999999999997</v>
      </c>
      <c r="Q531" s="27">
        <v>525</v>
      </c>
      <c r="R531" s="28">
        <f t="shared" si="74"/>
        <v>18889.5</v>
      </c>
      <c r="S531" s="27"/>
      <c r="T531" s="29"/>
      <c r="V531" s="29" t="s">
        <v>24</v>
      </c>
      <c r="W531" s="27">
        <v>145</v>
      </c>
      <c r="X531" s="30">
        <f t="shared" si="78"/>
        <v>5217.0999999999995</v>
      </c>
      <c r="Y531" s="31">
        <v>260</v>
      </c>
      <c r="Z531" s="31">
        <f t="shared" si="79"/>
        <v>9354.7999999999993</v>
      </c>
      <c r="AA531" s="29">
        <f t="shared" si="80"/>
        <v>33461.399999999994</v>
      </c>
    </row>
    <row r="532" spans="1:38" s="32" customFormat="1" x14ac:dyDescent="0.25">
      <c r="A532" s="18">
        <v>536</v>
      </c>
      <c r="B532" s="19">
        <v>45669</v>
      </c>
      <c r="C532" s="19">
        <v>45669</v>
      </c>
      <c r="D532" s="70">
        <v>260112032</v>
      </c>
      <c r="E532" s="21" t="s">
        <v>1026</v>
      </c>
      <c r="F532" s="21" t="s">
        <v>1027</v>
      </c>
      <c r="G532" s="21">
        <v>45</v>
      </c>
      <c r="H532" s="36">
        <v>131</v>
      </c>
      <c r="I532" s="23" t="s">
        <v>64</v>
      </c>
      <c r="J532" s="24" t="s">
        <v>23</v>
      </c>
      <c r="K532" s="23" t="s">
        <v>31</v>
      </c>
      <c r="L532" s="25" t="s">
        <v>38</v>
      </c>
      <c r="M532" s="21" t="s">
        <v>34</v>
      </c>
      <c r="N532" s="37">
        <v>60.92</v>
      </c>
      <c r="O532" s="37">
        <v>14.96</v>
      </c>
      <c r="P532" s="26">
        <f t="shared" si="73"/>
        <v>45.96</v>
      </c>
      <c r="Q532" s="27">
        <v>535</v>
      </c>
      <c r="R532" s="28">
        <f t="shared" si="74"/>
        <v>24588.600000000002</v>
      </c>
      <c r="S532" s="27"/>
      <c r="T532" s="29"/>
      <c r="V532" s="29" t="s">
        <v>24</v>
      </c>
      <c r="W532" s="27">
        <v>145</v>
      </c>
      <c r="X532" s="30">
        <f t="shared" si="78"/>
        <v>6664.2</v>
      </c>
      <c r="Y532" s="31">
        <v>200</v>
      </c>
      <c r="Z532" s="31">
        <f t="shared" si="79"/>
        <v>9192</v>
      </c>
      <c r="AA532" s="29">
        <f t="shared" si="80"/>
        <v>40444.800000000003</v>
      </c>
    </row>
    <row r="533" spans="1:38" s="32" customFormat="1" x14ac:dyDescent="0.25">
      <c r="A533" s="18">
        <v>537</v>
      </c>
      <c r="B533" s="19">
        <v>45669</v>
      </c>
      <c r="C533" s="19">
        <v>45669</v>
      </c>
      <c r="D533" s="70">
        <v>260112033</v>
      </c>
      <c r="E533" s="21" t="s">
        <v>1028</v>
      </c>
      <c r="F533" s="21" t="s">
        <v>1029</v>
      </c>
      <c r="G533" s="21">
        <v>44</v>
      </c>
      <c r="H533" s="48">
        <v>84</v>
      </c>
      <c r="I533" s="71" t="s">
        <v>941</v>
      </c>
      <c r="J533" s="49" t="s">
        <v>23</v>
      </c>
      <c r="K533" s="23" t="s">
        <v>31</v>
      </c>
      <c r="L533" s="25" t="s">
        <v>62</v>
      </c>
      <c r="M533" s="21" t="s">
        <v>32</v>
      </c>
      <c r="N533" s="37">
        <v>60.24</v>
      </c>
      <c r="O533" s="37">
        <v>15.34</v>
      </c>
      <c r="P533" s="26">
        <f t="shared" si="73"/>
        <v>44.900000000000006</v>
      </c>
      <c r="Q533" s="27">
        <v>305</v>
      </c>
      <c r="R533" s="28">
        <f t="shared" si="74"/>
        <v>13694.500000000002</v>
      </c>
      <c r="S533" s="27"/>
      <c r="T533" s="29"/>
      <c r="V533" s="29" t="s">
        <v>24</v>
      </c>
      <c r="W533" s="27">
        <v>145</v>
      </c>
      <c r="X533" s="30">
        <f t="shared" si="78"/>
        <v>6510.5000000000009</v>
      </c>
      <c r="Y533" s="31">
        <v>210</v>
      </c>
      <c r="Z533" s="31">
        <f t="shared" si="79"/>
        <v>9429.0000000000018</v>
      </c>
      <c r="AA533" s="29">
        <f t="shared" si="80"/>
        <v>29634.000000000007</v>
      </c>
      <c r="AB533" s="40"/>
      <c r="AC533" s="39"/>
      <c r="AD533" s="41"/>
      <c r="AE533" s="42"/>
      <c r="AF533" s="39"/>
      <c r="AG533" s="42"/>
      <c r="AH533" s="39"/>
      <c r="AI533" s="41"/>
      <c r="AJ533" s="39"/>
      <c r="AK533" s="41"/>
      <c r="AL533" s="41"/>
    </row>
    <row r="534" spans="1:38" s="32" customFormat="1" x14ac:dyDescent="0.25">
      <c r="A534" s="18">
        <v>538</v>
      </c>
      <c r="B534" s="19">
        <v>45669</v>
      </c>
      <c r="C534" s="19">
        <v>45669</v>
      </c>
      <c r="D534" s="70">
        <v>260112034</v>
      </c>
      <c r="E534" s="21" t="s">
        <v>1030</v>
      </c>
      <c r="F534" s="21" t="s">
        <v>1031</v>
      </c>
      <c r="G534" s="21">
        <v>47</v>
      </c>
      <c r="H534" s="36">
        <v>131</v>
      </c>
      <c r="I534" s="23" t="s">
        <v>64</v>
      </c>
      <c r="J534" s="24" t="s">
        <v>23</v>
      </c>
      <c r="K534" s="23" t="s">
        <v>31</v>
      </c>
      <c r="L534" s="25" t="s">
        <v>46</v>
      </c>
      <c r="M534" s="21" t="s">
        <v>34</v>
      </c>
      <c r="N534" s="37">
        <v>62.64</v>
      </c>
      <c r="O534" s="37">
        <v>14.9</v>
      </c>
      <c r="P534" s="26">
        <f t="shared" si="73"/>
        <v>47.74</v>
      </c>
      <c r="Q534" s="27">
        <v>535</v>
      </c>
      <c r="R534" s="28">
        <f t="shared" si="74"/>
        <v>25540.9</v>
      </c>
      <c r="S534" s="27"/>
      <c r="T534" s="29"/>
      <c r="V534" s="29" t="s">
        <v>24</v>
      </c>
      <c r="W534" s="27">
        <v>145</v>
      </c>
      <c r="X534" s="30">
        <f t="shared" si="78"/>
        <v>6922.3</v>
      </c>
      <c r="Y534" s="31">
        <v>200</v>
      </c>
      <c r="Z534" s="31">
        <f t="shared" si="79"/>
        <v>9548</v>
      </c>
      <c r="AA534" s="29">
        <f t="shared" si="80"/>
        <v>42011.199999999997</v>
      </c>
    </row>
    <row r="535" spans="1:38" s="32" customFormat="1" x14ac:dyDescent="0.25">
      <c r="A535" s="18">
        <v>539</v>
      </c>
      <c r="B535" s="19">
        <v>45669</v>
      </c>
      <c r="C535" s="19">
        <v>45669</v>
      </c>
      <c r="D535" s="70">
        <v>260112035</v>
      </c>
      <c r="E535" s="21" t="s">
        <v>1032</v>
      </c>
      <c r="F535" s="21" t="s">
        <v>1033</v>
      </c>
      <c r="G535" s="21">
        <v>44</v>
      </c>
      <c r="H535" s="36">
        <v>131</v>
      </c>
      <c r="I535" s="23" t="s">
        <v>64</v>
      </c>
      <c r="J535" s="24" t="s">
        <v>23</v>
      </c>
      <c r="K535" s="23" t="s">
        <v>31</v>
      </c>
      <c r="L535" s="25" t="s">
        <v>41</v>
      </c>
      <c r="M535" s="21" t="s">
        <v>32</v>
      </c>
      <c r="N535" s="37">
        <v>60.34</v>
      </c>
      <c r="O535" s="37">
        <v>15.78</v>
      </c>
      <c r="P535" s="26">
        <f t="shared" si="73"/>
        <v>44.56</v>
      </c>
      <c r="Q535" s="27">
        <v>285</v>
      </c>
      <c r="R535" s="28">
        <f t="shared" si="74"/>
        <v>12699.6</v>
      </c>
      <c r="S535" s="27"/>
      <c r="T535" s="29"/>
      <c r="V535" s="29" t="s">
        <v>24</v>
      </c>
      <c r="W535" s="27">
        <v>145</v>
      </c>
      <c r="X535" s="30">
        <f t="shared" si="78"/>
        <v>6461.2000000000007</v>
      </c>
      <c r="Y535" s="31">
        <v>200</v>
      </c>
      <c r="Z535" s="31">
        <f t="shared" si="79"/>
        <v>8912</v>
      </c>
      <c r="AA535" s="29">
        <f t="shared" si="80"/>
        <v>28072.800000000003</v>
      </c>
    </row>
    <row r="536" spans="1:38" s="32" customFormat="1" x14ac:dyDescent="0.25">
      <c r="A536" s="18">
        <v>540</v>
      </c>
      <c r="B536" s="19">
        <v>45669</v>
      </c>
      <c r="C536" s="19">
        <v>45669</v>
      </c>
      <c r="D536" s="70">
        <v>260112036</v>
      </c>
      <c r="E536" s="21" t="s">
        <v>1034</v>
      </c>
      <c r="F536" s="21" t="s">
        <v>1035</v>
      </c>
      <c r="G536" s="21">
        <v>34</v>
      </c>
      <c r="H536" s="36">
        <v>131</v>
      </c>
      <c r="I536" s="23" t="s">
        <v>64</v>
      </c>
      <c r="J536" s="24" t="s">
        <v>23</v>
      </c>
      <c r="K536" s="23" t="s">
        <v>31</v>
      </c>
      <c r="L536" s="25" t="s">
        <v>1036</v>
      </c>
      <c r="M536" s="21" t="s">
        <v>34</v>
      </c>
      <c r="N536" s="37">
        <v>46.18</v>
      </c>
      <c r="O536" s="37">
        <v>11.68</v>
      </c>
      <c r="P536" s="26">
        <f t="shared" si="73"/>
        <v>34.5</v>
      </c>
      <c r="Q536" s="27">
        <v>535</v>
      </c>
      <c r="R536" s="28">
        <f t="shared" si="74"/>
        <v>18457.5</v>
      </c>
      <c r="S536" s="27"/>
      <c r="T536" s="29"/>
      <c r="V536" s="29" t="s">
        <v>24</v>
      </c>
      <c r="W536" s="27">
        <v>145</v>
      </c>
      <c r="X536" s="30">
        <f t="shared" si="78"/>
        <v>5002.5</v>
      </c>
      <c r="Y536" s="31">
        <v>200</v>
      </c>
      <c r="Z536" s="31">
        <f t="shared" si="79"/>
        <v>6900</v>
      </c>
      <c r="AA536" s="29">
        <f t="shared" si="80"/>
        <v>30360</v>
      </c>
    </row>
    <row r="537" spans="1:38" s="32" customFormat="1" x14ac:dyDescent="0.25">
      <c r="A537" s="18">
        <v>541</v>
      </c>
      <c r="B537" s="19">
        <v>45669</v>
      </c>
      <c r="C537" s="19">
        <v>45669</v>
      </c>
      <c r="D537" s="81" t="s">
        <v>1037</v>
      </c>
      <c r="E537" s="21"/>
      <c r="F537" s="21"/>
      <c r="G537" s="21"/>
      <c r="H537" s="21"/>
      <c r="I537" s="60" t="s">
        <v>1038</v>
      </c>
      <c r="J537" s="34" t="s">
        <v>23</v>
      </c>
      <c r="K537" s="35" t="s">
        <v>30</v>
      </c>
      <c r="L537" s="25" t="s">
        <v>1039</v>
      </c>
      <c r="M537" s="21" t="s">
        <v>34</v>
      </c>
      <c r="N537" s="37">
        <v>19.940000000000001</v>
      </c>
      <c r="O537" s="37">
        <v>7.68</v>
      </c>
      <c r="P537" s="26">
        <f t="shared" si="73"/>
        <v>12.260000000000002</v>
      </c>
      <c r="Q537" s="27">
        <v>550</v>
      </c>
      <c r="R537" s="28">
        <f t="shared" si="74"/>
        <v>6743.0000000000009</v>
      </c>
      <c r="S537" s="27"/>
      <c r="T537" s="29"/>
      <c r="V537" s="29" t="s">
        <v>45</v>
      </c>
      <c r="W537" s="27"/>
      <c r="X537" s="30">
        <f t="shared" si="78"/>
        <v>0</v>
      </c>
      <c r="Y537" s="31"/>
      <c r="Z537" s="31">
        <f t="shared" si="79"/>
        <v>0</v>
      </c>
      <c r="AA537" s="29">
        <f t="shared" si="80"/>
        <v>6743.0000000000009</v>
      </c>
    </row>
    <row r="538" spans="1:38" s="38" customFormat="1" x14ac:dyDescent="0.25">
      <c r="A538" s="18">
        <v>542</v>
      </c>
      <c r="B538" s="19">
        <v>45669</v>
      </c>
      <c r="C538" s="19">
        <v>45669</v>
      </c>
      <c r="D538" s="70">
        <v>260112037</v>
      </c>
      <c r="E538" s="21" t="s">
        <v>1040</v>
      </c>
      <c r="F538" s="21" t="s">
        <v>1041</v>
      </c>
      <c r="G538" s="21">
        <v>45</v>
      </c>
      <c r="H538" s="36">
        <v>131</v>
      </c>
      <c r="I538" s="23" t="s">
        <v>64</v>
      </c>
      <c r="J538" s="24" t="s">
        <v>23</v>
      </c>
      <c r="K538" s="23" t="s">
        <v>31</v>
      </c>
      <c r="L538" s="25" t="s">
        <v>37</v>
      </c>
      <c r="M538" s="21" t="s">
        <v>34</v>
      </c>
      <c r="N538" s="37">
        <v>61.12</v>
      </c>
      <c r="O538" s="37">
        <v>15.7</v>
      </c>
      <c r="P538" s="26">
        <f t="shared" si="73"/>
        <v>45.42</v>
      </c>
      <c r="Q538" s="27">
        <v>535</v>
      </c>
      <c r="R538" s="28">
        <f t="shared" si="74"/>
        <v>24299.7</v>
      </c>
      <c r="S538" s="27"/>
      <c r="T538" s="29"/>
      <c r="V538" s="29" t="s">
        <v>24</v>
      </c>
      <c r="W538" s="27">
        <v>145</v>
      </c>
      <c r="X538" s="30">
        <f t="shared" si="78"/>
        <v>6585.9000000000005</v>
      </c>
      <c r="Y538" s="31">
        <v>200</v>
      </c>
      <c r="Z538" s="31">
        <f t="shared" si="79"/>
        <v>9084</v>
      </c>
      <c r="AA538" s="29">
        <f t="shared" si="80"/>
        <v>39969.600000000006</v>
      </c>
    </row>
    <row r="539" spans="1:38" s="38" customFormat="1" x14ac:dyDescent="0.25">
      <c r="A539" s="18">
        <v>543</v>
      </c>
      <c r="B539" s="19">
        <v>45669</v>
      </c>
      <c r="C539" s="19">
        <v>45669</v>
      </c>
      <c r="D539" s="70">
        <v>260112038</v>
      </c>
      <c r="E539" s="21" t="s">
        <v>1042</v>
      </c>
      <c r="F539" s="21" t="s">
        <v>1043</v>
      </c>
      <c r="G539" s="21">
        <v>45</v>
      </c>
      <c r="H539" s="36">
        <v>131</v>
      </c>
      <c r="I539" s="23" t="s">
        <v>64</v>
      </c>
      <c r="J539" s="24" t="s">
        <v>23</v>
      </c>
      <c r="K539" s="23" t="s">
        <v>31</v>
      </c>
      <c r="L539" s="25" t="s">
        <v>62</v>
      </c>
      <c r="M539" s="21" t="s">
        <v>34</v>
      </c>
      <c r="N539" s="37">
        <v>61.3</v>
      </c>
      <c r="O539" s="37">
        <v>15.36</v>
      </c>
      <c r="P539" s="26">
        <f t="shared" si="73"/>
        <v>45.94</v>
      </c>
      <c r="Q539" s="27">
        <v>535</v>
      </c>
      <c r="R539" s="28">
        <f t="shared" si="74"/>
        <v>24577.899999999998</v>
      </c>
      <c r="S539" s="27"/>
      <c r="T539" s="29"/>
      <c r="V539" s="29" t="s">
        <v>24</v>
      </c>
      <c r="W539" s="27">
        <v>145</v>
      </c>
      <c r="X539" s="30">
        <f t="shared" si="78"/>
        <v>6661.2999999999993</v>
      </c>
      <c r="Y539" s="31">
        <v>200</v>
      </c>
      <c r="Z539" s="31">
        <f t="shared" si="79"/>
        <v>9188</v>
      </c>
      <c r="AA539" s="29">
        <f t="shared" si="80"/>
        <v>40427.199999999997</v>
      </c>
    </row>
    <row r="540" spans="1:38" s="32" customFormat="1" x14ac:dyDescent="0.25">
      <c r="A540" s="18">
        <v>544</v>
      </c>
      <c r="B540" s="19">
        <v>45669</v>
      </c>
      <c r="C540" s="19">
        <v>45669</v>
      </c>
      <c r="D540" s="70">
        <v>260112039</v>
      </c>
      <c r="E540" s="21" t="s">
        <v>1044</v>
      </c>
      <c r="F540" s="21" t="s">
        <v>1045</v>
      </c>
      <c r="G540" s="21">
        <v>48</v>
      </c>
      <c r="H540" s="36">
        <v>131</v>
      </c>
      <c r="I540" s="23" t="s">
        <v>64</v>
      </c>
      <c r="J540" s="24" t="s">
        <v>23</v>
      </c>
      <c r="K540" s="23" t="s">
        <v>31</v>
      </c>
      <c r="L540" s="25" t="s">
        <v>59</v>
      </c>
      <c r="M540" s="21" t="s">
        <v>34</v>
      </c>
      <c r="N540" s="37">
        <v>65.02</v>
      </c>
      <c r="O540" s="37">
        <v>16.28</v>
      </c>
      <c r="P540" s="26">
        <f t="shared" si="73"/>
        <v>48.739999999999995</v>
      </c>
      <c r="Q540" s="27">
        <v>535</v>
      </c>
      <c r="R540" s="28">
        <f t="shared" si="74"/>
        <v>26075.899999999998</v>
      </c>
      <c r="S540" s="27"/>
      <c r="T540" s="29"/>
      <c r="V540" s="29" t="s">
        <v>24</v>
      </c>
      <c r="W540" s="27">
        <v>145</v>
      </c>
      <c r="X540" s="30">
        <f t="shared" si="78"/>
        <v>7067.2999999999993</v>
      </c>
      <c r="Y540" s="31">
        <v>200</v>
      </c>
      <c r="Z540" s="31">
        <f t="shared" si="79"/>
        <v>9747.9999999999982</v>
      </c>
      <c r="AA540" s="29">
        <f t="shared" si="80"/>
        <v>42891.199999999997</v>
      </c>
    </row>
    <row r="541" spans="1:38" s="32" customFormat="1" x14ac:dyDescent="0.25">
      <c r="A541" s="18">
        <v>545</v>
      </c>
      <c r="B541" s="19">
        <v>45669</v>
      </c>
      <c r="C541" s="19">
        <v>45669</v>
      </c>
      <c r="D541" s="70">
        <v>260112040</v>
      </c>
      <c r="E541" s="21" t="s">
        <v>1046</v>
      </c>
      <c r="F541" s="21" t="s">
        <v>1047</v>
      </c>
      <c r="G541" s="21">
        <v>46</v>
      </c>
      <c r="H541" s="44">
        <v>96</v>
      </c>
      <c r="I541" s="71" t="s">
        <v>458</v>
      </c>
      <c r="J541" s="65" t="s">
        <v>23</v>
      </c>
      <c r="K541" s="35" t="s">
        <v>31</v>
      </c>
      <c r="L541" s="25" t="s">
        <v>60</v>
      </c>
      <c r="M541" s="21" t="s">
        <v>49</v>
      </c>
      <c r="N541" s="37">
        <v>60.44</v>
      </c>
      <c r="O541" s="37">
        <v>14.08</v>
      </c>
      <c r="P541" s="26">
        <f t="shared" si="73"/>
        <v>46.36</v>
      </c>
      <c r="Q541" s="27">
        <v>255</v>
      </c>
      <c r="R541" s="28">
        <f t="shared" si="74"/>
        <v>11821.8</v>
      </c>
      <c r="S541" s="27"/>
      <c r="T541" s="29"/>
      <c r="V541" s="29" t="s">
        <v>24</v>
      </c>
      <c r="W541" s="27">
        <v>145</v>
      </c>
      <c r="X541" s="30">
        <f t="shared" si="78"/>
        <v>6722.2</v>
      </c>
      <c r="Y541" s="31"/>
      <c r="Z541" s="31">
        <f t="shared" si="79"/>
        <v>0</v>
      </c>
      <c r="AA541" s="29">
        <f t="shared" si="80"/>
        <v>18544</v>
      </c>
    </row>
    <row r="542" spans="1:38" s="32" customFormat="1" x14ac:dyDescent="0.25">
      <c r="A542" s="18">
        <v>546</v>
      </c>
      <c r="B542" s="19">
        <v>45669</v>
      </c>
      <c r="C542" s="19">
        <v>45669</v>
      </c>
      <c r="D542" s="70">
        <v>260112041</v>
      </c>
      <c r="E542" s="21" t="s">
        <v>1048</v>
      </c>
      <c r="F542" s="21" t="s">
        <v>1049</v>
      </c>
      <c r="G542" s="21">
        <v>44</v>
      </c>
      <c r="H542" s="36">
        <v>131</v>
      </c>
      <c r="I542" s="23" t="s">
        <v>64</v>
      </c>
      <c r="J542" s="24" t="s">
        <v>23</v>
      </c>
      <c r="K542" s="23" t="s">
        <v>31</v>
      </c>
      <c r="L542" s="25" t="s">
        <v>244</v>
      </c>
      <c r="M542" s="21" t="s">
        <v>34</v>
      </c>
      <c r="N542" s="37">
        <v>59.38</v>
      </c>
      <c r="O542" s="37">
        <v>14.96</v>
      </c>
      <c r="P542" s="26">
        <f t="shared" si="73"/>
        <v>44.42</v>
      </c>
      <c r="Q542" s="27">
        <v>535</v>
      </c>
      <c r="R542" s="28">
        <f t="shared" si="74"/>
        <v>23764.7</v>
      </c>
      <c r="S542" s="27"/>
      <c r="T542" s="29"/>
      <c r="V542" s="29" t="s">
        <v>24</v>
      </c>
      <c r="W542" s="27">
        <v>145</v>
      </c>
      <c r="X542" s="30">
        <f t="shared" si="78"/>
        <v>6440.9000000000005</v>
      </c>
      <c r="Y542" s="31">
        <v>200</v>
      </c>
      <c r="Z542" s="31">
        <f t="shared" si="79"/>
        <v>8884</v>
      </c>
      <c r="AA542" s="29">
        <f t="shared" si="80"/>
        <v>39089.600000000006</v>
      </c>
    </row>
    <row r="543" spans="1:38" s="38" customFormat="1" x14ac:dyDescent="0.25">
      <c r="A543" s="18">
        <v>547</v>
      </c>
      <c r="B543" s="19">
        <v>45669</v>
      </c>
      <c r="C543" s="19">
        <v>45669</v>
      </c>
      <c r="D543" s="70">
        <v>260112042</v>
      </c>
      <c r="E543" s="21" t="s">
        <v>1050</v>
      </c>
      <c r="F543" s="21" t="s">
        <v>1051</v>
      </c>
      <c r="G543" s="21">
        <v>44</v>
      </c>
      <c r="H543" s="36">
        <v>131</v>
      </c>
      <c r="I543" s="23" t="s">
        <v>64</v>
      </c>
      <c r="J543" s="24" t="s">
        <v>23</v>
      </c>
      <c r="K543" s="23" t="s">
        <v>31</v>
      </c>
      <c r="L543" s="50" t="s">
        <v>36</v>
      </c>
      <c r="M543" s="21" t="s">
        <v>34</v>
      </c>
      <c r="N543" s="37">
        <v>60.6</v>
      </c>
      <c r="O543" s="37">
        <v>15.74</v>
      </c>
      <c r="P543" s="26">
        <f t="shared" si="73"/>
        <v>44.86</v>
      </c>
      <c r="Q543" s="27">
        <v>535</v>
      </c>
      <c r="R543" s="28">
        <f t="shared" si="74"/>
        <v>24000.1</v>
      </c>
      <c r="S543" s="27"/>
      <c r="T543" s="29"/>
      <c r="V543" s="29" t="s">
        <v>24</v>
      </c>
      <c r="W543" s="27">
        <v>145</v>
      </c>
      <c r="X543" s="30">
        <f t="shared" si="78"/>
        <v>6504.7</v>
      </c>
      <c r="Y543" s="31">
        <v>200</v>
      </c>
      <c r="Z543" s="31">
        <f t="shared" si="79"/>
        <v>8972</v>
      </c>
      <c r="AA543" s="29">
        <f t="shared" si="80"/>
        <v>39476.800000000003</v>
      </c>
    </row>
    <row r="544" spans="1:38" s="38" customFormat="1" x14ac:dyDescent="0.25">
      <c r="A544" s="18">
        <v>548</v>
      </c>
      <c r="B544" s="19">
        <v>45669</v>
      </c>
      <c r="C544" s="19">
        <v>45669</v>
      </c>
      <c r="D544" s="70">
        <v>260112043</v>
      </c>
      <c r="E544" s="21" t="s">
        <v>1052</v>
      </c>
      <c r="F544" s="21" t="s">
        <v>1053</v>
      </c>
      <c r="G544" s="21">
        <v>49</v>
      </c>
      <c r="H544" s="36">
        <v>131</v>
      </c>
      <c r="I544" s="23" t="s">
        <v>64</v>
      </c>
      <c r="J544" s="24" t="s">
        <v>23</v>
      </c>
      <c r="K544" s="23" t="s">
        <v>31</v>
      </c>
      <c r="L544" s="20" t="s">
        <v>140</v>
      </c>
      <c r="M544" s="21" t="s">
        <v>32</v>
      </c>
      <c r="N544" s="37">
        <v>67.180000000000007</v>
      </c>
      <c r="O544" s="37">
        <v>17.52</v>
      </c>
      <c r="P544" s="26">
        <f t="shared" si="73"/>
        <v>49.660000000000011</v>
      </c>
      <c r="Q544" s="27">
        <v>285</v>
      </c>
      <c r="R544" s="28">
        <f t="shared" si="74"/>
        <v>14153.100000000002</v>
      </c>
      <c r="S544" s="27"/>
      <c r="T544" s="29"/>
      <c r="V544" s="29" t="s">
        <v>24</v>
      </c>
      <c r="W544" s="27">
        <v>145</v>
      </c>
      <c r="X544" s="30">
        <f t="shared" si="78"/>
        <v>7200.7000000000016</v>
      </c>
      <c r="Y544" s="31">
        <v>200</v>
      </c>
      <c r="Z544" s="31">
        <f t="shared" si="79"/>
        <v>9932.0000000000018</v>
      </c>
      <c r="AA544" s="29">
        <f t="shared" si="80"/>
        <v>31285.800000000003</v>
      </c>
    </row>
    <row r="545" spans="1:27" s="32" customFormat="1" x14ac:dyDescent="0.25">
      <c r="A545" s="18">
        <v>549</v>
      </c>
      <c r="B545" s="19">
        <v>45669</v>
      </c>
      <c r="C545" s="19">
        <v>45669</v>
      </c>
      <c r="D545" s="70">
        <v>260112044</v>
      </c>
      <c r="E545" s="21" t="s">
        <v>1054</v>
      </c>
      <c r="F545" s="21" t="s">
        <v>1055</v>
      </c>
      <c r="G545" s="21">
        <v>38</v>
      </c>
      <c r="H545" s="44">
        <v>115</v>
      </c>
      <c r="I545" s="79" t="s">
        <v>33</v>
      </c>
      <c r="J545" s="24" t="s">
        <v>23</v>
      </c>
      <c r="K545" s="35" t="s">
        <v>31</v>
      </c>
      <c r="L545" s="25" t="s">
        <v>42</v>
      </c>
      <c r="M545" s="21" t="s">
        <v>35</v>
      </c>
      <c r="N545" s="37">
        <v>50.54</v>
      </c>
      <c r="O545" s="37">
        <v>11.78</v>
      </c>
      <c r="P545" s="26">
        <f t="shared" si="73"/>
        <v>38.76</v>
      </c>
      <c r="Q545" s="27">
        <v>445</v>
      </c>
      <c r="R545" s="28">
        <f t="shared" si="74"/>
        <v>17248.2</v>
      </c>
      <c r="S545" s="27"/>
      <c r="T545" s="29"/>
      <c r="V545" s="29" t="s">
        <v>24</v>
      </c>
      <c r="W545" s="27">
        <v>145</v>
      </c>
      <c r="X545" s="30">
        <f t="shared" si="78"/>
        <v>5620.2</v>
      </c>
      <c r="Y545" s="31">
        <v>260</v>
      </c>
      <c r="Z545" s="31">
        <f t="shared" si="79"/>
        <v>10077.6</v>
      </c>
      <c r="AA545" s="29">
        <f t="shared" si="80"/>
        <v>32946</v>
      </c>
    </row>
    <row r="546" spans="1:27" s="32" customFormat="1" x14ac:dyDescent="0.25">
      <c r="A546" s="18">
        <v>550</v>
      </c>
      <c r="B546" s="19">
        <v>45669</v>
      </c>
      <c r="C546" s="19">
        <v>45669</v>
      </c>
      <c r="D546" s="70">
        <v>260112045</v>
      </c>
      <c r="E546" s="21" t="s">
        <v>1056</v>
      </c>
      <c r="F546" s="21" t="s">
        <v>1057</v>
      </c>
      <c r="G546" s="21">
        <v>48</v>
      </c>
      <c r="H546" s="44">
        <v>115</v>
      </c>
      <c r="I546" s="79" t="s">
        <v>33</v>
      </c>
      <c r="J546" s="24" t="s">
        <v>23</v>
      </c>
      <c r="K546" s="35" t="s">
        <v>31</v>
      </c>
      <c r="L546" s="50" t="s">
        <v>50</v>
      </c>
      <c r="M546" s="21" t="s">
        <v>34</v>
      </c>
      <c r="N546" s="37">
        <v>65.28</v>
      </c>
      <c r="O546" s="37">
        <v>16.68</v>
      </c>
      <c r="P546" s="26">
        <f t="shared" si="73"/>
        <v>48.6</v>
      </c>
      <c r="Q546" s="27">
        <v>545</v>
      </c>
      <c r="R546" s="28">
        <f t="shared" si="74"/>
        <v>26487</v>
      </c>
      <c r="S546" s="27"/>
      <c r="T546" s="29"/>
      <c r="V546" s="29" t="s">
        <v>24</v>
      </c>
      <c r="W546" s="27">
        <v>145</v>
      </c>
      <c r="X546" s="30">
        <f t="shared" si="78"/>
        <v>7047</v>
      </c>
      <c r="Y546" s="31">
        <v>260</v>
      </c>
      <c r="Z546" s="31">
        <f t="shared" si="79"/>
        <v>12636</v>
      </c>
      <c r="AA546" s="29">
        <f t="shared" si="80"/>
        <v>46170</v>
      </c>
    </row>
    <row r="547" spans="1:27" s="32" customFormat="1" x14ac:dyDescent="0.25">
      <c r="A547" s="18">
        <v>551</v>
      </c>
      <c r="B547" s="19">
        <v>45669</v>
      </c>
      <c r="C547" s="19">
        <v>45669</v>
      </c>
      <c r="D547" s="70">
        <v>260112046</v>
      </c>
      <c r="E547" s="21" t="s">
        <v>1058</v>
      </c>
      <c r="F547" s="21" t="s">
        <v>1059</v>
      </c>
      <c r="G547" s="21">
        <v>40</v>
      </c>
      <c r="H547" s="44">
        <v>115</v>
      </c>
      <c r="I547" s="79" t="s">
        <v>33</v>
      </c>
      <c r="J547" s="24" t="s">
        <v>23</v>
      </c>
      <c r="K547" s="35" t="s">
        <v>31</v>
      </c>
      <c r="L547" s="25" t="s">
        <v>40</v>
      </c>
      <c r="M547" s="21" t="s">
        <v>35</v>
      </c>
      <c r="N547" s="37">
        <v>52.22</v>
      </c>
      <c r="O547" s="37">
        <v>11.54</v>
      </c>
      <c r="P547" s="26">
        <f t="shared" si="73"/>
        <v>40.68</v>
      </c>
      <c r="Q547" s="27">
        <v>445</v>
      </c>
      <c r="R547" s="28">
        <f t="shared" si="74"/>
        <v>18102.599999999999</v>
      </c>
      <c r="S547" s="27"/>
      <c r="T547" s="29"/>
      <c r="V547" s="29" t="s">
        <v>24</v>
      </c>
      <c r="W547" s="27">
        <v>145</v>
      </c>
      <c r="X547" s="30">
        <f t="shared" si="78"/>
        <v>5898.6</v>
      </c>
      <c r="Y547" s="31">
        <v>260</v>
      </c>
      <c r="Z547" s="31">
        <f t="shared" si="79"/>
        <v>10576.8</v>
      </c>
      <c r="AA547" s="29">
        <f t="shared" si="80"/>
        <v>34578</v>
      </c>
    </row>
    <row r="548" spans="1:27" s="32" customFormat="1" x14ac:dyDescent="0.25">
      <c r="A548" s="18">
        <v>552</v>
      </c>
      <c r="B548" s="19">
        <v>45669</v>
      </c>
      <c r="C548" s="19">
        <v>45669</v>
      </c>
      <c r="D548" s="70">
        <v>260112047</v>
      </c>
      <c r="E548" s="21" t="s">
        <v>1060</v>
      </c>
      <c r="F548" s="21" t="s">
        <v>1061</v>
      </c>
      <c r="G548" s="21">
        <v>55</v>
      </c>
      <c r="H548" s="44">
        <v>115</v>
      </c>
      <c r="I548" s="79" t="s">
        <v>33</v>
      </c>
      <c r="J548" s="24" t="s">
        <v>23</v>
      </c>
      <c r="K548" s="35" t="s">
        <v>31</v>
      </c>
      <c r="L548" s="20" t="s">
        <v>66</v>
      </c>
      <c r="M548" s="21" t="s">
        <v>35</v>
      </c>
      <c r="N548" s="37">
        <v>70.599999999999994</v>
      </c>
      <c r="O548" s="37">
        <v>15.5</v>
      </c>
      <c r="P548" s="26">
        <f t="shared" si="73"/>
        <v>55.099999999999994</v>
      </c>
      <c r="Q548" s="27">
        <v>445</v>
      </c>
      <c r="R548" s="28">
        <f t="shared" si="74"/>
        <v>24519.499999999996</v>
      </c>
      <c r="S548" s="27"/>
      <c r="T548" s="29"/>
      <c r="V548" s="29" t="s">
        <v>24</v>
      </c>
      <c r="W548" s="27">
        <v>145</v>
      </c>
      <c r="X548" s="30">
        <f t="shared" si="78"/>
        <v>7989.4999999999991</v>
      </c>
      <c r="Y548" s="31">
        <v>260</v>
      </c>
      <c r="Z548" s="31">
        <f t="shared" si="79"/>
        <v>14325.999999999998</v>
      </c>
      <c r="AA548" s="29">
        <f t="shared" si="80"/>
        <v>46834.999999999993</v>
      </c>
    </row>
    <row r="549" spans="1:27" s="32" customFormat="1" x14ac:dyDescent="0.25">
      <c r="A549" s="18">
        <v>553</v>
      </c>
      <c r="B549" s="19">
        <v>45669</v>
      </c>
      <c r="C549" s="19">
        <v>45669</v>
      </c>
      <c r="D549" s="70">
        <v>260112048</v>
      </c>
      <c r="E549" s="21" t="s">
        <v>1062</v>
      </c>
      <c r="F549" s="21" t="s">
        <v>1063</v>
      </c>
      <c r="G549" s="21">
        <v>36</v>
      </c>
      <c r="H549" s="44">
        <v>115</v>
      </c>
      <c r="I549" s="79" t="s">
        <v>33</v>
      </c>
      <c r="J549" s="24" t="s">
        <v>23</v>
      </c>
      <c r="K549" s="35" t="s">
        <v>31</v>
      </c>
      <c r="L549" s="20" t="s">
        <v>124</v>
      </c>
      <c r="M549" s="21" t="s">
        <v>32</v>
      </c>
      <c r="N549" s="37">
        <v>49.76</v>
      </c>
      <c r="O549" s="37">
        <v>12.88</v>
      </c>
      <c r="P549" s="26">
        <f t="shared" si="73"/>
        <v>36.879999999999995</v>
      </c>
      <c r="Q549" s="27">
        <v>315</v>
      </c>
      <c r="R549" s="28">
        <f t="shared" si="74"/>
        <v>11617.199999999999</v>
      </c>
      <c r="S549" s="27"/>
      <c r="T549" s="29"/>
      <c r="V549" s="29" t="s">
        <v>24</v>
      </c>
      <c r="W549" s="27">
        <v>145</v>
      </c>
      <c r="X549" s="30">
        <f t="shared" si="78"/>
        <v>5347.5999999999995</v>
      </c>
      <c r="Y549" s="31">
        <v>260</v>
      </c>
      <c r="Z549" s="31">
        <f t="shared" si="79"/>
        <v>9588.7999999999993</v>
      </c>
      <c r="AA549" s="29">
        <f t="shared" si="80"/>
        <v>26553.599999999999</v>
      </c>
    </row>
    <row r="550" spans="1:27" s="38" customFormat="1" x14ac:dyDescent="0.25">
      <c r="A550" s="18">
        <v>554</v>
      </c>
      <c r="B550" s="19">
        <v>45669</v>
      </c>
      <c r="C550" s="19">
        <v>46035</v>
      </c>
      <c r="D550" s="70">
        <v>260113001</v>
      </c>
      <c r="E550" s="21" t="s">
        <v>1064</v>
      </c>
      <c r="F550" s="21" t="s">
        <v>1065</v>
      </c>
      <c r="G550" s="21">
        <v>39</v>
      </c>
      <c r="H550" s="44">
        <v>115</v>
      </c>
      <c r="I550" s="79" t="s">
        <v>33</v>
      </c>
      <c r="J550" s="24" t="s">
        <v>23</v>
      </c>
      <c r="K550" s="35" t="s">
        <v>31</v>
      </c>
      <c r="L550" s="25" t="s">
        <v>51</v>
      </c>
      <c r="M550" s="21" t="s">
        <v>35</v>
      </c>
      <c r="N550" s="37">
        <v>51.32</v>
      </c>
      <c r="O550" s="37">
        <v>11.34</v>
      </c>
      <c r="P550" s="26">
        <f t="shared" si="73"/>
        <v>39.980000000000004</v>
      </c>
      <c r="Q550" s="27">
        <v>445</v>
      </c>
      <c r="R550" s="28">
        <f t="shared" si="74"/>
        <v>17791.100000000002</v>
      </c>
      <c r="S550" s="21"/>
      <c r="T550" s="29"/>
      <c r="V550" s="29" t="s">
        <v>24</v>
      </c>
      <c r="W550" s="27">
        <v>145</v>
      </c>
      <c r="X550" s="30">
        <f t="shared" si="78"/>
        <v>5797.1</v>
      </c>
      <c r="Y550" s="31">
        <v>260</v>
      </c>
      <c r="Z550" s="31">
        <f t="shared" si="79"/>
        <v>10394.800000000001</v>
      </c>
      <c r="AA550" s="29">
        <f t="shared" si="80"/>
        <v>33983.000000000007</v>
      </c>
    </row>
    <row r="551" spans="1:27" s="38" customFormat="1" x14ac:dyDescent="0.25">
      <c r="A551" s="18">
        <v>555</v>
      </c>
      <c r="B551" s="19">
        <v>45669</v>
      </c>
      <c r="C551" s="19">
        <v>46035</v>
      </c>
      <c r="D551" s="70">
        <v>260113002</v>
      </c>
      <c r="E551" s="21" t="s">
        <v>1066</v>
      </c>
      <c r="F551" s="21" t="s">
        <v>1067</v>
      </c>
      <c r="G551" s="21">
        <v>49</v>
      </c>
      <c r="H551" s="36">
        <v>131</v>
      </c>
      <c r="I551" s="23" t="s">
        <v>64</v>
      </c>
      <c r="J551" s="24" t="s">
        <v>23</v>
      </c>
      <c r="K551" s="23" t="s">
        <v>31</v>
      </c>
      <c r="L551" s="25" t="s">
        <v>55</v>
      </c>
      <c r="M551" s="21" t="s">
        <v>34</v>
      </c>
      <c r="N551" s="37">
        <v>67.86</v>
      </c>
      <c r="O551" s="37">
        <v>18.14</v>
      </c>
      <c r="P551" s="26">
        <f t="shared" ref="P551:P564" si="81">N551-O551</f>
        <v>49.72</v>
      </c>
      <c r="Q551" s="27">
        <v>535</v>
      </c>
      <c r="R551" s="28">
        <f t="shared" si="74"/>
        <v>26600.2</v>
      </c>
      <c r="S551" s="21"/>
      <c r="T551" s="29"/>
      <c r="V551" s="29" t="s">
        <v>24</v>
      </c>
      <c r="W551" s="27">
        <v>145</v>
      </c>
      <c r="X551" s="30">
        <f t="shared" si="78"/>
        <v>7209.4</v>
      </c>
      <c r="Y551" s="31">
        <v>200</v>
      </c>
      <c r="Z551" s="31">
        <f t="shared" si="79"/>
        <v>9944</v>
      </c>
      <c r="AA551" s="29">
        <f t="shared" si="80"/>
        <v>43753.599999999999</v>
      </c>
    </row>
    <row r="552" spans="1:27" s="32" customFormat="1" x14ac:dyDescent="0.25">
      <c r="A552" s="18">
        <v>556</v>
      </c>
      <c r="B552" s="19">
        <v>45669</v>
      </c>
      <c r="C552" s="19">
        <v>46035</v>
      </c>
      <c r="D552" s="70">
        <v>260113003</v>
      </c>
      <c r="E552" s="21" t="s">
        <v>1068</v>
      </c>
      <c r="F552" s="21" t="s">
        <v>1069</v>
      </c>
      <c r="G552" s="21">
        <v>35</v>
      </c>
      <c r="H552" s="36">
        <v>131</v>
      </c>
      <c r="I552" s="23" t="s">
        <v>64</v>
      </c>
      <c r="J552" s="24" t="s">
        <v>23</v>
      </c>
      <c r="K552" s="23" t="s">
        <v>31</v>
      </c>
      <c r="L552" s="25" t="s">
        <v>39</v>
      </c>
      <c r="M552" s="21" t="s">
        <v>34</v>
      </c>
      <c r="N552" s="37">
        <v>46.92</v>
      </c>
      <c r="O552" s="37">
        <v>11.72</v>
      </c>
      <c r="P552" s="26">
        <f t="shared" si="81"/>
        <v>35.200000000000003</v>
      </c>
      <c r="Q552" s="27">
        <v>535</v>
      </c>
      <c r="R552" s="28">
        <f t="shared" si="74"/>
        <v>18832</v>
      </c>
      <c r="S552" s="27"/>
      <c r="T552" s="29"/>
      <c r="V552" s="29" t="s">
        <v>24</v>
      </c>
      <c r="W552" s="27">
        <v>145</v>
      </c>
      <c r="X552" s="30">
        <f t="shared" si="78"/>
        <v>5104</v>
      </c>
      <c r="Y552" s="31">
        <v>200</v>
      </c>
      <c r="Z552" s="31">
        <f t="shared" si="79"/>
        <v>7040.0000000000009</v>
      </c>
      <c r="AA552" s="29">
        <f t="shared" si="80"/>
        <v>30976</v>
      </c>
    </row>
    <row r="553" spans="1:27" s="38" customFormat="1" x14ac:dyDescent="0.25">
      <c r="A553" s="18">
        <v>557</v>
      </c>
      <c r="B553" s="19">
        <v>45669</v>
      </c>
      <c r="C553" s="19">
        <v>46035</v>
      </c>
      <c r="D553" s="70">
        <v>260113004</v>
      </c>
      <c r="E553" s="21" t="s">
        <v>1070</v>
      </c>
      <c r="F553" s="21" t="s">
        <v>1071</v>
      </c>
      <c r="G553" s="21">
        <v>46</v>
      </c>
      <c r="H553" s="36">
        <v>131</v>
      </c>
      <c r="I553" s="23" t="s">
        <v>64</v>
      </c>
      <c r="J553" s="24" t="s">
        <v>23</v>
      </c>
      <c r="K553" s="23" t="s">
        <v>31</v>
      </c>
      <c r="L553" s="25" t="s">
        <v>38</v>
      </c>
      <c r="M553" s="21" t="s">
        <v>34</v>
      </c>
      <c r="N553" s="37">
        <v>61.56</v>
      </c>
      <c r="O553" s="37">
        <v>15.08</v>
      </c>
      <c r="P553" s="26">
        <f t="shared" si="81"/>
        <v>46.480000000000004</v>
      </c>
      <c r="Q553" s="27">
        <v>535</v>
      </c>
      <c r="R553" s="28">
        <f t="shared" si="74"/>
        <v>24866.800000000003</v>
      </c>
      <c r="S553" s="27"/>
      <c r="T553" s="29"/>
      <c r="V553" s="29" t="s">
        <v>24</v>
      </c>
      <c r="W553" s="27">
        <v>145</v>
      </c>
      <c r="X553" s="30">
        <f t="shared" si="78"/>
        <v>6739.6</v>
      </c>
      <c r="Y553" s="31">
        <v>200</v>
      </c>
      <c r="Z553" s="31">
        <f t="shared" si="79"/>
        <v>9296</v>
      </c>
      <c r="AA553" s="29">
        <f t="shared" si="80"/>
        <v>40902.400000000001</v>
      </c>
    </row>
    <row r="554" spans="1:27" s="32" customFormat="1" x14ac:dyDescent="0.25">
      <c r="A554" s="18">
        <v>558</v>
      </c>
      <c r="B554" s="19">
        <v>45669</v>
      </c>
      <c r="C554" s="19">
        <v>46035</v>
      </c>
      <c r="D554" s="70">
        <v>260113005</v>
      </c>
      <c r="E554" s="21" t="s">
        <v>1072</v>
      </c>
      <c r="F554" s="21" t="s">
        <v>1073</v>
      </c>
      <c r="G554" s="21">
        <v>49</v>
      </c>
      <c r="H554" s="36">
        <v>131</v>
      </c>
      <c r="I554" s="23" t="s">
        <v>64</v>
      </c>
      <c r="J554" s="24" t="s">
        <v>23</v>
      </c>
      <c r="K554" s="23" t="s">
        <v>31</v>
      </c>
      <c r="L554" s="25" t="s">
        <v>46</v>
      </c>
      <c r="M554" s="21" t="s">
        <v>34</v>
      </c>
      <c r="N554" s="37">
        <v>64.22</v>
      </c>
      <c r="O554" s="37">
        <v>14.98</v>
      </c>
      <c r="P554" s="26">
        <f t="shared" si="81"/>
        <v>49.239999999999995</v>
      </c>
      <c r="Q554" s="27">
        <v>535</v>
      </c>
      <c r="R554" s="28">
        <f t="shared" si="74"/>
        <v>26343.399999999998</v>
      </c>
      <c r="S554" s="27"/>
      <c r="T554" s="29"/>
      <c r="V554" s="29" t="s">
        <v>24</v>
      </c>
      <c r="W554" s="27">
        <v>145</v>
      </c>
      <c r="X554" s="30">
        <f t="shared" si="78"/>
        <v>7139.7999999999993</v>
      </c>
      <c r="Y554" s="31">
        <v>200</v>
      </c>
      <c r="Z554" s="31">
        <f t="shared" si="79"/>
        <v>9847.9999999999982</v>
      </c>
      <c r="AA554" s="29">
        <f t="shared" si="80"/>
        <v>43331.199999999997</v>
      </c>
    </row>
    <row r="555" spans="1:27" s="38" customFormat="1" x14ac:dyDescent="0.25">
      <c r="A555" s="18">
        <v>559</v>
      </c>
      <c r="B555" s="19">
        <v>45669</v>
      </c>
      <c r="C555" s="19">
        <v>46035</v>
      </c>
      <c r="D555" s="70">
        <v>260113006</v>
      </c>
      <c r="E555" s="21" t="s">
        <v>1074</v>
      </c>
      <c r="F555" s="21" t="s">
        <v>1075</v>
      </c>
      <c r="G555" s="21">
        <v>43</v>
      </c>
      <c r="H555" s="36">
        <v>131</v>
      </c>
      <c r="I555" s="23" t="s">
        <v>64</v>
      </c>
      <c r="J555" s="24" t="s">
        <v>23</v>
      </c>
      <c r="K555" s="23" t="s">
        <v>31</v>
      </c>
      <c r="L555" s="43" t="s">
        <v>146</v>
      </c>
      <c r="M555" s="21" t="s">
        <v>32</v>
      </c>
      <c r="N555" s="37">
        <v>55.2</v>
      </c>
      <c r="O555" s="37">
        <v>11.9</v>
      </c>
      <c r="P555" s="26">
        <f t="shared" si="81"/>
        <v>43.300000000000004</v>
      </c>
      <c r="Q555" s="27">
        <v>285</v>
      </c>
      <c r="R555" s="28">
        <f t="shared" si="74"/>
        <v>12340.500000000002</v>
      </c>
      <c r="S555" s="21"/>
      <c r="T555" s="29"/>
      <c r="V555" s="29" t="s">
        <v>24</v>
      </c>
      <c r="W555" s="27">
        <v>145</v>
      </c>
      <c r="X555" s="30">
        <f t="shared" si="78"/>
        <v>6278.5000000000009</v>
      </c>
      <c r="Y555" s="31">
        <v>200</v>
      </c>
      <c r="Z555" s="31">
        <f t="shared" si="79"/>
        <v>8660</v>
      </c>
      <c r="AA555" s="29">
        <f t="shared" si="80"/>
        <v>27279.000000000004</v>
      </c>
    </row>
    <row r="556" spans="1:27" s="32" customFormat="1" x14ac:dyDescent="0.25">
      <c r="A556" s="18">
        <v>560</v>
      </c>
      <c r="B556" s="19">
        <v>45669</v>
      </c>
      <c r="C556" s="19">
        <v>46035</v>
      </c>
      <c r="D556" s="70">
        <v>260113007</v>
      </c>
      <c r="E556" s="21" t="s">
        <v>1076</v>
      </c>
      <c r="F556" s="21" t="s">
        <v>1077</v>
      </c>
      <c r="G556" s="21">
        <v>49</v>
      </c>
      <c r="H556" s="44">
        <v>115</v>
      </c>
      <c r="I556" s="23" t="s">
        <v>33</v>
      </c>
      <c r="J556" s="24" t="s">
        <v>23</v>
      </c>
      <c r="K556" s="35" t="s">
        <v>31</v>
      </c>
      <c r="L556" s="25" t="s">
        <v>401</v>
      </c>
      <c r="M556" s="21" t="s">
        <v>35</v>
      </c>
      <c r="N556" s="37">
        <v>67.400000000000006</v>
      </c>
      <c r="O556" s="37">
        <v>17.600000000000001</v>
      </c>
      <c r="P556" s="26">
        <f t="shared" si="81"/>
        <v>49.800000000000004</v>
      </c>
      <c r="Q556" s="27">
        <v>445</v>
      </c>
      <c r="R556" s="28">
        <f t="shared" si="74"/>
        <v>22161.000000000004</v>
      </c>
      <c r="S556" s="27"/>
      <c r="T556" s="29"/>
      <c r="V556" s="29" t="s">
        <v>24</v>
      </c>
      <c r="W556" s="27">
        <v>145</v>
      </c>
      <c r="X556" s="30">
        <f t="shared" si="78"/>
        <v>7221.0000000000009</v>
      </c>
      <c r="Y556" s="31">
        <v>260</v>
      </c>
      <c r="Z556" s="31">
        <f t="shared" si="79"/>
        <v>12948.000000000002</v>
      </c>
      <c r="AA556" s="29">
        <f t="shared" si="80"/>
        <v>42330.000000000007</v>
      </c>
    </row>
    <row r="557" spans="1:27" s="32" customFormat="1" x14ac:dyDescent="0.25">
      <c r="A557" s="18">
        <v>561</v>
      </c>
      <c r="B557" s="19">
        <v>45669</v>
      </c>
      <c r="C557" s="19">
        <v>46035</v>
      </c>
      <c r="D557" s="70">
        <v>260113008</v>
      </c>
      <c r="E557" s="21" t="s">
        <v>1078</v>
      </c>
      <c r="F557" s="21" t="s">
        <v>1079</v>
      </c>
      <c r="G557" s="21">
        <v>61</v>
      </c>
      <c r="H557" s="44">
        <v>115</v>
      </c>
      <c r="I557" s="23" t="s">
        <v>33</v>
      </c>
      <c r="J557" s="24" t="s">
        <v>23</v>
      </c>
      <c r="K557" s="35" t="s">
        <v>31</v>
      </c>
      <c r="L557" s="25" t="s">
        <v>206</v>
      </c>
      <c r="M557" s="21" t="s">
        <v>34</v>
      </c>
      <c r="N557" s="37">
        <v>78.760000000000005</v>
      </c>
      <c r="O557" s="37">
        <v>17.12</v>
      </c>
      <c r="P557" s="26">
        <f t="shared" si="81"/>
        <v>61.64</v>
      </c>
      <c r="Q557" s="27">
        <v>545</v>
      </c>
      <c r="R557" s="28">
        <f t="shared" si="74"/>
        <v>33593.800000000003</v>
      </c>
      <c r="S557" s="27"/>
      <c r="T557" s="29"/>
      <c r="V557" s="29" t="s">
        <v>24</v>
      </c>
      <c r="W557" s="27">
        <v>145</v>
      </c>
      <c r="X557" s="30">
        <f t="shared" si="78"/>
        <v>8937.7999999999993</v>
      </c>
      <c r="Y557" s="31">
        <v>260</v>
      </c>
      <c r="Z557" s="31">
        <f t="shared" si="79"/>
        <v>16026.4</v>
      </c>
      <c r="AA557" s="29">
        <f t="shared" si="80"/>
        <v>58558.000000000007</v>
      </c>
    </row>
    <row r="558" spans="1:27" s="32" customFormat="1" x14ac:dyDescent="0.25">
      <c r="A558" s="18">
        <v>562</v>
      </c>
      <c r="B558" s="19">
        <v>45669</v>
      </c>
      <c r="C558" s="19">
        <v>46035</v>
      </c>
      <c r="D558" s="70">
        <v>260113009</v>
      </c>
      <c r="E558" s="21" t="s">
        <v>1080</v>
      </c>
      <c r="F558" s="21" t="s">
        <v>1081</v>
      </c>
      <c r="G558" s="21">
        <v>45</v>
      </c>
      <c r="H558" s="44">
        <v>115</v>
      </c>
      <c r="I558" s="23" t="s">
        <v>33</v>
      </c>
      <c r="J558" s="24" t="s">
        <v>23</v>
      </c>
      <c r="K558" s="35" t="s">
        <v>31</v>
      </c>
      <c r="L558" s="25" t="s">
        <v>37</v>
      </c>
      <c r="M558" s="21" t="s">
        <v>32</v>
      </c>
      <c r="N558" s="37">
        <v>61.06</v>
      </c>
      <c r="O558" s="37">
        <v>15.72</v>
      </c>
      <c r="P558" s="26">
        <f t="shared" si="81"/>
        <v>45.34</v>
      </c>
      <c r="Q558" s="27">
        <v>315</v>
      </c>
      <c r="R558" s="28">
        <f t="shared" si="74"/>
        <v>14282.1</v>
      </c>
      <c r="S558" s="27"/>
      <c r="T558" s="29"/>
      <c r="V558" s="29" t="s">
        <v>24</v>
      </c>
      <c r="W558" s="27">
        <v>145</v>
      </c>
      <c r="X558" s="30">
        <f t="shared" si="78"/>
        <v>6574.3</v>
      </c>
      <c r="Y558" s="31">
        <v>260</v>
      </c>
      <c r="Z558" s="31">
        <f t="shared" si="79"/>
        <v>11788.400000000001</v>
      </c>
      <c r="AA558" s="29">
        <f t="shared" si="80"/>
        <v>32644.800000000003</v>
      </c>
    </row>
    <row r="559" spans="1:27" s="32" customFormat="1" x14ac:dyDescent="0.25">
      <c r="A559" s="18">
        <v>563</v>
      </c>
      <c r="B559" s="19">
        <v>45669</v>
      </c>
      <c r="C559" s="19">
        <v>46035</v>
      </c>
      <c r="D559" s="70">
        <v>260113010</v>
      </c>
      <c r="E559" s="21" t="s">
        <v>1082</v>
      </c>
      <c r="F559" s="21" t="s">
        <v>1083</v>
      </c>
      <c r="G559" s="21">
        <v>45</v>
      </c>
      <c r="H559" s="48">
        <v>84</v>
      </c>
      <c r="I559" s="71" t="s">
        <v>941</v>
      </c>
      <c r="J559" s="49" t="s">
        <v>23</v>
      </c>
      <c r="K559" s="23" t="s">
        <v>31</v>
      </c>
      <c r="L559" s="25" t="s">
        <v>41</v>
      </c>
      <c r="M559" s="21" t="s">
        <v>32</v>
      </c>
      <c r="N559" s="37">
        <v>60.82</v>
      </c>
      <c r="O559" s="37">
        <v>15.74</v>
      </c>
      <c r="P559" s="26">
        <f t="shared" si="81"/>
        <v>45.08</v>
      </c>
      <c r="Q559" s="27">
        <v>305</v>
      </c>
      <c r="R559" s="28">
        <f t="shared" si="74"/>
        <v>13749.4</v>
      </c>
      <c r="S559" s="27"/>
      <c r="T559" s="29"/>
      <c r="V559" s="29" t="s">
        <v>24</v>
      </c>
      <c r="W559" s="27">
        <v>145</v>
      </c>
      <c r="X559" s="30">
        <f t="shared" si="78"/>
        <v>6536.5999999999995</v>
      </c>
      <c r="Y559" s="31">
        <v>210</v>
      </c>
      <c r="Z559" s="31">
        <f t="shared" si="79"/>
        <v>9466.7999999999993</v>
      </c>
      <c r="AA559" s="29">
        <f t="shared" si="80"/>
        <v>29752.799999999999</v>
      </c>
    </row>
    <row r="560" spans="1:27" s="32" customFormat="1" x14ac:dyDescent="0.25">
      <c r="A560" s="18">
        <v>564</v>
      </c>
      <c r="B560" s="19">
        <v>45669</v>
      </c>
      <c r="C560" s="19">
        <v>46035</v>
      </c>
      <c r="D560" s="70">
        <v>260113011</v>
      </c>
      <c r="E560" s="21" t="s">
        <v>1084</v>
      </c>
      <c r="F560" s="21" t="s">
        <v>1085</v>
      </c>
      <c r="G560" s="21">
        <v>45</v>
      </c>
      <c r="H560" s="44">
        <v>96</v>
      </c>
      <c r="I560" s="71" t="s">
        <v>458</v>
      </c>
      <c r="J560" s="65" t="s">
        <v>23</v>
      </c>
      <c r="K560" s="35" t="s">
        <v>31</v>
      </c>
      <c r="L560" s="21" t="s">
        <v>115</v>
      </c>
      <c r="M560" s="21" t="s">
        <v>34</v>
      </c>
      <c r="N560" s="37">
        <v>61.52</v>
      </c>
      <c r="O560" s="37">
        <v>15.6</v>
      </c>
      <c r="P560" s="26">
        <f t="shared" si="81"/>
        <v>45.92</v>
      </c>
      <c r="Q560" s="27">
        <v>520</v>
      </c>
      <c r="R560" s="28">
        <f t="shared" si="74"/>
        <v>23878.400000000001</v>
      </c>
      <c r="S560" s="27"/>
      <c r="T560" s="29"/>
      <c r="V560" s="29" t="s">
        <v>24</v>
      </c>
      <c r="W560" s="27">
        <v>145</v>
      </c>
      <c r="X560" s="30">
        <f t="shared" si="78"/>
        <v>6658.4000000000005</v>
      </c>
      <c r="Y560" s="31"/>
      <c r="Z560" s="31">
        <f t="shared" si="79"/>
        <v>0</v>
      </c>
      <c r="AA560" s="29">
        <f t="shared" si="80"/>
        <v>30536.800000000003</v>
      </c>
    </row>
    <row r="561" spans="1:38" s="38" customFormat="1" x14ac:dyDescent="0.25">
      <c r="A561" s="18">
        <v>565</v>
      </c>
      <c r="B561" s="19">
        <v>45669</v>
      </c>
      <c r="C561" s="19">
        <v>46035</v>
      </c>
      <c r="D561" s="70">
        <v>260113012</v>
      </c>
      <c r="E561" s="21" t="s">
        <v>1086</v>
      </c>
      <c r="F561" s="21" t="s">
        <v>1087</v>
      </c>
      <c r="G561" s="21">
        <v>49</v>
      </c>
      <c r="H561" s="44">
        <v>96</v>
      </c>
      <c r="I561" s="71" t="s">
        <v>458</v>
      </c>
      <c r="J561" s="65" t="s">
        <v>23</v>
      </c>
      <c r="K561" s="35" t="s">
        <v>31</v>
      </c>
      <c r="L561" s="21" t="s">
        <v>117</v>
      </c>
      <c r="M561" s="21" t="s">
        <v>49</v>
      </c>
      <c r="N561" s="37">
        <v>64.88</v>
      </c>
      <c r="O561" s="37">
        <v>15.86</v>
      </c>
      <c r="P561" s="26">
        <f t="shared" si="81"/>
        <v>49.019999999999996</v>
      </c>
      <c r="Q561" s="27">
        <v>255</v>
      </c>
      <c r="R561" s="28">
        <f t="shared" ref="R561:R624" si="82">P561*Q561</f>
        <v>12500.099999999999</v>
      </c>
      <c r="S561" s="27"/>
      <c r="T561" s="29"/>
      <c r="V561" s="29" t="s">
        <v>24</v>
      </c>
      <c r="W561" s="27">
        <v>145</v>
      </c>
      <c r="X561" s="30">
        <f t="shared" si="78"/>
        <v>7107.9</v>
      </c>
      <c r="Y561" s="31"/>
      <c r="Z561" s="31">
        <f t="shared" si="79"/>
        <v>0</v>
      </c>
      <c r="AA561" s="29">
        <f t="shared" si="80"/>
        <v>19608</v>
      </c>
    </row>
    <row r="562" spans="1:38" s="32" customFormat="1" x14ac:dyDescent="0.25">
      <c r="A562" s="18">
        <v>566</v>
      </c>
      <c r="B562" s="19">
        <v>45669</v>
      </c>
      <c r="C562" s="19">
        <v>46035</v>
      </c>
      <c r="D562" s="70">
        <v>260113013</v>
      </c>
      <c r="E562" s="21" t="s">
        <v>1088</v>
      </c>
      <c r="F562" s="21" t="s">
        <v>1089</v>
      </c>
      <c r="G562" s="21">
        <v>46</v>
      </c>
      <c r="H562" s="44">
        <v>115</v>
      </c>
      <c r="I562" s="23" t="s">
        <v>33</v>
      </c>
      <c r="J562" s="24" t="s">
        <v>23</v>
      </c>
      <c r="K562" s="35" t="s">
        <v>31</v>
      </c>
      <c r="L562" s="21" t="s">
        <v>462</v>
      </c>
      <c r="M562" s="21" t="s">
        <v>34</v>
      </c>
      <c r="N562" s="37">
        <v>62.34</v>
      </c>
      <c r="O562" s="37">
        <v>15.8</v>
      </c>
      <c r="P562" s="26">
        <f t="shared" si="81"/>
        <v>46.540000000000006</v>
      </c>
      <c r="Q562" s="27">
        <v>545</v>
      </c>
      <c r="R562" s="28">
        <f t="shared" si="82"/>
        <v>25364.300000000003</v>
      </c>
      <c r="S562" s="27"/>
      <c r="T562" s="29"/>
      <c r="V562" s="29" t="s">
        <v>24</v>
      </c>
      <c r="W562" s="27">
        <v>145</v>
      </c>
      <c r="X562" s="30">
        <f t="shared" si="78"/>
        <v>6748.3000000000011</v>
      </c>
      <c r="Y562" s="31">
        <v>260</v>
      </c>
      <c r="Z562" s="31">
        <f t="shared" si="79"/>
        <v>12100.400000000001</v>
      </c>
      <c r="AA562" s="29">
        <f t="shared" si="80"/>
        <v>44213.000000000007</v>
      </c>
    </row>
    <row r="563" spans="1:38" s="32" customFormat="1" x14ac:dyDescent="0.25">
      <c r="A563" s="18">
        <v>567</v>
      </c>
      <c r="B563" s="19">
        <v>45669</v>
      </c>
      <c r="C563" s="19">
        <v>46035</v>
      </c>
      <c r="D563" s="70">
        <v>260113014</v>
      </c>
      <c r="E563" s="21" t="s">
        <v>1090</v>
      </c>
      <c r="F563" s="21" t="s">
        <v>1091</v>
      </c>
      <c r="G563" s="21">
        <v>46</v>
      </c>
      <c r="H563" s="44">
        <v>115</v>
      </c>
      <c r="I563" s="23" t="s">
        <v>33</v>
      </c>
      <c r="J563" s="24" t="s">
        <v>23</v>
      </c>
      <c r="K563" s="35" t="s">
        <v>31</v>
      </c>
      <c r="L563" s="25" t="s">
        <v>62</v>
      </c>
      <c r="M563" s="21" t="s">
        <v>34</v>
      </c>
      <c r="N563" s="37">
        <v>61.46</v>
      </c>
      <c r="O563" s="37">
        <v>15.32</v>
      </c>
      <c r="P563" s="26">
        <f t="shared" si="81"/>
        <v>46.14</v>
      </c>
      <c r="Q563" s="27">
        <v>545</v>
      </c>
      <c r="R563" s="28">
        <f t="shared" si="82"/>
        <v>25146.3</v>
      </c>
      <c r="S563" s="27"/>
      <c r="T563" s="29"/>
      <c r="V563" s="29" t="s">
        <v>24</v>
      </c>
      <c r="W563" s="27">
        <v>145</v>
      </c>
      <c r="X563" s="30">
        <f t="shared" si="78"/>
        <v>6690.3</v>
      </c>
      <c r="Y563" s="31">
        <v>260</v>
      </c>
      <c r="Z563" s="31">
        <f t="shared" si="79"/>
        <v>11996.4</v>
      </c>
      <c r="AA563" s="29">
        <f t="shared" si="80"/>
        <v>43833</v>
      </c>
    </row>
    <row r="564" spans="1:38" s="32" customFormat="1" x14ac:dyDescent="0.25">
      <c r="A564" s="18">
        <v>568</v>
      </c>
      <c r="B564" s="19">
        <v>45669</v>
      </c>
      <c r="C564" s="19">
        <v>46035</v>
      </c>
      <c r="D564" s="70">
        <v>260113015</v>
      </c>
      <c r="E564" s="21" t="s">
        <v>1092</v>
      </c>
      <c r="F564" s="21" t="s">
        <v>1093</v>
      </c>
      <c r="G564" s="21">
        <v>37</v>
      </c>
      <c r="H564" s="44">
        <v>115</v>
      </c>
      <c r="I564" s="23" t="s">
        <v>33</v>
      </c>
      <c r="J564" s="24" t="s">
        <v>23</v>
      </c>
      <c r="K564" s="35" t="s">
        <v>31</v>
      </c>
      <c r="L564" s="25" t="s">
        <v>124</v>
      </c>
      <c r="M564" s="21" t="s">
        <v>32</v>
      </c>
      <c r="N564" s="37">
        <v>49.86</v>
      </c>
      <c r="O564" s="37">
        <v>12.78</v>
      </c>
      <c r="P564" s="26">
        <f t="shared" si="81"/>
        <v>37.08</v>
      </c>
      <c r="Q564" s="27">
        <v>315</v>
      </c>
      <c r="R564" s="28">
        <f t="shared" si="82"/>
        <v>11680.199999999999</v>
      </c>
      <c r="S564" s="27"/>
      <c r="T564" s="29"/>
      <c r="V564" s="29" t="s">
        <v>24</v>
      </c>
      <c r="W564" s="27">
        <v>145</v>
      </c>
      <c r="X564" s="30">
        <f t="shared" si="78"/>
        <v>5376.5999999999995</v>
      </c>
      <c r="Y564" s="31">
        <v>260</v>
      </c>
      <c r="Z564" s="31">
        <f t="shared" si="79"/>
        <v>9640.7999999999993</v>
      </c>
      <c r="AA564" s="29">
        <f t="shared" si="80"/>
        <v>26697.599999999999</v>
      </c>
    </row>
    <row r="565" spans="1:38" s="32" customFormat="1" x14ac:dyDescent="0.25">
      <c r="A565" s="18">
        <v>569</v>
      </c>
      <c r="B565" s="19">
        <v>46035</v>
      </c>
      <c r="C565" s="19">
        <v>46035</v>
      </c>
      <c r="D565" s="70" t="s">
        <v>1094</v>
      </c>
      <c r="E565" s="21"/>
      <c r="F565" s="21"/>
      <c r="G565" s="21"/>
      <c r="H565" s="33">
        <v>102</v>
      </c>
      <c r="I565" s="60" t="s">
        <v>287</v>
      </c>
      <c r="J565" s="34" t="s">
        <v>23</v>
      </c>
      <c r="K565" s="35" t="s">
        <v>31</v>
      </c>
      <c r="L565" s="51" t="s">
        <v>1095</v>
      </c>
      <c r="M565" s="21" t="s">
        <v>289</v>
      </c>
      <c r="N565" s="21">
        <v>9.1199999999999992</v>
      </c>
      <c r="O565" s="21">
        <v>3.54</v>
      </c>
      <c r="P565" s="26">
        <f>N566-O566</f>
        <v>5.8999999999999995</v>
      </c>
      <c r="Q565" s="27">
        <v>140</v>
      </c>
      <c r="R565" s="28">
        <f t="shared" si="82"/>
        <v>825.99999999999989</v>
      </c>
      <c r="S565" s="27"/>
      <c r="T565" s="29"/>
      <c r="V565" s="29" t="s">
        <v>253</v>
      </c>
      <c r="W565" s="27"/>
      <c r="X565" s="30">
        <f t="shared" ref="X565:X596" si="83">P565*W565</f>
        <v>0</v>
      </c>
      <c r="Y565" s="31"/>
      <c r="Z565" s="31">
        <f t="shared" ref="Z565:Z596" si="84">P565*Y565</f>
        <v>0</v>
      </c>
      <c r="AA565" s="29">
        <f t="shared" ref="AA565:AA596" si="85">R565+X565+Z565</f>
        <v>825.99999999999989</v>
      </c>
    </row>
    <row r="566" spans="1:38" s="32" customFormat="1" x14ac:dyDescent="0.25">
      <c r="A566" s="18">
        <v>570</v>
      </c>
      <c r="B566" s="19">
        <v>46035</v>
      </c>
      <c r="C566" s="19">
        <v>46035</v>
      </c>
      <c r="D566" s="70" t="s">
        <v>1096</v>
      </c>
      <c r="E566" s="21"/>
      <c r="F566" s="21"/>
      <c r="G566" s="21"/>
      <c r="H566" s="33">
        <v>102</v>
      </c>
      <c r="I566" s="62" t="s">
        <v>287</v>
      </c>
      <c r="J566" s="34" t="s">
        <v>23</v>
      </c>
      <c r="K566" s="35" t="s">
        <v>31</v>
      </c>
      <c r="L566" s="82" t="s">
        <v>288</v>
      </c>
      <c r="M566" s="83" t="s">
        <v>289</v>
      </c>
      <c r="N566" s="83">
        <v>9.44</v>
      </c>
      <c r="O566" s="83">
        <v>3.54</v>
      </c>
      <c r="P566" s="26">
        <f>N565-O565</f>
        <v>5.5799999999999992</v>
      </c>
      <c r="Q566" s="27">
        <v>140</v>
      </c>
      <c r="R566" s="28">
        <f t="shared" si="82"/>
        <v>781.19999999999993</v>
      </c>
      <c r="S566" s="27"/>
      <c r="T566" s="29"/>
      <c r="V566" s="29" t="s">
        <v>253</v>
      </c>
      <c r="W566" s="27"/>
      <c r="X566" s="30">
        <f t="shared" si="83"/>
        <v>0</v>
      </c>
      <c r="Y566" s="31"/>
      <c r="Z566" s="31">
        <f t="shared" si="84"/>
        <v>0</v>
      </c>
      <c r="AA566" s="29">
        <f t="shared" si="85"/>
        <v>781.19999999999993</v>
      </c>
    </row>
    <row r="567" spans="1:38" s="32" customFormat="1" x14ac:dyDescent="0.25">
      <c r="A567" s="18">
        <v>571</v>
      </c>
      <c r="B567" s="19">
        <v>46035</v>
      </c>
      <c r="C567" s="19">
        <v>46035</v>
      </c>
      <c r="D567" s="70">
        <v>260113016</v>
      </c>
      <c r="E567" s="21" t="s">
        <v>1097</v>
      </c>
      <c r="F567" s="21" t="s">
        <v>1098</v>
      </c>
      <c r="G567" s="21">
        <v>44</v>
      </c>
      <c r="H567" s="36">
        <v>122</v>
      </c>
      <c r="I567" s="23" t="s">
        <v>342</v>
      </c>
      <c r="J567" s="24" t="s">
        <v>23</v>
      </c>
      <c r="K567" s="23" t="s">
        <v>31</v>
      </c>
      <c r="L567" s="27" t="s">
        <v>61</v>
      </c>
      <c r="M567" s="27" t="s">
        <v>343</v>
      </c>
      <c r="N567" s="27">
        <v>59.96</v>
      </c>
      <c r="O567" s="27">
        <v>15.34</v>
      </c>
      <c r="P567" s="26">
        <f>N567-O567</f>
        <v>44.620000000000005</v>
      </c>
      <c r="Q567" s="27">
        <v>395</v>
      </c>
      <c r="R567" s="28">
        <f t="shared" si="82"/>
        <v>17624.900000000001</v>
      </c>
      <c r="S567" s="27"/>
      <c r="T567" s="29"/>
      <c r="V567" s="29" t="s">
        <v>24</v>
      </c>
      <c r="W567" s="27">
        <v>145</v>
      </c>
      <c r="X567" s="30">
        <f t="shared" si="83"/>
        <v>6469.9000000000005</v>
      </c>
      <c r="Y567" s="31">
        <v>250</v>
      </c>
      <c r="Z567" s="31">
        <f t="shared" si="84"/>
        <v>11155.000000000002</v>
      </c>
      <c r="AA567" s="29">
        <f t="shared" si="85"/>
        <v>35249.800000000003</v>
      </c>
    </row>
    <row r="568" spans="1:38" s="38" customFormat="1" x14ac:dyDescent="0.25">
      <c r="A568" s="18">
        <v>572</v>
      </c>
      <c r="B568" s="19">
        <v>46035</v>
      </c>
      <c r="C568" s="19">
        <v>46035</v>
      </c>
      <c r="D568" s="70">
        <v>260113017</v>
      </c>
      <c r="E568" s="21"/>
      <c r="F568" s="21" t="s">
        <v>1099</v>
      </c>
      <c r="G568" s="21">
        <v>42</v>
      </c>
      <c r="H568" s="21"/>
      <c r="I568" s="79" t="s">
        <v>703</v>
      </c>
      <c r="J568" s="24" t="s">
        <v>23</v>
      </c>
      <c r="K568" s="35" t="s">
        <v>31</v>
      </c>
      <c r="L568" s="25" t="s">
        <v>1100</v>
      </c>
      <c r="M568" s="21" t="s">
        <v>34</v>
      </c>
      <c r="N568" s="21">
        <v>60.34</v>
      </c>
      <c r="O568" s="37">
        <v>17.920000000000002</v>
      </c>
      <c r="P568" s="26">
        <f t="shared" ref="P568:P631" si="86">N568-O568</f>
        <v>42.42</v>
      </c>
      <c r="Q568" s="27">
        <v>520</v>
      </c>
      <c r="R568" s="28">
        <f t="shared" si="82"/>
        <v>22058.400000000001</v>
      </c>
      <c r="S568" s="27"/>
      <c r="T568" s="29"/>
      <c r="V568" s="29" t="s">
        <v>45</v>
      </c>
      <c r="W568" s="27"/>
      <c r="X568" s="30">
        <f t="shared" si="83"/>
        <v>0</v>
      </c>
      <c r="Y568" s="31"/>
      <c r="Z568" s="31">
        <f t="shared" si="84"/>
        <v>0</v>
      </c>
      <c r="AA568" s="29">
        <f t="shared" si="85"/>
        <v>22058.400000000001</v>
      </c>
    </row>
    <row r="569" spans="1:38" s="32" customFormat="1" x14ac:dyDescent="0.25">
      <c r="A569" s="18">
        <v>573</v>
      </c>
      <c r="B569" s="19">
        <v>46035</v>
      </c>
      <c r="C569" s="19">
        <v>46035</v>
      </c>
      <c r="D569" s="70">
        <v>260113018</v>
      </c>
      <c r="E569" s="21" t="s">
        <v>1101</v>
      </c>
      <c r="F569" s="21" t="s">
        <v>1102</v>
      </c>
      <c r="G569" s="21">
        <v>31</v>
      </c>
      <c r="H569" s="36">
        <v>122</v>
      </c>
      <c r="I569" s="23" t="s">
        <v>342</v>
      </c>
      <c r="J569" s="24" t="s">
        <v>23</v>
      </c>
      <c r="K569" s="23" t="s">
        <v>31</v>
      </c>
      <c r="L569" s="25" t="s">
        <v>1103</v>
      </c>
      <c r="M569" s="21" t="s">
        <v>343</v>
      </c>
      <c r="N569" s="37">
        <v>42.66</v>
      </c>
      <c r="O569" s="21">
        <v>11.62</v>
      </c>
      <c r="P569" s="26">
        <f t="shared" si="86"/>
        <v>31.04</v>
      </c>
      <c r="Q569" s="27">
        <v>395</v>
      </c>
      <c r="R569" s="28">
        <f t="shared" si="82"/>
        <v>12260.8</v>
      </c>
      <c r="S569" s="27"/>
      <c r="T569" s="29"/>
      <c r="V569" s="29" t="s">
        <v>24</v>
      </c>
      <c r="W569" s="27">
        <v>145</v>
      </c>
      <c r="X569" s="30">
        <f t="shared" si="83"/>
        <v>4500.8</v>
      </c>
      <c r="Y569" s="31">
        <v>250</v>
      </c>
      <c r="Z569" s="31">
        <f t="shared" si="84"/>
        <v>7760</v>
      </c>
      <c r="AA569" s="29">
        <f t="shared" si="85"/>
        <v>24521.599999999999</v>
      </c>
    </row>
    <row r="570" spans="1:38" s="32" customFormat="1" x14ac:dyDescent="0.25">
      <c r="A570" s="18">
        <v>574</v>
      </c>
      <c r="B570" s="19">
        <v>46035</v>
      </c>
      <c r="C570" s="19">
        <v>46035</v>
      </c>
      <c r="D570" s="70">
        <v>260113019</v>
      </c>
      <c r="E570" s="21" t="s">
        <v>1104</v>
      </c>
      <c r="F570" s="21" t="s">
        <v>1105</v>
      </c>
      <c r="G570" s="21">
        <v>35</v>
      </c>
      <c r="H570" s="36">
        <v>122</v>
      </c>
      <c r="I570" s="23" t="s">
        <v>342</v>
      </c>
      <c r="J570" s="24" t="s">
        <v>23</v>
      </c>
      <c r="K570" s="23" t="s">
        <v>31</v>
      </c>
      <c r="L570" s="25" t="s">
        <v>932</v>
      </c>
      <c r="M570" s="21" t="s">
        <v>343</v>
      </c>
      <c r="N570" s="37">
        <v>47.1</v>
      </c>
      <c r="O570" s="37">
        <v>11.88</v>
      </c>
      <c r="P570" s="26">
        <f t="shared" si="86"/>
        <v>35.22</v>
      </c>
      <c r="Q570" s="27">
        <v>395</v>
      </c>
      <c r="R570" s="28">
        <f t="shared" si="82"/>
        <v>13911.9</v>
      </c>
      <c r="S570" s="27"/>
      <c r="T570" s="29"/>
      <c r="V570" s="29" t="s">
        <v>24</v>
      </c>
      <c r="W570" s="27">
        <v>145</v>
      </c>
      <c r="X570" s="30">
        <f t="shared" si="83"/>
        <v>5106.8999999999996</v>
      </c>
      <c r="Y570" s="31">
        <v>250</v>
      </c>
      <c r="Z570" s="31">
        <f t="shared" si="84"/>
        <v>8805</v>
      </c>
      <c r="AA570" s="29">
        <f t="shared" si="85"/>
        <v>27823.8</v>
      </c>
    </row>
    <row r="571" spans="1:38" s="32" customFormat="1" x14ac:dyDescent="0.25">
      <c r="A571" s="18">
        <v>575</v>
      </c>
      <c r="B571" s="19">
        <v>46035</v>
      </c>
      <c r="C571" s="19">
        <v>46035</v>
      </c>
      <c r="D571" s="70">
        <v>260113020</v>
      </c>
      <c r="E571" s="21" t="s">
        <v>1106</v>
      </c>
      <c r="F571" s="21" t="s">
        <v>1107</v>
      </c>
      <c r="G571" s="21">
        <v>36</v>
      </c>
      <c r="H571" s="48">
        <v>53</v>
      </c>
      <c r="I571" s="52" t="s">
        <v>57</v>
      </c>
      <c r="J571" s="24" t="s">
        <v>23</v>
      </c>
      <c r="K571" s="23" t="s">
        <v>31</v>
      </c>
      <c r="L571" s="25" t="s">
        <v>43</v>
      </c>
      <c r="M571" s="21" t="s">
        <v>34</v>
      </c>
      <c r="N571" s="37">
        <v>47.2</v>
      </c>
      <c r="O571" s="37">
        <v>11.14</v>
      </c>
      <c r="P571" s="26">
        <f t="shared" si="86"/>
        <v>36.06</v>
      </c>
      <c r="Q571" s="27">
        <v>530</v>
      </c>
      <c r="R571" s="28">
        <f t="shared" si="82"/>
        <v>19111.800000000003</v>
      </c>
      <c r="S571" s="27"/>
      <c r="T571" s="29"/>
      <c r="V571" s="29" t="s">
        <v>24</v>
      </c>
      <c r="W571" s="27">
        <v>145</v>
      </c>
      <c r="X571" s="30">
        <f t="shared" si="83"/>
        <v>5228.7000000000007</v>
      </c>
      <c r="Y571" s="31">
        <v>210</v>
      </c>
      <c r="Z571" s="31">
        <f t="shared" si="84"/>
        <v>7572.6</v>
      </c>
      <c r="AA571" s="29">
        <f t="shared" si="85"/>
        <v>31913.100000000006</v>
      </c>
    </row>
    <row r="572" spans="1:38" s="32" customFormat="1" x14ac:dyDescent="0.25">
      <c r="A572" s="18">
        <v>576</v>
      </c>
      <c r="B572" s="19">
        <v>46035</v>
      </c>
      <c r="C572" s="19">
        <v>46035</v>
      </c>
      <c r="D572" s="70">
        <v>260113021</v>
      </c>
      <c r="E572" s="21" t="s">
        <v>1108</v>
      </c>
      <c r="F572" s="21" t="s">
        <v>1109</v>
      </c>
      <c r="G572" s="21">
        <v>34</v>
      </c>
      <c r="H572" s="48">
        <v>53</v>
      </c>
      <c r="I572" s="52" t="s">
        <v>57</v>
      </c>
      <c r="J572" s="49" t="s">
        <v>23</v>
      </c>
      <c r="K572" s="23" t="s">
        <v>31</v>
      </c>
      <c r="L572" s="25" t="s">
        <v>39</v>
      </c>
      <c r="M572" s="21" t="s">
        <v>34</v>
      </c>
      <c r="N572" s="37">
        <v>46.4</v>
      </c>
      <c r="O572" s="37">
        <v>11.68</v>
      </c>
      <c r="P572" s="26">
        <f t="shared" si="86"/>
        <v>34.72</v>
      </c>
      <c r="Q572" s="27">
        <v>530</v>
      </c>
      <c r="R572" s="28">
        <f t="shared" si="82"/>
        <v>18401.599999999999</v>
      </c>
      <c r="S572" s="27"/>
      <c r="T572" s="29"/>
      <c r="V572" s="29" t="s">
        <v>24</v>
      </c>
      <c r="W572" s="27">
        <v>145</v>
      </c>
      <c r="X572" s="30">
        <f t="shared" si="83"/>
        <v>5034.3999999999996</v>
      </c>
      <c r="Y572" s="31">
        <v>210</v>
      </c>
      <c r="Z572" s="31">
        <f t="shared" si="84"/>
        <v>7291.2</v>
      </c>
      <c r="AA572" s="29">
        <f t="shared" si="85"/>
        <v>30727.200000000001</v>
      </c>
      <c r="AB572" s="40"/>
      <c r="AC572" s="39"/>
      <c r="AD572" s="41"/>
      <c r="AE572" s="42"/>
      <c r="AF572" s="39"/>
      <c r="AG572" s="42"/>
      <c r="AH572" s="39"/>
      <c r="AI572" s="41"/>
      <c r="AJ572" s="39"/>
      <c r="AK572" s="41"/>
      <c r="AL572" s="41"/>
    </row>
    <row r="573" spans="1:38" s="32" customFormat="1" x14ac:dyDescent="0.25">
      <c r="A573" s="18">
        <v>577</v>
      </c>
      <c r="B573" s="19">
        <v>46035</v>
      </c>
      <c r="C573" s="19">
        <v>46035</v>
      </c>
      <c r="D573" s="70">
        <v>260113022</v>
      </c>
      <c r="E573" s="21" t="s">
        <v>1110</v>
      </c>
      <c r="F573" s="21" t="s">
        <v>1111</v>
      </c>
      <c r="G573" s="21">
        <v>45</v>
      </c>
      <c r="H573" s="48">
        <v>53</v>
      </c>
      <c r="I573" s="52" t="s">
        <v>57</v>
      </c>
      <c r="J573" s="24" t="s">
        <v>23</v>
      </c>
      <c r="K573" s="23" t="s">
        <v>31</v>
      </c>
      <c r="L573" s="25" t="s">
        <v>36</v>
      </c>
      <c r="M573" s="21" t="s">
        <v>34</v>
      </c>
      <c r="N573" s="37">
        <v>61.14</v>
      </c>
      <c r="O573" s="37">
        <v>15.7</v>
      </c>
      <c r="P573" s="26">
        <f t="shared" si="86"/>
        <v>45.44</v>
      </c>
      <c r="Q573" s="27">
        <v>530</v>
      </c>
      <c r="R573" s="28">
        <f t="shared" si="82"/>
        <v>24083.199999999997</v>
      </c>
      <c r="S573" s="27"/>
      <c r="T573" s="29"/>
      <c r="V573" s="29" t="s">
        <v>24</v>
      </c>
      <c r="W573" s="27">
        <v>145</v>
      </c>
      <c r="X573" s="30">
        <f t="shared" si="83"/>
        <v>6588.7999999999993</v>
      </c>
      <c r="Y573" s="31">
        <v>210</v>
      </c>
      <c r="Z573" s="31">
        <f t="shared" si="84"/>
        <v>9542.4</v>
      </c>
      <c r="AA573" s="29">
        <f t="shared" si="85"/>
        <v>40214.399999999994</v>
      </c>
    </row>
    <row r="574" spans="1:38" s="32" customFormat="1" x14ac:dyDescent="0.25">
      <c r="A574" s="18">
        <v>578</v>
      </c>
      <c r="B574" s="19">
        <v>46035</v>
      </c>
      <c r="C574" s="19">
        <v>46035</v>
      </c>
      <c r="D574" s="70">
        <v>260113023</v>
      </c>
      <c r="E574" s="21" t="s">
        <v>1112</v>
      </c>
      <c r="F574" s="21" t="s">
        <v>1113</v>
      </c>
      <c r="G574" s="21">
        <v>48</v>
      </c>
      <c r="H574" s="48">
        <v>53</v>
      </c>
      <c r="I574" s="52" t="s">
        <v>57</v>
      </c>
      <c r="J574" s="49" t="s">
        <v>23</v>
      </c>
      <c r="K574" s="23" t="s">
        <v>31</v>
      </c>
      <c r="L574" s="25" t="s">
        <v>55</v>
      </c>
      <c r="M574" s="21" t="s">
        <v>34</v>
      </c>
      <c r="N574" s="37">
        <v>66.42</v>
      </c>
      <c r="O574" s="37">
        <v>18.100000000000001</v>
      </c>
      <c r="P574" s="26">
        <f t="shared" si="86"/>
        <v>48.32</v>
      </c>
      <c r="Q574" s="27">
        <v>530</v>
      </c>
      <c r="R574" s="28">
        <f t="shared" si="82"/>
        <v>25609.599999999999</v>
      </c>
      <c r="S574" s="27"/>
      <c r="T574" s="29"/>
      <c r="V574" s="29" t="s">
        <v>24</v>
      </c>
      <c r="W574" s="27">
        <v>145</v>
      </c>
      <c r="X574" s="30">
        <f t="shared" si="83"/>
        <v>7006.4</v>
      </c>
      <c r="Y574" s="31">
        <v>210</v>
      </c>
      <c r="Z574" s="31">
        <f t="shared" si="84"/>
        <v>10147.200000000001</v>
      </c>
      <c r="AA574" s="29">
        <f t="shared" si="85"/>
        <v>42763.199999999997</v>
      </c>
    </row>
    <row r="575" spans="1:38" s="32" customFormat="1" x14ac:dyDescent="0.25">
      <c r="A575" s="18">
        <v>579</v>
      </c>
      <c r="B575" s="19">
        <v>46035</v>
      </c>
      <c r="C575" s="19">
        <v>46035</v>
      </c>
      <c r="D575" s="70">
        <v>260113024</v>
      </c>
      <c r="E575" s="21" t="s">
        <v>1114</v>
      </c>
      <c r="F575" s="21" t="s">
        <v>1115</v>
      </c>
      <c r="G575" s="21">
        <v>50</v>
      </c>
      <c r="H575" s="48">
        <v>53</v>
      </c>
      <c r="I575" s="52" t="s">
        <v>57</v>
      </c>
      <c r="J575" s="49" t="s">
        <v>23</v>
      </c>
      <c r="K575" s="23" t="s">
        <v>31</v>
      </c>
      <c r="L575" s="25" t="s">
        <v>140</v>
      </c>
      <c r="M575" s="21" t="s">
        <v>34</v>
      </c>
      <c r="N575" s="37">
        <v>68.28</v>
      </c>
      <c r="O575" s="37">
        <v>17.52</v>
      </c>
      <c r="P575" s="26">
        <f t="shared" si="86"/>
        <v>50.760000000000005</v>
      </c>
      <c r="Q575" s="27">
        <v>530</v>
      </c>
      <c r="R575" s="28">
        <f t="shared" si="82"/>
        <v>26902.800000000003</v>
      </c>
      <c r="S575" s="27"/>
      <c r="T575" s="29"/>
      <c r="V575" s="29" t="s">
        <v>24</v>
      </c>
      <c r="W575" s="27">
        <v>145</v>
      </c>
      <c r="X575" s="30">
        <f t="shared" si="83"/>
        <v>7360.2000000000007</v>
      </c>
      <c r="Y575" s="31">
        <v>210</v>
      </c>
      <c r="Z575" s="31">
        <f t="shared" si="84"/>
        <v>10659.6</v>
      </c>
      <c r="AA575" s="29">
        <f t="shared" si="85"/>
        <v>44922.6</v>
      </c>
    </row>
    <row r="576" spans="1:38" s="32" customFormat="1" x14ac:dyDescent="0.25">
      <c r="A576" s="18">
        <v>580</v>
      </c>
      <c r="B576" s="19">
        <v>46035</v>
      </c>
      <c r="C576" s="19">
        <v>46035</v>
      </c>
      <c r="D576" s="70" t="s">
        <v>1116</v>
      </c>
      <c r="E576" s="21"/>
      <c r="F576" s="21"/>
      <c r="G576" s="21"/>
      <c r="H576" s="33">
        <v>102</v>
      </c>
      <c r="I576" s="62" t="s">
        <v>287</v>
      </c>
      <c r="J576" s="34" t="s">
        <v>23</v>
      </c>
      <c r="K576" s="35" t="s">
        <v>31</v>
      </c>
      <c r="L576" s="82" t="s">
        <v>288</v>
      </c>
      <c r="M576" s="83" t="s">
        <v>289</v>
      </c>
      <c r="N576" s="37">
        <v>9.58</v>
      </c>
      <c r="O576" s="37">
        <v>3.58</v>
      </c>
      <c r="P576" s="26">
        <f t="shared" si="86"/>
        <v>6</v>
      </c>
      <c r="Q576" s="27">
        <v>140</v>
      </c>
      <c r="R576" s="28">
        <f t="shared" si="82"/>
        <v>840</v>
      </c>
      <c r="S576" s="27"/>
      <c r="T576" s="29"/>
      <c r="V576" s="29" t="s">
        <v>253</v>
      </c>
      <c r="W576" s="27"/>
      <c r="X576" s="30">
        <f t="shared" si="83"/>
        <v>0</v>
      </c>
      <c r="Y576" s="31"/>
      <c r="Z576" s="31">
        <f t="shared" si="84"/>
        <v>0</v>
      </c>
      <c r="AA576" s="29">
        <f t="shared" si="85"/>
        <v>840</v>
      </c>
    </row>
    <row r="577" spans="1:27" s="38" customFormat="1" x14ac:dyDescent="0.25">
      <c r="A577" s="18">
        <v>581</v>
      </c>
      <c r="B577" s="19">
        <v>46035</v>
      </c>
      <c r="C577" s="19">
        <v>46035</v>
      </c>
      <c r="D577" s="70" t="s">
        <v>1117</v>
      </c>
      <c r="E577" s="21"/>
      <c r="F577" s="21"/>
      <c r="G577" s="21"/>
      <c r="H577" s="33">
        <v>102</v>
      </c>
      <c r="I577" s="60" t="s">
        <v>287</v>
      </c>
      <c r="J577" s="34" t="s">
        <v>23</v>
      </c>
      <c r="K577" s="35" t="s">
        <v>31</v>
      </c>
      <c r="L577" s="51" t="s">
        <v>1095</v>
      </c>
      <c r="M577" s="21" t="s">
        <v>289</v>
      </c>
      <c r="N577" s="37">
        <v>9.66</v>
      </c>
      <c r="O577" s="37">
        <v>3.54</v>
      </c>
      <c r="P577" s="26">
        <f t="shared" si="86"/>
        <v>6.12</v>
      </c>
      <c r="Q577" s="27">
        <v>140</v>
      </c>
      <c r="R577" s="28">
        <f t="shared" si="82"/>
        <v>856.80000000000007</v>
      </c>
      <c r="S577" s="27"/>
      <c r="T577" s="29"/>
      <c r="V577" s="29" t="s">
        <v>253</v>
      </c>
      <c r="W577" s="27"/>
      <c r="X577" s="30">
        <f t="shared" si="83"/>
        <v>0</v>
      </c>
      <c r="Y577" s="31"/>
      <c r="Z577" s="31">
        <f t="shared" si="84"/>
        <v>0</v>
      </c>
      <c r="AA577" s="29">
        <f t="shared" si="85"/>
        <v>856.80000000000007</v>
      </c>
    </row>
    <row r="578" spans="1:27" s="38" customFormat="1" x14ac:dyDescent="0.25">
      <c r="A578" s="18">
        <v>582</v>
      </c>
      <c r="B578" s="19">
        <v>46035</v>
      </c>
      <c r="C578" s="19">
        <v>46035</v>
      </c>
      <c r="D578" s="70">
        <v>260113025</v>
      </c>
      <c r="E578" s="21" t="s">
        <v>1118</v>
      </c>
      <c r="F578" s="21" t="s">
        <v>1119</v>
      </c>
      <c r="G578" s="21">
        <v>44</v>
      </c>
      <c r="H578" s="48">
        <v>53</v>
      </c>
      <c r="I578" s="52" t="s">
        <v>57</v>
      </c>
      <c r="J578" s="49" t="s">
        <v>23</v>
      </c>
      <c r="K578" s="23" t="s">
        <v>31</v>
      </c>
      <c r="L578" s="25" t="s">
        <v>46</v>
      </c>
      <c r="M578" s="21" t="s">
        <v>34</v>
      </c>
      <c r="N578" s="37">
        <v>59.12</v>
      </c>
      <c r="O578" s="37">
        <v>14.96</v>
      </c>
      <c r="P578" s="26">
        <f t="shared" si="86"/>
        <v>44.16</v>
      </c>
      <c r="Q578" s="27">
        <v>530</v>
      </c>
      <c r="R578" s="28">
        <f t="shared" si="82"/>
        <v>23404.799999999999</v>
      </c>
      <c r="S578" s="27"/>
      <c r="T578" s="29"/>
      <c r="V578" s="29" t="s">
        <v>24</v>
      </c>
      <c r="W578" s="27">
        <v>145</v>
      </c>
      <c r="X578" s="30">
        <f t="shared" si="83"/>
        <v>6403.2</v>
      </c>
      <c r="Y578" s="31">
        <v>210</v>
      </c>
      <c r="Z578" s="31">
        <f t="shared" si="84"/>
        <v>9273.5999999999985</v>
      </c>
      <c r="AA578" s="29">
        <f t="shared" si="85"/>
        <v>39081.599999999999</v>
      </c>
    </row>
    <row r="579" spans="1:27" s="32" customFormat="1" x14ac:dyDescent="0.25">
      <c r="A579" s="18">
        <v>583</v>
      </c>
      <c r="B579" s="19">
        <v>46035</v>
      </c>
      <c r="C579" s="19">
        <v>46035</v>
      </c>
      <c r="D579" s="70">
        <v>260113026</v>
      </c>
      <c r="E579" s="21" t="s">
        <v>1120</v>
      </c>
      <c r="F579" s="21" t="s">
        <v>1121</v>
      </c>
      <c r="G579" s="21">
        <v>33</v>
      </c>
      <c r="H579" s="36">
        <v>134</v>
      </c>
      <c r="I579" s="23" t="s">
        <v>1122</v>
      </c>
      <c r="J579" s="24" t="s">
        <v>23</v>
      </c>
      <c r="K579" s="23" t="s">
        <v>31</v>
      </c>
      <c r="L579" s="25" t="s">
        <v>65</v>
      </c>
      <c r="M579" s="21" t="s">
        <v>34</v>
      </c>
      <c r="N579" s="37">
        <v>45.34</v>
      </c>
      <c r="O579" s="37">
        <v>11.92</v>
      </c>
      <c r="P579" s="26">
        <f t="shared" si="86"/>
        <v>33.42</v>
      </c>
      <c r="Q579" s="27">
        <v>510</v>
      </c>
      <c r="R579" s="28">
        <f t="shared" si="82"/>
        <v>17044.2</v>
      </c>
      <c r="S579" s="27"/>
      <c r="T579" s="29"/>
      <c r="V579" s="29" t="s">
        <v>24</v>
      </c>
      <c r="W579" s="27">
        <v>145</v>
      </c>
      <c r="X579" s="30">
        <f t="shared" si="83"/>
        <v>4845.9000000000005</v>
      </c>
      <c r="Y579" s="31">
        <v>250</v>
      </c>
      <c r="Z579" s="31">
        <f t="shared" si="84"/>
        <v>8355</v>
      </c>
      <c r="AA579" s="29">
        <f t="shared" si="85"/>
        <v>30245.100000000002</v>
      </c>
    </row>
    <row r="580" spans="1:27" s="32" customFormat="1" x14ac:dyDescent="0.25">
      <c r="A580" s="18">
        <v>584</v>
      </c>
      <c r="B580" s="19">
        <v>46035</v>
      </c>
      <c r="C580" s="19">
        <v>46035</v>
      </c>
      <c r="D580" s="70">
        <v>260113027</v>
      </c>
      <c r="E580" s="21" t="s">
        <v>1123</v>
      </c>
      <c r="F580" s="21" t="s">
        <v>1124</v>
      </c>
      <c r="G580" s="21">
        <v>31</v>
      </c>
      <c r="H580" s="36">
        <v>134</v>
      </c>
      <c r="I580" s="23" t="s">
        <v>1122</v>
      </c>
      <c r="J580" s="24" t="s">
        <v>23</v>
      </c>
      <c r="K580" s="23" t="s">
        <v>31</v>
      </c>
      <c r="L580" s="25" t="s">
        <v>1125</v>
      </c>
      <c r="M580" s="21" t="s">
        <v>34</v>
      </c>
      <c r="N580" s="37">
        <v>43.28</v>
      </c>
      <c r="O580" s="37">
        <v>11.5</v>
      </c>
      <c r="P580" s="26">
        <f t="shared" si="86"/>
        <v>31.78</v>
      </c>
      <c r="Q580" s="27">
        <v>510</v>
      </c>
      <c r="R580" s="28">
        <f t="shared" si="82"/>
        <v>16207.800000000001</v>
      </c>
      <c r="S580" s="27"/>
      <c r="T580" s="29"/>
      <c r="V580" s="29" t="s">
        <v>24</v>
      </c>
      <c r="W580" s="27">
        <v>145</v>
      </c>
      <c r="X580" s="30">
        <f t="shared" si="83"/>
        <v>4608.1000000000004</v>
      </c>
      <c r="Y580" s="31">
        <v>250</v>
      </c>
      <c r="Z580" s="31">
        <f t="shared" si="84"/>
        <v>7945</v>
      </c>
      <c r="AA580" s="29">
        <f t="shared" si="85"/>
        <v>28760.9</v>
      </c>
    </row>
    <row r="581" spans="1:27" s="32" customFormat="1" x14ac:dyDescent="0.25">
      <c r="A581" s="18">
        <v>585</v>
      </c>
      <c r="B581" s="19">
        <v>46035</v>
      </c>
      <c r="C581" s="19">
        <v>46035</v>
      </c>
      <c r="D581" s="51" t="s">
        <v>1126</v>
      </c>
      <c r="E581" s="21"/>
      <c r="F581" s="21"/>
      <c r="G581" s="21"/>
      <c r="H581" s="33">
        <v>102</v>
      </c>
      <c r="I581" s="62" t="s">
        <v>287</v>
      </c>
      <c r="J581" s="34" t="s">
        <v>23</v>
      </c>
      <c r="K581" s="35" t="s">
        <v>31</v>
      </c>
      <c r="L581" s="25" t="s">
        <v>288</v>
      </c>
      <c r="M581" s="83" t="s">
        <v>289</v>
      </c>
      <c r="N581" s="37">
        <v>9.36</v>
      </c>
      <c r="O581" s="37">
        <v>3.58</v>
      </c>
      <c r="P581" s="26">
        <f t="shared" si="86"/>
        <v>5.7799999999999994</v>
      </c>
      <c r="Q581" s="27">
        <v>140</v>
      </c>
      <c r="R581" s="28">
        <f t="shared" si="82"/>
        <v>809.19999999999993</v>
      </c>
      <c r="S581" s="27"/>
      <c r="T581" s="29"/>
      <c r="V581" s="29" t="s">
        <v>253</v>
      </c>
      <c r="W581" s="27"/>
      <c r="X581" s="30">
        <f t="shared" si="83"/>
        <v>0</v>
      </c>
      <c r="Y581" s="31"/>
      <c r="Z581" s="31">
        <f t="shared" si="84"/>
        <v>0</v>
      </c>
      <c r="AA581" s="29">
        <f t="shared" si="85"/>
        <v>809.19999999999993</v>
      </c>
    </row>
    <row r="582" spans="1:27" s="38" customFormat="1" x14ac:dyDescent="0.25">
      <c r="A582" s="18">
        <v>586</v>
      </c>
      <c r="B582" s="19">
        <v>46035</v>
      </c>
      <c r="C582" s="19">
        <v>46035</v>
      </c>
      <c r="D582" s="51" t="s">
        <v>1127</v>
      </c>
      <c r="E582" s="21"/>
      <c r="F582" s="21"/>
      <c r="G582" s="21"/>
      <c r="H582" s="33">
        <v>102</v>
      </c>
      <c r="I582" s="60" t="s">
        <v>287</v>
      </c>
      <c r="J582" s="34" t="s">
        <v>23</v>
      </c>
      <c r="K582" s="35" t="s">
        <v>31</v>
      </c>
      <c r="L582" s="51" t="s">
        <v>1095</v>
      </c>
      <c r="M582" s="21" t="s">
        <v>289</v>
      </c>
      <c r="N582" s="37">
        <v>9.4600000000000009</v>
      </c>
      <c r="O582" s="37">
        <v>3.54</v>
      </c>
      <c r="P582" s="26">
        <f t="shared" si="86"/>
        <v>5.9200000000000008</v>
      </c>
      <c r="Q582" s="27">
        <v>140</v>
      </c>
      <c r="R582" s="28">
        <f t="shared" si="82"/>
        <v>828.80000000000007</v>
      </c>
      <c r="S582" s="27"/>
      <c r="T582" s="29"/>
      <c r="V582" s="29" t="s">
        <v>253</v>
      </c>
      <c r="W582" s="27"/>
      <c r="X582" s="30">
        <f t="shared" si="83"/>
        <v>0</v>
      </c>
      <c r="Y582" s="31"/>
      <c r="Z582" s="31">
        <f t="shared" si="84"/>
        <v>0</v>
      </c>
      <c r="AA582" s="29">
        <f t="shared" si="85"/>
        <v>828.80000000000007</v>
      </c>
    </row>
    <row r="583" spans="1:27" s="38" customFormat="1" x14ac:dyDescent="0.25">
      <c r="A583" s="18">
        <v>587</v>
      </c>
      <c r="B583" s="19">
        <v>46035</v>
      </c>
      <c r="C583" s="19">
        <v>46035</v>
      </c>
      <c r="D583" s="51">
        <v>260113028</v>
      </c>
      <c r="E583" s="21" t="s">
        <v>1128</v>
      </c>
      <c r="F583" s="21" t="s">
        <v>1129</v>
      </c>
      <c r="G583" s="21">
        <v>45</v>
      </c>
      <c r="H583" s="36">
        <v>134</v>
      </c>
      <c r="I583" s="23" t="s">
        <v>1122</v>
      </c>
      <c r="J583" s="24" t="s">
        <v>23</v>
      </c>
      <c r="K583" s="23" t="s">
        <v>31</v>
      </c>
      <c r="L583" s="20" t="s">
        <v>52</v>
      </c>
      <c r="M583" s="21" t="s">
        <v>34</v>
      </c>
      <c r="N583" s="37">
        <v>60.48</v>
      </c>
      <c r="O583" s="37">
        <v>15.16</v>
      </c>
      <c r="P583" s="26">
        <f t="shared" si="86"/>
        <v>45.319999999999993</v>
      </c>
      <c r="Q583" s="27">
        <v>510</v>
      </c>
      <c r="R583" s="28">
        <f t="shared" si="82"/>
        <v>23113.199999999997</v>
      </c>
      <c r="S583" s="27"/>
      <c r="T583" s="29"/>
      <c r="V583" s="29" t="s">
        <v>24</v>
      </c>
      <c r="W583" s="27">
        <v>145</v>
      </c>
      <c r="X583" s="30">
        <f t="shared" si="83"/>
        <v>6571.3999999999987</v>
      </c>
      <c r="Y583" s="31">
        <v>250</v>
      </c>
      <c r="Z583" s="31">
        <f t="shared" si="84"/>
        <v>11329.999999999998</v>
      </c>
      <c r="AA583" s="29">
        <f t="shared" si="85"/>
        <v>41014.599999999991</v>
      </c>
    </row>
    <row r="584" spans="1:27" s="32" customFormat="1" x14ac:dyDescent="0.25">
      <c r="A584" s="18">
        <v>588</v>
      </c>
      <c r="B584" s="19">
        <v>46035</v>
      </c>
      <c r="C584" s="19">
        <v>46035</v>
      </c>
      <c r="D584" s="51">
        <v>260113029</v>
      </c>
      <c r="E584" s="21" t="s">
        <v>1130</v>
      </c>
      <c r="F584" s="21" t="s">
        <v>1131</v>
      </c>
      <c r="G584" s="21">
        <v>48</v>
      </c>
      <c r="H584" s="36">
        <v>134</v>
      </c>
      <c r="I584" s="23" t="s">
        <v>1122</v>
      </c>
      <c r="J584" s="24" t="s">
        <v>23</v>
      </c>
      <c r="K584" s="23" t="s">
        <v>31</v>
      </c>
      <c r="L584" s="25" t="s">
        <v>348</v>
      </c>
      <c r="M584" s="21" t="s">
        <v>34</v>
      </c>
      <c r="N584" s="37">
        <v>63.8</v>
      </c>
      <c r="O584" s="37">
        <v>15.4</v>
      </c>
      <c r="P584" s="26">
        <f t="shared" si="86"/>
        <v>48.4</v>
      </c>
      <c r="Q584" s="27">
        <v>510</v>
      </c>
      <c r="R584" s="28">
        <f t="shared" si="82"/>
        <v>24684</v>
      </c>
      <c r="S584" s="27"/>
      <c r="T584" s="29"/>
      <c r="V584" s="29" t="s">
        <v>24</v>
      </c>
      <c r="W584" s="27">
        <v>145</v>
      </c>
      <c r="X584" s="30">
        <f t="shared" si="83"/>
        <v>7018</v>
      </c>
      <c r="Y584" s="31">
        <v>250</v>
      </c>
      <c r="Z584" s="31">
        <f t="shared" si="84"/>
        <v>12100</v>
      </c>
      <c r="AA584" s="29">
        <f t="shared" si="85"/>
        <v>43802</v>
      </c>
    </row>
    <row r="585" spans="1:27" s="32" customFormat="1" x14ac:dyDescent="0.25">
      <c r="A585" s="18">
        <v>589</v>
      </c>
      <c r="B585" s="19">
        <v>46035</v>
      </c>
      <c r="C585" s="19">
        <v>46035</v>
      </c>
      <c r="D585" s="51">
        <v>260113030</v>
      </c>
      <c r="E585" s="21" t="s">
        <v>1132</v>
      </c>
      <c r="F585" s="21" t="s">
        <v>1133</v>
      </c>
      <c r="G585" s="21">
        <v>37</v>
      </c>
      <c r="H585" s="36">
        <v>134</v>
      </c>
      <c r="I585" s="23" t="s">
        <v>1122</v>
      </c>
      <c r="J585" s="24" t="s">
        <v>23</v>
      </c>
      <c r="K585" s="23" t="s">
        <v>31</v>
      </c>
      <c r="L585" s="50" t="s">
        <v>173</v>
      </c>
      <c r="M585" s="21" t="s">
        <v>34</v>
      </c>
      <c r="N585" s="37">
        <v>48.82</v>
      </c>
      <c r="O585" s="37">
        <v>11.52</v>
      </c>
      <c r="P585" s="26">
        <f t="shared" si="86"/>
        <v>37.299999999999997</v>
      </c>
      <c r="Q585" s="27">
        <v>510</v>
      </c>
      <c r="R585" s="28">
        <f t="shared" si="82"/>
        <v>19023</v>
      </c>
      <c r="S585" s="27"/>
      <c r="T585" s="29"/>
      <c r="V585" s="29" t="s">
        <v>24</v>
      </c>
      <c r="W585" s="27">
        <v>145</v>
      </c>
      <c r="X585" s="30">
        <f t="shared" si="83"/>
        <v>5408.5</v>
      </c>
      <c r="Y585" s="31">
        <v>250</v>
      </c>
      <c r="Z585" s="31">
        <f t="shared" si="84"/>
        <v>9325</v>
      </c>
      <c r="AA585" s="29">
        <f t="shared" si="85"/>
        <v>33756.5</v>
      </c>
    </row>
    <row r="586" spans="1:27" s="32" customFormat="1" x14ac:dyDescent="0.25">
      <c r="A586" s="18">
        <v>590</v>
      </c>
      <c r="B586" s="19">
        <v>46035</v>
      </c>
      <c r="C586" s="19">
        <v>46035</v>
      </c>
      <c r="D586" s="51" t="s">
        <v>1134</v>
      </c>
      <c r="E586" s="21"/>
      <c r="F586" s="21"/>
      <c r="G586" s="21"/>
      <c r="H586" s="21"/>
      <c r="I586" s="79" t="s">
        <v>1135</v>
      </c>
      <c r="J586" s="24" t="s">
        <v>23</v>
      </c>
      <c r="K586" s="35" t="s">
        <v>30</v>
      </c>
      <c r="L586" s="25" t="s">
        <v>1136</v>
      </c>
      <c r="M586" s="21" t="s">
        <v>289</v>
      </c>
      <c r="N586" s="37">
        <v>8.8800000000000008</v>
      </c>
      <c r="O586" s="37">
        <v>3.6</v>
      </c>
      <c r="P586" s="26">
        <f t="shared" si="86"/>
        <v>5.2800000000000011</v>
      </c>
      <c r="Q586" s="27">
        <v>150</v>
      </c>
      <c r="R586" s="28">
        <f t="shared" si="82"/>
        <v>792.00000000000023</v>
      </c>
      <c r="S586" s="27">
        <v>792</v>
      </c>
      <c r="T586" s="29"/>
      <c r="V586" s="29" t="s">
        <v>253</v>
      </c>
      <c r="W586" s="27"/>
      <c r="X586" s="30">
        <f t="shared" si="83"/>
        <v>0</v>
      </c>
      <c r="Y586" s="31"/>
      <c r="Z586" s="31">
        <f t="shared" si="84"/>
        <v>0</v>
      </c>
      <c r="AA586" s="29">
        <f t="shared" si="85"/>
        <v>792.00000000000023</v>
      </c>
    </row>
    <row r="587" spans="1:27" s="32" customFormat="1" x14ac:dyDescent="0.25">
      <c r="A587" s="18">
        <v>591</v>
      </c>
      <c r="B587" s="19">
        <v>46035</v>
      </c>
      <c r="C587" s="19">
        <v>46035</v>
      </c>
      <c r="D587" s="70">
        <v>260113031</v>
      </c>
      <c r="E587" s="21" t="s">
        <v>1137</v>
      </c>
      <c r="F587" s="21" t="s">
        <v>1138</v>
      </c>
      <c r="G587" s="21">
        <v>32</v>
      </c>
      <c r="H587" s="36">
        <v>134</v>
      </c>
      <c r="I587" s="23" t="s">
        <v>1122</v>
      </c>
      <c r="J587" s="24" t="s">
        <v>23</v>
      </c>
      <c r="K587" s="23" t="s">
        <v>31</v>
      </c>
      <c r="L587" s="20" t="s">
        <v>1139</v>
      </c>
      <c r="M587" s="21" t="s">
        <v>34</v>
      </c>
      <c r="N587" s="37">
        <v>43.98</v>
      </c>
      <c r="O587" s="37">
        <v>11.8</v>
      </c>
      <c r="P587" s="26">
        <f t="shared" si="86"/>
        <v>32.179999999999993</v>
      </c>
      <c r="Q587" s="27">
        <v>510</v>
      </c>
      <c r="R587" s="28">
        <f t="shared" si="82"/>
        <v>16411.799999999996</v>
      </c>
      <c r="S587" s="27"/>
      <c r="T587" s="29"/>
      <c r="V587" s="29" t="s">
        <v>24</v>
      </c>
      <c r="W587" s="27">
        <v>145</v>
      </c>
      <c r="X587" s="30">
        <f t="shared" si="83"/>
        <v>4666.0999999999985</v>
      </c>
      <c r="Y587" s="31">
        <v>250</v>
      </c>
      <c r="Z587" s="31">
        <f t="shared" si="84"/>
        <v>8044.9999999999982</v>
      </c>
      <c r="AA587" s="29">
        <f t="shared" si="85"/>
        <v>29122.899999999994</v>
      </c>
    </row>
    <row r="588" spans="1:27" s="32" customFormat="1" x14ac:dyDescent="0.25">
      <c r="A588" s="18">
        <v>592</v>
      </c>
      <c r="B588" s="19">
        <v>46035</v>
      </c>
      <c r="C588" s="19">
        <v>46035</v>
      </c>
      <c r="D588" s="70">
        <v>260113032</v>
      </c>
      <c r="E588" s="21"/>
      <c r="F588" s="21" t="s">
        <v>1140</v>
      </c>
      <c r="G588" s="21">
        <v>33</v>
      </c>
      <c r="H588" s="33">
        <v>285</v>
      </c>
      <c r="I588" s="73" t="s">
        <v>703</v>
      </c>
      <c r="J588" s="24" t="s">
        <v>23</v>
      </c>
      <c r="K588" s="23" t="s">
        <v>31</v>
      </c>
      <c r="L588" s="20" t="s">
        <v>563</v>
      </c>
      <c r="M588" s="21" t="s">
        <v>34</v>
      </c>
      <c r="N588" s="37">
        <v>45.46</v>
      </c>
      <c r="O588" s="37">
        <v>11.64</v>
      </c>
      <c r="P588" s="26">
        <f t="shared" si="86"/>
        <v>33.82</v>
      </c>
      <c r="Q588" s="27">
        <v>520</v>
      </c>
      <c r="R588" s="28">
        <f t="shared" si="82"/>
        <v>17586.400000000001</v>
      </c>
      <c r="S588" s="27"/>
      <c r="T588" s="29"/>
      <c r="V588" s="29" t="s">
        <v>45</v>
      </c>
      <c r="W588" s="27"/>
      <c r="X588" s="30">
        <f t="shared" si="83"/>
        <v>0</v>
      </c>
      <c r="Y588" s="31"/>
      <c r="Z588" s="31">
        <f t="shared" si="84"/>
        <v>0</v>
      </c>
      <c r="AA588" s="29">
        <f t="shared" si="85"/>
        <v>17586.400000000001</v>
      </c>
    </row>
    <row r="589" spans="1:27" s="38" customFormat="1" x14ac:dyDescent="0.25">
      <c r="A589" s="18">
        <v>593</v>
      </c>
      <c r="B589" s="19">
        <v>46035</v>
      </c>
      <c r="C589" s="19">
        <v>46035</v>
      </c>
      <c r="D589" s="70">
        <v>260113033</v>
      </c>
      <c r="E589" s="21" t="s">
        <v>1141</v>
      </c>
      <c r="F589" s="21" t="s">
        <v>1142</v>
      </c>
      <c r="G589" s="21">
        <v>45</v>
      </c>
      <c r="H589" s="36">
        <v>134</v>
      </c>
      <c r="I589" s="23" t="s">
        <v>1122</v>
      </c>
      <c r="J589" s="24" t="s">
        <v>23</v>
      </c>
      <c r="K589" s="23" t="s">
        <v>31</v>
      </c>
      <c r="L589" s="25" t="s">
        <v>37</v>
      </c>
      <c r="M589" s="21" t="s">
        <v>34</v>
      </c>
      <c r="N589" s="37">
        <v>60.76</v>
      </c>
      <c r="O589" s="37">
        <v>15.7</v>
      </c>
      <c r="P589" s="26">
        <f t="shared" si="86"/>
        <v>45.06</v>
      </c>
      <c r="Q589" s="27">
        <v>510</v>
      </c>
      <c r="R589" s="28">
        <f t="shared" si="82"/>
        <v>22980.600000000002</v>
      </c>
      <c r="S589" s="21"/>
      <c r="T589" s="29"/>
      <c r="V589" s="29" t="s">
        <v>24</v>
      </c>
      <c r="W589" s="27">
        <v>145</v>
      </c>
      <c r="X589" s="30">
        <f t="shared" si="83"/>
        <v>6533.7000000000007</v>
      </c>
      <c r="Y589" s="31">
        <v>250</v>
      </c>
      <c r="Z589" s="31">
        <f t="shared" si="84"/>
        <v>11265</v>
      </c>
      <c r="AA589" s="29">
        <f t="shared" si="85"/>
        <v>40779.300000000003</v>
      </c>
    </row>
    <row r="590" spans="1:27" s="38" customFormat="1" x14ac:dyDescent="0.25">
      <c r="A590" s="18">
        <v>594</v>
      </c>
      <c r="B590" s="19">
        <v>46035</v>
      </c>
      <c r="C590" s="19">
        <v>46035</v>
      </c>
      <c r="D590" s="70">
        <v>260113034</v>
      </c>
      <c r="E590" s="21" t="s">
        <v>1143</v>
      </c>
      <c r="F590" s="21" t="s">
        <v>1144</v>
      </c>
      <c r="G590" s="21">
        <v>44</v>
      </c>
      <c r="H590" s="36">
        <v>134</v>
      </c>
      <c r="I590" s="23" t="s">
        <v>1122</v>
      </c>
      <c r="J590" s="24" t="s">
        <v>23</v>
      </c>
      <c r="K590" s="23" t="s">
        <v>31</v>
      </c>
      <c r="L590" s="25" t="s">
        <v>61</v>
      </c>
      <c r="M590" s="21" t="s">
        <v>34</v>
      </c>
      <c r="N590" s="37">
        <v>60.34</v>
      </c>
      <c r="O590" s="37">
        <v>15.34</v>
      </c>
      <c r="P590" s="26">
        <f t="shared" si="86"/>
        <v>45</v>
      </c>
      <c r="Q590" s="27">
        <v>510</v>
      </c>
      <c r="R590" s="28">
        <f t="shared" si="82"/>
        <v>22950</v>
      </c>
      <c r="S590" s="21"/>
      <c r="T590" s="29"/>
      <c r="V590" s="29" t="s">
        <v>24</v>
      </c>
      <c r="W590" s="27">
        <v>145</v>
      </c>
      <c r="X590" s="30">
        <f t="shared" si="83"/>
        <v>6525</v>
      </c>
      <c r="Y590" s="31">
        <v>250</v>
      </c>
      <c r="Z590" s="31">
        <f t="shared" si="84"/>
        <v>11250</v>
      </c>
      <c r="AA590" s="29">
        <f t="shared" si="85"/>
        <v>40725</v>
      </c>
    </row>
    <row r="591" spans="1:27" s="32" customFormat="1" x14ac:dyDescent="0.25">
      <c r="A591" s="18">
        <v>595</v>
      </c>
      <c r="B591" s="19">
        <v>46035</v>
      </c>
      <c r="C591" s="19">
        <v>46035</v>
      </c>
      <c r="D591" s="70">
        <v>260113035</v>
      </c>
      <c r="E591" s="21" t="s">
        <v>1145</v>
      </c>
      <c r="F591" s="21" t="s">
        <v>1146</v>
      </c>
      <c r="G591" s="21">
        <v>42</v>
      </c>
      <c r="H591" s="36">
        <v>134</v>
      </c>
      <c r="I591" s="23" t="s">
        <v>1122</v>
      </c>
      <c r="J591" s="24" t="s">
        <v>23</v>
      </c>
      <c r="K591" s="23" t="s">
        <v>31</v>
      </c>
      <c r="L591" s="51" t="s">
        <v>60</v>
      </c>
      <c r="M591" s="21" t="s">
        <v>34</v>
      </c>
      <c r="N591" s="37">
        <v>56.18</v>
      </c>
      <c r="O591" s="37">
        <v>14.02</v>
      </c>
      <c r="P591" s="26">
        <f t="shared" si="86"/>
        <v>42.16</v>
      </c>
      <c r="Q591" s="27">
        <v>510</v>
      </c>
      <c r="R591" s="28">
        <f t="shared" si="82"/>
        <v>21501.599999999999</v>
      </c>
      <c r="S591" s="27"/>
      <c r="T591" s="29"/>
      <c r="V591" s="29" t="s">
        <v>24</v>
      </c>
      <c r="W591" s="27">
        <v>145</v>
      </c>
      <c r="X591" s="30">
        <f t="shared" si="83"/>
        <v>6113.2</v>
      </c>
      <c r="Y591" s="31">
        <v>250</v>
      </c>
      <c r="Z591" s="31">
        <f t="shared" si="84"/>
        <v>10540</v>
      </c>
      <c r="AA591" s="29">
        <f t="shared" si="85"/>
        <v>38154.800000000003</v>
      </c>
    </row>
    <row r="592" spans="1:27" s="38" customFormat="1" x14ac:dyDescent="0.25">
      <c r="A592" s="18">
        <v>596</v>
      </c>
      <c r="B592" s="19">
        <v>46035</v>
      </c>
      <c r="C592" s="19">
        <v>46035</v>
      </c>
      <c r="D592" s="70">
        <v>260113036</v>
      </c>
      <c r="E592" s="21" t="s">
        <v>1147</v>
      </c>
      <c r="F592" s="21" t="s">
        <v>1148</v>
      </c>
      <c r="G592" s="21">
        <v>39</v>
      </c>
      <c r="H592" s="36">
        <v>134</v>
      </c>
      <c r="I592" s="23" t="s">
        <v>1122</v>
      </c>
      <c r="J592" s="24" t="s">
        <v>23</v>
      </c>
      <c r="K592" s="23" t="s">
        <v>31</v>
      </c>
      <c r="L592" s="51" t="s">
        <v>1149</v>
      </c>
      <c r="M592" s="21" t="s">
        <v>34</v>
      </c>
      <c r="N592" s="37">
        <v>53.9</v>
      </c>
      <c r="O592" s="37">
        <v>14.44</v>
      </c>
      <c r="P592" s="26">
        <f t="shared" si="86"/>
        <v>39.46</v>
      </c>
      <c r="Q592" s="27">
        <v>510</v>
      </c>
      <c r="R592" s="28">
        <f t="shared" si="82"/>
        <v>20124.600000000002</v>
      </c>
      <c r="S592" s="27"/>
      <c r="T592" s="29"/>
      <c r="V592" s="29" t="s">
        <v>24</v>
      </c>
      <c r="W592" s="27">
        <v>145</v>
      </c>
      <c r="X592" s="30">
        <f t="shared" si="83"/>
        <v>5721.7</v>
      </c>
      <c r="Y592" s="31">
        <v>250</v>
      </c>
      <c r="Z592" s="31">
        <f t="shared" si="84"/>
        <v>9865</v>
      </c>
      <c r="AA592" s="29">
        <f t="shared" si="85"/>
        <v>35711.300000000003</v>
      </c>
    </row>
    <row r="593" spans="1:27" s="32" customFormat="1" x14ac:dyDescent="0.25">
      <c r="A593" s="18">
        <v>597</v>
      </c>
      <c r="B593" s="19">
        <v>46035</v>
      </c>
      <c r="C593" s="19">
        <v>46035</v>
      </c>
      <c r="D593" s="51" t="s">
        <v>1150</v>
      </c>
      <c r="E593" s="21"/>
      <c r="F593" s="21"/>
      <c r="G593" s="21"/>
      <c r="H593" s="33">
        <v>102</v>
      </c>
      <c r="I593" s="60" t="s">
        <v>287</v>
      </c>
      <c r="J593" s="34" t="s">
        <v>23</v>
      </c>
      <c r="K593" s="35" t="s">
        <v>31</v>
      </c>
      <c r="L593" s="51" t="s">
        <v>1095</v>
      </c>
      <c r="M593" s="21" t="s">
        <v>289</v>
      </c>
      <c r="N593" s="37">
        <v>9</v>
      </c>
      <c r="O593" s="37">
        <v>3.52</v>
      </c>
      <c r="P593" s="26">
        <f t="shared" si="86"/>
        <v>5.48</v>
      </c>
      <c r="Q593" s="27">
        <v>140</v>
      </c>
      <c r="R593" s="28">
        <f t="shared" si="82"/>
        <v>767.2</v>
      </c>
      <c r="S593" s="27"/>
      <c r="T593" s="29"/>
      <c r="V593" s="29" t="s">
        <v>253</v>
      </c>
      <c r="W593" s="27"/>
      <c r="X593" s="30">
        <f t="shared" si="83"/>
        <v>0</v>
      </c>
      <c r="Y593" s="31"/>
      <c r="Z593" s="31">
        <f t="shared" si="84"/>
        <v>0</v>
      </c>
      <c r="AA593" s="29">
        <f t="shared" si="85"/>
        <v>767.2</v>
      </c>
    </row>
    <row r="594" spans="1:27" s="38" customFormat="1" x14ac:dyDescent="0.25">
      <c r="A594" s="18">
        <v>598</v>
      </c>
      <c r="B594" s="19">
        <v>46035</v>
      </c>
      <c r="C594" s="19">
        <v>46035</v>
      </c>
      <c r="D594" s="51" t="s">
        <v>1151</v>
      </c>
      <c r="E594" s="21"/>
      <c r="F594" s="21"/>
      <c r="G594" s="21"/>
      <c r="H594" s="33">
        <v>102</v>
      </c>
      <c r="I594" s="62" t="s">
        <v>287</v>
      </c>
      <c r="J594" s="34" t="s">
        <v>23</v>
      </c>
      <c r="K594" s="35" t="s">
        <v>31</v>
      </c>
      <c r="L594" s="25" t="s">
        <v>288</v>
      </c>
      <c r="M594" s="83" t="s">
        <v>289</v>
      </c>
      <c r="N594" s="37">
        <v>9.3000000000000007</v>
      </c>
      <c r="O594" s="37">
        <v>3.6</v>
      </c>
      <c r="P594" s="26">
        <f t="shared" si="86"/>
        <v>5.7000000000000011</v>
      </c>
      <c r="Q594" s="27">
        <v>140</v>
      </c>
      <c r="R594" s="28">
        <f t="shared" si="82"/>
        <v>798.00000000000011</v>
      </c>
      <c r="S594" s="21"/>
      <c r="T594" s="29"/>
      <c r="V594" s="29" t="s">
        <v>253</v>
      </c>
      <c r="W594" s="27"/>
      <c r="X594" s="30">
        <f t="shared" si="83"/>
        <v>0</v>
      </c>
      <c r="Y594" s="31"/>
      <c r="Z594" s="31">
        <f t="shared" si="84"/>
        <v>0</v>
      </c>
      <c r="AA594" s="29">
        <f t="shared" si="85"/>
        <v>798.00000000000011</v>
      </c>
    </row>
    <row r="595" spans="1:27" s="32" customFormat="1" x14ac:dyDescent="0.25">
      <c r="A595" s="18">
        <v>599</v>
      </c>
      <c r="B595" s="19">
        <v>46035</v>
      </c>
      <c r="C595" s="19">
        <v>46035</v>
      </c>
      <c r="D595" s="20">
        <v>260113037</v>
      </c>
      <c r="E595" s="21" t="s">
        <v>1152</v>
      </c>
      <c r="F595" s="21" t="s">
        <v>1153</v>
      </c>
      <c r="G595" s="21">
        <v>45</v>
      </c>
      <c r="H595" s="36">
        <v>134</v>
      </c>
      <c r="I595" s="23" t="s">
        <v>1122</v>
      </c>
      <c r="J595" s="24" t="s">
        <v>23</v>
      </c>
      <c r="K595" s="23" t="s">
        <v>31</v>
      </c>
      <c r="L595" s="25" t="s">
        <v>1154</v>
      </c>
      <c r="M595" s="21" t="s">
        <v>34</v>
      </c>
      <c r="N595" s="37">
        <v>60.62</v>
      </c>
      <c r="O595" s="37">
        <v>15.48</v>
      </c>
      <c r="P595" s="26">
        <f t="shared" si="86"/>
        <v>45.14</v>
      </c>
      <c r="Q595" s="27">
        <v>510</v>
      </c>
      <c r="R595" s="28">
        <f t="shared" si="82"/>
        <v>23021.4</v>
      </c>
      <c r="S595" s="27"/>
      <c r="T595" s="29"/>
      <c r="V595" s="29" t="s">
        <v>24</v>
      </c>
      <c r="W595" s="27">
        <v>145</v>
      </c>
      <c r="X595" s="30">
        <f t="shared" si="83"/>
        <v>6545.3</v>
      </c>
      <c r="Y595" s="31">
        <v>250</v>
      </c>
      <c r="Z595" s="31">
        <f t="shared" si="84"/>
        <v>11285</v>
      </c>
      <c r="AA595" s="29">
        <f t="shared" si="85"/>
        <v>40851.699999999997</v>
      </c>
    </row>
    <row r="596" spans="1:27" s="32" customFormat="1" x14ac:dyDescent="0.25">
      <c r="A596" s="18">
        <v>600</v>
      </c>
      <c r="B596" s="19">
        <v>46035</v>
      </c>
      <c r="C596" s="19">
        <v>46035</v>
      </c>
      <c r="D596" s="70">
        <v>260113038</v>
      </c>
      <c r="E596" s="21" t="s">
        <v>1155</v>
      </c>
      <c r="F596" s="21" t="s">
        <v>1156</v>
      </c>
      <c r="G596" s="21">
        <v>43</v>
      </c>
      <c r="H596" s="36">
        <v>134</v>
      </c>
      <c r="I596" s="23" t="s">
        <v>1122</v>
      </c>
      <c r="J596" s="24" t="s">
        <v>23</v>
      </c>
      <c r="K596" s="23" t="s">
        <v>31</v>
      </c>
      <c r="L596" s="25" t="s">
        <v>1100</v>
      </c>
      <c r="M596" s="21" t="s">
        <v>34</v>
      </c>
      <c r="N596" s="37">
        <v>61.32</v>
      </c>
      <c r="O596" s="37">
        <v>18</v>
      </c>
      <c r="P596" s="26">
        <f t="shared" si="86"/>
        <v>43.32</v>
      </c>
      <c r="Q596" s="27">
        <v>510</v>
      </c>
      <c r="R596" s="28">
        <f t="shared" si="82"/>
        <v>22093.200000000001</v>
      </c>
      <c r="S596" s="27"/>
      <c r="T596" s="29"/>
      <c r="V596" s="29" t="s">
        <v>24</v>
      </c>
      <c r="W596" s="27">
        <v>145</v>
      </c>
      <c r="X596" s="30">
        <f t="shared" si="83"/>
        <v>6281.4</v>
      </c>
      <c r="Y596" s="31">
        <v>250</v>
      </c>
      <c r="Z596" s="31">
        <f t="shared" si="84"/>
        <v>10830</v>
      </c>
      <c r="AA596" s="29">
        <f t="shared" si="85"/>
        <v>39204.6</v>
      </c>
    </row>
    <row r="597" spans="1:27" s="32" customFormat="1" x14ac:dyDescent="0.25">
      <c r="A597" s="18">
        <v>601</v>
      </c>
      <c r="B597" s="19">
        <v>46035</v>
      </c>
      <c r="C597" s="19">
        <v>46035</v>
      </c>
      <c r="D597" s="70">
        <v>260113039</v>
      </c>
      <c r="E597" s="21" t="s">
        <v>1157</v>
      </c>
      <c r="F597" s="21" t="s">
        <v>1158</v>
      </c>
      <c r="G597" s="21">
        <v>44</v>
      </c>
      <c r="H597" s="36">
        <v>134</v>
      </c>
      <c r="I597" s="23" t="s">
        <v>1122</v>
      </c>
      <c r="J597" s="24" t="s">
        <v>23</v>
      </c>
      <c r="K597" s="23" t="s">
        <v>31</v>
      </c>
      <c r="L597" s="25" t="s">
        <v>711</v>
      </c>
      <c r="M597" s="21" t="s">
        <v>34</v>
      </c>
      <c r="N597" s="37">
        <v>60.4</v>
      </c>
      <c r="O597" s="37">
        <v>15.82</v>
      </c>
      <c r="P597" s="26">
        <f t="shared" si="86"/>
        <v>44.58</v>
      </c>
      <c r="Q597" s="27">
        <v>510</v>
      </c>
      <c r="R597" s="28">
        <f t="shared" si="82"/>
        <v>22735.8</v>
      </c>
      <c r="S597" s="27"/>
      <c r="T597" s="29"/>
      <c r="V597" s="29" t="s">
        <v>24</v>
      </c>
      <c r="W597" s="27">
        <v>145</v>
      </c>
      <c r="X597" s="30">
        <f t="shared" ref="X597:X613" si="87">P597*W597</f>
        <v>6464.0999999999995</v>
      </c>
      <c r="Y597" s="31">
        <v>250</v>
      </c>
      <c r="Z597" s="31">
        <f t="shared" ref="Z597:Z613" si="88">P597*Y597</f>
        <v>11145</v>
      </c>
      <c r="AA597" s="29">
        <f t="shared" ref="AA597:AA613" si="89">R597+X597+Z597</f>
        <v>40344.899999999994</v>
      </c>
    </row>
    <row r="598" spans="1:27" s="32" customFormat="1" x14ac:dyDescent="0.25">
      <c r="A598" s="18">
        <v>602</v>
      </c>
      <c r="B598" s="19">
        <v>46035</v>
      </c>
      <c r="C598" s="19">
        <v>46035</v>
      </c>
      <c r="D598" s="69">
        <v>260113040</v>
      </c>
      <c r="E598" s="21" t="s">
        <v>1159</v>
      </c>
      <c r="F598" s="21" t="s">
        <v>1160</v>
      </c>
      <c r="G598" s="21">
        <v>33</v>
      </c>
      <c r="H598" s="36">
        <v>134</v>
      </c>
      <c r="I598" s="23" t="s">
        <v>1122</v>
      </c>
      <c r="J598" s="24" t="s">
        <v>23</v>
      </c>
      <c r="K598" s="23" t="s">
        <v>31</v>
      </c>
      <c r="L598" s="25" t="s">
        <v>649</v>
      </c>
      <c r="M598" s="21" t="s">
        <v>34</v>
      </c>
      <c r="N598" s="37">
        <v>46.02</v>
      </c>
      <c r="O598" s="37">
        <v>12.38</v>
      </c>
      <c r="P598" s="26">
        <f t="shared" si="86"/>
        <v>33.64</v>
      </c>
      <c r="Q598" s="27">
        <v>510</v>
      </c>
      <c r="R598" s="28">
        <f t="shared" si="82"/>
        <v>17156.400000000001</v>
      </c>
      <c r="S598" s="27"/>
      <c r="T598" s="29"/>
      <c r="V598" s="29" t="s">
        <v>24</v>
      </c>
      <c r="W598" s="27">
        <v>145</v>
      </c>
      <c r="X598" s="30">
        <f t="shared" si="87"/>
        <v>4877.8</v>
      </c>
      <c r="Y598" s="31">
        <v>250</v>
      </c>
      <c r="Z598" s="31">
        <f t="shared" si="88"/>
        <v>8410</v>
      </c>
      <c r="AA598" s="29">
        <f t="shared" si="89"/>
        <v>30444.2</v>
      </c>
    </row>
    <row r="599" spans="1:27" s="32" customFormat="1" x14ac:dyDescent="0.25">
      <c r="A599" s="18">
        <v>603</v>
      </c>
      <c r="B599" s="19">
        <v>46035</v>
      </c>
      <c r="C599" s="19">
        <v>46035</v>
      </c>
      <c r="D599" s="70">
        <v>260113041</v>
      </c>
      <c r="E599" s="21" t="s">
        <v>1161</v>
      </c>
      <c r="F599" s="21" t="s">
        <v>1162</v>
      </c>
      <c r="G599" s="21">
        <v>33</v>
      </c>
      <c r="H599" s="36">
        <v>134</v>
      </c>
      <c r="I599" s="23" t="s">
        <v>1122</v>
      </c>
      <c r="J599" s="24" t="s">
        <v>23</v>
      </c>
      <c r="K599" s="23" t="s">
        <v>31</v>
      </c>
      <c r="L599" s="21" t="s">
        <v>935</v>
      </c>
      <c r="M599" s="21" t="s">
        <v>34</v>
      </c>
      <c r="N599" s="37">
        <v>44.98</v>
      </c>
      <c r="O599" s="37">
        <v>11.82</v>
      </c>
      <c r="P599" s="26">
        <f t="shared" si="86"/>
        <v>33.159999999999997</v>
      </c>
      <c r="Q599" s="27">
        <v>510</v>
      </c>
      <c r="R599" s="28">
        <f t="shared" si="82"/>
        <v>16911.599999999999</v>
      </c>
      <c r="S599" s="27"/>
      <c r="T599" s="29"/>
      <c r="V599" s="29" t="s">
        <v>24</v>
      </c>
      <c r="W599" s="27">
        <v>145</v>
      </c>
      <c r="X599" s="30">
        <f t="shared" si="87"/>
        <v>4808.2</v>
      </c>
      <c r="Y599" s="31">
        <v>250</v>
      </c>
      <c r="Z599" s="31">
        <f t="shared" si="88"/>
        <v>8290</v>
      </c>
      <c r="AA599" s="29">
        <f t="shared" si="89"/>
        <v>30009.8</v>
      </c>
    </row>
    <row r="600" spans="1:27" s="38" customFormat="1" x14ac:dyDescent="0.25">
      <c r="A600" s="18">
        <v>604</v>
      </c>
      <c r="B600" s="19">
        <v>46035</v>
      </c>
      <c r="C600" s="19">
        <v>46035</v>
      </c>
      <c r="D600" s="70">
        <v>260113042</v>
      </c>
      <c r="E600" s="21" t="s">
        <v>1163</v>
      </c>
      <c r="F600" s="21" t="s">
        <v>1164</v>
      </c>
      <c r="G600" s="21">
        <v>37</v>
      </c>
      <c r="H600" s="36">
        <v>134</v>
      </c>
      <c r="I600" s="23" t="s">
        <v>1122</v>
      </c>
      <c r="J600" s="24" t="s">
        <v>23</v>
      </c>
      <c r="K600" s="23" t="s">
        <v>31</v>
      </c>
      <c r="L600" s="21" t="s">
        <v>932</v>
      </c>
      <c r="M600" s="21" t="s">
        <v>34</v>
      </c>
      <c r="N600" s="37">
        <v>49.56</v>
      </c>
      <c r="O600" s="37">
        <v>11.98</v>
      </c>
      <c r="P600" s="26">
        <f t="shared" si="86"/>
        <v>37.58</v>
      </c>
      <c r="Q600" s="27">
        <v>510</v>
      </c>
      <c r="R600" s="28">
        <f t="shared" si="82"/>
        <v>19165.8</v>
      </c>
      <c r="S600" s="27"/>
      <c r="T600" s="29"/>
      <c r="V600" s="29" t="s">
        <v>24</v>
      </c>
      <c r="W600" s="27">
        <v>145</v>
      </c>
      <c r="X600" s="30">
        <f t="shared" si="87"/>
        <v>5449.0999999999995</v>
      </c>
      <c r="Y600" s="31">
        <v>250</v>
      </c>
      <c r="Z600" s="31">
        <f t="shared" si="88"/>
        <v>9395</v>
      </c>
      <c r="AA600" s="29">
        <f t="shared" si="89"/>
        <v>34009.899999999994</v>
      </c>
    </row>
    <row r="601" spans="1:27" s="32" customFormat="1" x14ac:dyDescent="0.25">
      <c r="A601" s="18">
        <v>605</v>
      </c>
      <c r="B601" s="19">
        <v>46035</v>
      </c>
      <c r="C601" s="19">
        <v>46035</v>
      </c>
      <c r="D601" s="70">
        <v>260113043</v>
      </c>
      <c r="E601" s="21" t="s">
        <v>1165</v>
      </c>
      <c r="F601" s="21" t="s">
        <v>1166</v>
      </c>
      <c r="G601" s="21">
        <v>34</v>
      </c>
      <c r="H601" s="36">
        <v>134</v>
      </c>
      <c r="I601" s="23" t="s">
        <v>1122</v>
      </c>
      <c r="J601" s="24" t="s">
        <v>23</v>
      </c>
      <c r="K601" s="23" t="s">
        <v>31</v>
      </c>
      <c r="L601" s="21" t="s">
        <v>53</v>
      </c>
      <c r="M601" s="21" t="s">
        <v>34</v>
      </c>
      <c r="N601" s="37">
        <v>46.4</v>
      </c>
      <c r="O601" s="37">
        <v>11.48</v>
      </c>
      <c r="P601" s="26">
        <f t="shared" si="86"/>
        <v>34.92</v>
      </c>
      <c r="Q601" s="27">
        <v>510</v>
      </c>
      <c r="R601" s="28">
        <f t="shared" si="82"/>
        <v>17809.2</v>
      </c>
      <c r="S601" s="27"/>
      <c r="T601" s="29"/>
      <c r="V601" s="29" t="s">
        <v>24</v>
      </c>
      <c r="W601" s="27">
        <v>145</v>
      </c>
      <c r="X601" s="30">
        <f t="shared" si="87"/>
        <v>5063.4000000000005</v>
      </c>
      <c r="Y601" s="31">
        <v>250</v>
      </c>
      <c r="Z601" s="31">
        <f t="shared" si="88"/>
        <v>8730</v>
      </c>
      <c r="AA601" s="29">
        <f t="shared" si="89"/>
        <v>31602.600000000002</v>
      </c>
    </row>
    <row r="602" spans="1:27" s="32" customFormat="1" x14ac:dyDescent="0.25">
      <c r="A602" s="18">
        <v>606</v>
      </c>
      <c r="B602" s="19">
        <v>46035</v>
      </c>
      <c r="C602" s="19">
        <v>46035</v>
      </c>
      <c r="D602" s="70">
        <v>260113044</v>
      </c>
      <c r="E602" s="21" t="s">
        <v>1167</v>
      </c>
      <c r="F602" s="21" t="s">
        <v>1168</v>
      </c>
      <c r="G602" s="21">
        <v>47</v>
      </c>
      <c r="H602" s="36">
        <v>134</v>
      </c>
      <c r="I602" s="23" t="s">
        <v>1122</v>
      </c>
      <c r="J602" s="24" t="s">
        <v>23</v>
      </c>
      <c r="K602" s="23" t="s">
        <v>31</v>
      </c>
      <c r="L602" s="25" t="s">
        <v>704</v>
      </c>
      <c r="M602" s="21" t="s">
        <v>34</v>
      </c>
      <c r="N602" s="37">
        <v>62.94</v>
      </c>
      <c r="O602" s="37">
        <v>15.46</v>
      </c>
      <c r="P602" s="26">
        <f t="shared" si="86"/>
        <v>47.48</v>
      </c>
      <c r="Q602" s="27">
        <v>510</v>
      </c>
      <c r="R602" s="28">
        <f t="shared" si="82"/>
        <v>24214.799999999999</v>
      </c>
      <c r="S602" s="27"/>
      <c r="T602" s="29"/>
      <c r="V602" s="29" t="s">
        <v>24</v>
      </c>
      <c r="W602" s="27">
        <v>145</v>
      </c>
      <c r="X602" s="30">
        <f t="shared" si="87"/>
        <v>6884.5999999999995</v>
      </c>
      <c r="Y602" s="31">
        <v>250</v>
      </c>
      <c r="Z602" s="31">
        <f t="shared" si="88"/>
        <v>11870</v>
      </c>
      <c r="AA602" s="29">
        <f t="shared" si="89"/>
        <v>42969.399999999994</v>
      </c>
    </row>
    <row r="603" spans="1:27" s="32" customFormat="1" x14ac:dyDescent="0.25">
      <c r="A603" s="18">
        <v>607</v>
      </c>
      <c r="B603" s="19">
        <v>46035</v>
      </c>
      <c r="C603" s="19">
        <v>46035</v>
      </c>
      <c r="D603" s="70">
        <v>260113045</v>
      </c>
      <c r="E603" s="21" t="s">
        <v>1169</v>
      </c>
      <c r="F603" s="21" t="s">
        <v>1170</v>
      </c>
      <c r="G603" s="21">
        <v>40</v>
      </c>
      <c r="H603" s="36">
        <v>134</v>
      </c>
      <c r="I603" s="23" t="s">
        <v>1122</v>
      </c>
      <c r="J603" s="24" t="s">
        <v>23</v>
      </c>
      <c r="K603" s="23" t="s">
        <v>31</v>
      </c>
      <c r="L603" s="25" t="s">
        <v>662</v>
      </c>
      <c r="M603" s="21" t="s">
        <v>34</v>
      </c>
      <c r="N603" s="37">
        <v>54.5</v>
      </c>
      <c r="O603" s="37">
        <v>13.88</v>
      </c>
      <c r="P603" s="26">
        <f t="shared" si="86"/>
        <v>40.619999999999997</v>
      </c>
      <c r="Q603" s="27">
        <v>510</v>
      </c>
      <c r="R603" s="28">
        <f t="shared" si="82"/>
        <v>20716.199999999997</v>
      </c>
      <c r="S603" s="27"/>
      <c r="T603" s="29"/>
      <c r="V603" s="29" t="s">
        <v>24</v>
      </c>
      <c r="W603" s="27">
        <v>145</v>
      </c>
      <c r="X603" s="30">
        <f t="shared" si="87"/>
        <v>5889.9</v>
      </c>
      <c r="Y603" s="31">
        <v>250</v>
      </c>
      <c r="Z603" s="31">
        <f t="shared" si="88"/>
        <v>10155</v>
      </c>
      <c r="AA603" s="29">
        <f t="shared" si="89"/>
        <v>36761.1</v>
      </c>
    </row>
    <row r="604" spans="1:27" s="32" customFormat="1" x14ac:dyDescent="0.25">
      <c r="A604" s="18">
        <v>608</v>
      </c>
      <c r="B604" s="19">
        <v>46035</v>
      </c>
      <c r="C604" s="19">
        <v>46035</v>
      </c>
      <c r="D604" s="70" t="s">
        <v>1171</v>
      </c>
      <c r="E604" s="21"/>
      <c r="F604" s="21"/>
      <c r="G604" s="21"/>
      <c r="H604" s="21"/>
      <c r="I604" s="52" t="s">
        <v>559</v>
      </c>
      <c r="J604" s="24" t="s">
        <v>23</v>
      </c>
      <c r="K604" s="23" t="s">
        <v>31</v>
      </c>
      <c r="L604" s="21" t="s">
        <v>212</v>
      </c>
      <c r="M604" s="21" t="s">
        <v>203</v>
      </c>
      <c r="N604" s="37">
        <v>28.78</v>
      </c>
      <c r="O604" s="37">
        <v>14.8</v>
      </c>
      <c r="P604" s="26">
        <f t="shared" si="86"/>
        <v>13.98</v>
      </c>
      <c r="Q604" s="27">
        <v>0</v>
      </c>
      <c r="R604" s="28">
        <f t="shared" si="82"/>
        <v>0</v>
      </c>
      <c r="S604" s="27"/>
      <c r="T604" s="29"/>
      <c r="V604" s="29" t="s">
        <v>24</v>
      </c>
      <c r="W604" s="27"/>
      <c r="X604" s="30">
        <f t="shared" si="87"/>
        <v>0</v>
      </c>
      <c r="Y604" s="31"/>
      <c r="Z604" s="31">
        <f t="shared" si="88"/>
        <v>0</v>
      </c>
      <c r="AA604" s="29">
        <f t="shared" si="89"/>
        <v>0</v>
      </c>
    </row>
    <row r="605" spans="1:27" s="38" customFormat="1" x14ac:dyDescent="0.25">
      <c r="A605" s="18">
        <v>609</v>
      </c>
      <c r="B605" s="19">
        <v>46035</v>
      </c>
      <c r="C605" s="19">
        <v>46036</v>
      </c>
      <c r="D605" s="70">
        <v>260114001</v>
      </c>
      <c r="E605" s="21" t="s">
        <v>1172</v>
      </c>
      <c r="F605" s="21" t="s">
        <v>1173</v>
      </c>
      <c r="G605" s="21">
        <v>45</v>
      </c>
      <c r="H605" s="36">
        <v>131</v>
      </c>
      <c r="I605" s="23" t="s">
        <v>64</v>
      </c>
      <c r="J605" s="24" t="s">
        <v>23</v>
      </c>
      <c r="K605" s="23" t="s">
        <v>31</v>
      </c>
      <c r="L605" s="21" t="s">
        <v>62</v>
      </c>
      <c r="M605" s="21" t="s">
        <v>34</v>
      </c>
      <c r="N605" s="37">
        <v>60.98</v>
      </c>
      <c r="O605" s="37">
        <v>15.34</v>
      </c>
      <c r="P605" s="26">
        <f t="shared" si="86"/>
        <v>45.64</v>
      </c>
      <c r="Q605" s="27">
        <v>535</v>
      </c>
      <c r="R605" s="28">
        <f t="shared" si="82"/>
        <v>24417.4</v>
      </c>
      <c r="S605" s="27"/>
      <c r="T605" s="29"/>
      <c r="V605" s="29" t="s">
        <v>24</v>
      </c>
      <c r="W605" s="27">
        <v>145</v>
      </c>
      <c r="X605" s="30">
        <f t="shared" si="87"/>
        <v>6617.8</v>
      </c>
      <c r="Y605" s="31">
        <v>200</v>
      </c>
      <c r="Z605" s="31">
        <f t="shared" si="88"/>
        <v>9128</v>
      </c>
      <c r="AA605" s="29">
        <f t="shared" si="89"/>
        <v>40163.199999999997</v>
      </c>
    </row>
    <row r="606" spans="1:27" s="32" customFormat="1" x14ac:dyDescent="0.25">
      <c r="A606" s="18">
        <v>610</v>
      </c>
      <c r="B606" s="19">
        <v>46035</v>
      </c>
      <c r="C606" s="19">
        <v>46036</v>
      </c>
      <c r="D606" s="70">
        <v>260114002</v>
      </c>
      <c r="E606" s="21" t="s">
        <v>1174</v>
      </c>
      <c r="F606" s="21" t="s">
        <v>1175</v>
      </c>
      <c r="G606" s="21">
        <v>33</v>
      </c>
      <c r="H606" s="36">
        <v>131</v>
      </c>
      <c r="I606" s="23" t="s">
        <v>64</v>
      </c>
      <c r="J606" s="24" t="s">
        <v>23</v>
      </c>
      <c r="K606" s="23" t="s">
        <v>31</v>
      </c>
      <c r="L606" s="21" t="s">
        <v>51</v>
      </c>
      <c r="M606" s="21" t="s">
        <v>34</v>
      </c>
      <c r="N606" s="37">
        <v>45.48</v>
      </c>
      <c r="O606" s="21">
        <v>11.54</v>
      </c>
      <c r="P606" s="26">
        <f t="shared" si="86"/>
        <v>33.94</v>
      </c>
      <c r="Q606" s="27">
        <v>535</v>
      </c>
      <c r="R606" s="28">
        <f t="shared" si="82"/>
        <v>18157.899999999998</v>
      </c>
      <c r="S606" s="27"/>
      <c r="V606" s="29" t="s">
        <v>24</v>
      </c>
      <c r="W606" s="27">
        <v>145</v>
      </c>
      <c r="X606" s="30">
        <f t="shared" si="87"/>
        <v>4921.2999999999993</v>
      </c>
      <c r="Y606" s="31">
        <v>200</v>
      </c>
      <c r="Z606" s="31">
        <f t="shared" si="88"/>
        <v>6788</v>
      </c>
      <c r="AA606" s="29">
        <f t="shared" si="89"/>
        <v>29867.199999999997</v>
      </c>
    </row>
    <row r="607" spans="1:27" s="32" customFormat="1" x14ac:dyDescent="0.25">
      <c r="A607" s="18">
        <v>611</v>
      </c>
      <c r="B607" s="19">
        <v>46035</v>
      </c>
      <c r="C607" s="19">
        <v>46036</v>
      </c>
      <c r="D607" s="70">
        <v>260114003</v>
      </c>
      <c r="E607" s="21" t="s">
        <v>1176</v>
      </c>
      <c r="F607" s="21" t="s">
        <v>1177</v>
      </c>
      <c r="G607" s="21">
        <v>45</v>
      </c>
      <c r="H607" s="36">
        <v>131</v>
      </c>
      <c r="I607" s="23" t="s">
        <v>64</v>
      </c>
      <c r="J607" s="24" t="s">
        <v>23</v>
      </c>
      <c r="K607" s="23" t="s">
        <v>31</v>
      </c>
      <c r="L607" s="21" t="s">
        <v>37</v>
      </c>
      <c r="M607" s="21" t="s">
        <v>34</v>
      </c>
      <c r="N607" s="21">
        <v>61.02</v>
      </c>
      <c r="O607" s="37">
        <v>15.72</v>
      </c>
      <c r="P607" s="26">
        <f t="shared" si="86"/>
        <v>45.300000000000004</v>
      </c>
      <c r="Q607" s="27">
        <v>535</v>
      </c>
      <c r="R607" s="28">
        <f t="shared" si="82"/>
        <v>24235.500000000004</v>
      </c>
      <c r="S607" s="27"/>
      <c r="T607" s="29"/>
      <c r="V607" s="29" t="s">
        <v>24</v>
      </c>
      <c r="W607" s="27">
        <v>145</v>
      </c>
      <c r="X607" s="30">
        <f t="shared" si="87"/>
        <v>6568.5000000000009</v>
      </c>
      <c r="Y607" s="31">
        <v>200</v>
      </c>
      <c r="Z607" s="31">
        <f t="shared" si="88"/>
        <v>9060</v>
      </c>
      <c r="AA607" s="29">
        <f t="shared" si="89"/>
        <v>39864</v>
      </c>
    </row>
    <row r="608" spans="1:27" s="32" customFormat="1" x14ac:dyDescent="0.25">
      <c r="A608" s="18">
        <v>612</v>
      </c>
      <c r="B608" s="19">
        <v>46035</v>
      </c>
      <c r="C608" s="19">
        <v>46036</v>
      </c>
      <c r="D608" s="70">
        <v>260114004</v>
      </c>
      <c r="E608" s="21" t="s">
        <v>1178</v>
      </c>
      <c r="F608" s="21" t="s">
        <v>1179</v>
      </c>
      <c r="G608" s="21">
        <v>34</v>
      </c>
      <c r="H608" s="36">
        <v>131</v>
      </c>
      <c r="I608" s="23" t="s">
        <v>64</v>
      </c>
      <c r="J608" s="24" t="s">
        <v>23</v>
      </c>
      <c r="K608" s="23" t="s">
        <v>31</v>
      </c>
      <c r="L608" s="21" t="s">
        <v>39</v>
      </c>
      <c r="M608" s="21" t="s">
        <v>34</v>
      </c>
      <c r="N608" s="21">
        <v>45.88</v>
      </c>
      <c r="O608" s="21">
        <v>11.68</v>
      </c>
      <c r="P608" s="26">
        <f t="shared" si="86"/>
        <v>34.200000000000003</v>
      </c>
      <c r="Q608" s="27">
        <v>535</v>
      </c>
      <c r="R608" s="28">
        <f t="shared" si="82"/>
        <v>18297</v>
      </c>
      <c r="S608" s="27"/>
      <c r="T608" s="29"/>
      <c r="V608" s="29" t="s">
        <v>24</v>
      </c>
      <c r="W608" s="27">
        <v>145</v>
      </c>
      <c r="X608" s="30">
        <f t="shared" si="87"/>
        <v>4959</v>
      </c>
      <c r="Y608" s="31">
        <v>200</v>
      </c>
      <c r="Z608" s="31">
        <f t="shared" si="88"/>
        <v>6840.0000000000009</v>
      </c>
      <c r="AA608" s="29">
        <f t="shared" si="89"/>
        <v>30096</v>
      </c>
    </row>
    <row r="609" spans="1:38" s="32" customFormat="1" x14ac:dyDescent="0.25">
      <c r="A609" s="18">
        <v>613</v>
      </c>
      <c r="B609" s="19">
        <v>46035</v>
      </c>
      <c r="C609" s="19">
        <v>46036</v>
      </c>
      <c r="D609" s="70">
        <v>260114005</v>
      </c>
      <c r="E609" s="21" t="s">
        <v>1180</v>
      </c>
      <c r="F609" s="21" t="s">
        <v>1181</v>
      </c>
      <c r="G609" s="21">
        <v>35</v>
      </c>
      <c r="H609" s="36">
        <v>131</v>
      </c>
      <c r="I609" s="23" t="s">
        <v>64</v>
      </c>
      <c r="J609" s="24" t="s">
        <v>23</v>
      </c>
      <c r="K609" s="23" t="s">
        <v>31</v>
      </c>
      <c r="L609" s="43" t="s">
        <v>1182</v>
      </c>
      <c r="M609" s="21" t="s">
        <v>34</v>
      </c>
      <c r="N609" s="21">
        <v>46.6</v>
      </c>
      <c r="O609" s="21">
        <v>11.22</v>
      </c>
      <c r="P609" s="26">
        <f t="shared" si="86"/>
        <v>35.380000000000003</v>
      </c>
      <c r="Q609" s="27">
        <v>535</v>
      </c>
      <c r="R609" s="28">
        <f t="shared" si="82"/>
        <v>18928.300000000003</v>
      </c>
      <c r="S609" s="27"/>
      <c r="T609" s="29"/>
      <c r="V609" s="29" t="s">
        <v>24</v>
      </c>
      <c r="W609" s="27">
        <v>145</v>
      </c>
      <c r="X609" s="30">
        <f t="shared" si="87"/>
        <v>5130.1000000000004</v>
      </c>
      <c r="Y609" s="31">
        <v>200</v>
      </c>
      <c r="Z609" s="31">
        <f t="shared" si="88"/>
        <v>7076.0000000000009</v>
      </c>
      <c r="AA609" s="29">
        <f t="shared" si="89"/>
        <v>31134.400000000001</v>
      </c>
    </row>
    <row r="610" spans="1:38" s="32" customFormat="1" x14ac:dyDescent="0.25">
      <c r="A610" s="18">
        <v>614</v>
      </c>
      <c r="B610" s="19">
        <v>46035</v>
      </c>
      <c r="C610" s="19">
        <v>46036</v>
      </c>
      <c r="D610" s="70">
        <v>260114006</v>
      </c>
      <c r="E610" s="21" t="s">
        <v>1183</v>
      </c>
      <c r="F610" s="21" t="s">
        <v>1184</v>
      </c>
      <c r="G610" s="21">
        <v>32</v>
      </c>
      <c r="H610" s="36">
        <v>131</v>
      </c>
      <c r="I610" s="23" t="s">
        <v>64</v>
      </c>
      <c r="J610" s="24" t="s">
        <v>23</v>
      </c>
      <c r="K610" s="23" t="s">
        <v>31</v>
      </c>
      <c r="L610" s="21" t="s">
        <v>40</v>
      </c>
      <c r="M610" s="21" t="s">
        <v>32</v>
      </c>
      <c r="N610" s="37">
        <v>44.06</v>
      </c>
      <c r="O610" s="37">
        <v>11.52</v>
      </c>
      <c r="P610" s="26">
        <f t="shared" si="86"/>
        <v>32.540000000000006</v>
      </c>
      <c r="Q610" s="27">
        <v>285</v>
      </c>
      <c r="R610" s="28">
        <f t="shared" si="82"/>
        <v>9273.9000000000015</v>
      </c>
      <c r="S610" s="27"/>
      <c r="T610" s="29"/>
      <c r="V610" s="29" t="s">
        <v>24</v>
      </c>
      <c r="W610" s="27">
        <v>145</v>
      </c>
      <c r="X610" s="30">
        <f t="shared" si="87"/>
        <v>4718.3000000000011</v>
      </c>
      <c r="Y610" s="31">
        <v>200</v>
      </c>
      <c r="Z610" s="31">
        <f t="shared" si="88"/>
        <v>6508.0000000000009</v>
      </c>
      <c r="AA610" s="29">
        <f t="shared" si="89"/>
        <v>20500.200000000004</v>
      </c>
    </row>
    <row r="611" spans="1:38" s="32" customFormat="1" x14ac:dyDescent="0.25">
      <c r="A611" s="18">
        <v>615</v>
      </c>
      <c r="B611" s="19">
        <v>46035</v>
      </c>
      <c r="C611" s="19">
        <v>46036</v>
      </c>
      <c r="D611" s="70">
        <v>260114007</v>
      </c>
      <c r="E611" s="21" t="s">
        <v>1185</v>
      </c>
      <c r="F611" s="21" t="s">
        <v>1186</v>
      </c>
      <c r="G611" s="21">
        <v>32</v>
      </c>
      <c r="H611" s="36">
        <v>131</v>
      </c>
      <c r="I611" s="23" t="s">
        <v>64</v>
      </c>
      <c r="J611" s="24" t="s">
        <v>23</v>
      </c>
      <c r="K611" s="23" t="s">
        <v>31</v>
      </c>
      <c r="L611" s="21" t="s">
        <v>42</v>
      </c>
      <c r="M611" s="21" t="s">
        <v>32</v>
      </c>
      <c r="N611" s="21">
        <v>43.94</v>
      </c>
      <c r="O611" s="21">
        <v>11.76</v>
      </c>
      <c r="P611" s="26">
        <f t="shared" si="86"/>
        <v>32.18</v>
      </c>
      <c r="Q611" s="27">
        <v>285</v>
      </c>
      <c r="R611" s="28">
        <f t="shared" si="82"/>
        <v>9171.2999999999993</v>
      </c>
      <c r="S611" s="27"/>
      <c r="T611" s="29"/>
      <c r="V611" s="29" t="s">
        <v>24</v>
      </c>
      <c r="W611" s="27">
        <v>145</v>
      </c>
      <c r="X611" s="30">
        <f t="shared" si="87"/>
        <v>4666.1000000000004</v>
      </c>
      <c r="Y611" s="31">
        <v>200</v>
      </c>
      <c r="Z611" s="31">
        <f t="shared" si="88"/>
        <v>6436</v>
      </c>
      <c r="AA611" s="29">
        <f t="shared" si="89"/>
        <v>20273.400000000001</v>
      </c>
    </row>
    <row r="612" spans="1:38" s="32" customFormat="1" x14ac:dyDescent="0.25">
      <c r="A612" s="18">
        <v>616</v>
      </c>
      <c r="B612" s="19">
        <v>46035</v>
      </c>
      <c r="C612" s="19">
        <v>46036</v>
      </c>
      <c r="D612" s="70">
        <v>260114008</v>
      </c>
      <c r="E612" s="21" t="s">
        <v>1187</v>
      </c>
      <c r="F612" s="21" t="s">
        <v>1188</v>
      </c>
      <c r="G612" s="21">
        <v>49</v>
      </c>
      <c r="H612" s="36">
        <v>131</v>
      </c>
      <c r="I612" s="23" t="s">
        <v>64</v>
      </c>
      <c r="J612" s="24" t="s">
        <v>23</v>
      </c>
      <c r="K612" s="23" t="s">
        <v>31</v>
      </c>
      <c r="L612" s="25" t="s">
        <v>55</v>
      </c>
      <c r="M612" s="21" t="s">
        <v>32</v>
      </c>
      <c r="N612" s="21">
        <v>67.7</v>
      </c>
      <c r="O612" s="21">
        <v>18.059999999999999</v>
      </c>
      <c r="P612" s="26">
        <f t="shared" si="86"/>
        <v>49.64</v>
      </c>
      <c r="Q612" s="27">
        <v>285</v>
      </c>
      <c r="R612" s="28">
        <f t="shared" si="82"/>
        <v>14147.4</v>
      </c>
      <c r="S612" s="27"/>
      <c r="T612" s="29"/>
      <c r="V612" s="29" t="s">
        <v>24</v>
      </c>
      <c r="W612" s="27">
        <v>145</v>
      </c>
      <c r="X612" s="30">
        <f t="shared" si="87"/>
        <v>7197.8</v>
      </c>
      <c r="Y612" s="31">
        <v>200</v>
      </c>
      <c r="Z612" s="31">
        <f t="shared" si="88"/>
        <v>9928</v>
      </c>
      <c r="AA612" s="29">
        <f t="shared" si="89"/>
        <v>31273.200000000001</v>
      </c>
    </row>
    <row r="613" spans="1:38" s="32" customFormat="1" x14ac:dyDescent="0.25">
      <c r="A613" s="18">
        <v>617</v>
      </c>
      <c r="B613" s="19">
        <v>46035</v>
      </c>
      <c r="C613" s="19">
        <v>46036</v>
      </c>
      <c r="D613" s="70">
        <v>260114009</v>
      </c>
      <c r="E613" s="21" t="s">
        <v>1189</v>
      </c>
      <c r="F613" s="21" t="s">
        <v>1190</v>
      </c>
      <c r="G613" s="21">
        <v>49</v>
      </c>
      <c r="H613" s="36">
        <v>131</v>
      </c>
      <c r="I613" s="23" t="s">
        <v>64</v>
      </c>
      <c r="J613" s="24" t="s">
        <v>23</v>
      </c>
      <c r="K613" s="23" t="s">
        <v>31</v>
      </c>
      <c r="L613" s="21" t="s">
        <v>140</v>
      </c>
      <c r="M613" s="21" t="s">
        <v>34</v>
      </c>
      <c r="N613" s="37">
        <v>66.92</v>
      </c>
      <c r="O613" s="37">
        <v>17.54</v>
      </c>
      <c r="P613" s="26">
        <f t="shared" si="86"/>
        <v>49.38</v>
      </c>
      <c r="Q613" s="27">
        <v>535</v>
      </c>
      <c r="R613" s="28">
        <f t="shared" si="82"/>
        <v>26418.300000000003</v>
      </c>
      <c r="S613" s="27"/>
      <c r="T613" s="29"/>
      <c r="V613" s="29" t="s">
        <v>24</v>
      </c>
      <c r="W613" s="27">
        <v>145</v>
      </c>
      <c r="X613" s="30">
        <f t="shared" si="87"/>
        <v>7160.1</v>
      </c>
      <c r="Y613" s="31">
        <v>200</v>
      </c>
      <c r="Z613" s="31">
        <f t="shared" si="88"/>
        <v>9876</v>
      </c>
      <c r="AA613" s="29">
        <f t="shared" si="89"/>
        <v>43454.400000000001</v>
      </c>
    </row>
    <row r="614" spans="1:38" s="32" customFormat="1" x14ac:dyDescent="0.25">
      <c r="A614" s="18">
        <v>618</v>
      </c>
      <c r="B614" s="19">
        <v>46036</v>
      </c>
      <c r="C614" s="19">
        <v>46036</v>
      </c>
      <c r="D614" s="20">
        <v>260114010</v>
      </c>
      <c r="E614" s="21" t="s">
        <v>1191</v>
      </c>
      <c r="F614" s="21" t="s">
        <v>1192</v>
      </c>
      <c r="G614" s="21">
        <v>46</v>
      </c>
      <c r="H614" s="48">
        <v>84</v>
      </c>
      <c r="I614" s="71" t="s">
        <v>941</v>
      </c>
      <c r="J614" s="49" t="s">
        <v>23</v>
      </c>
      <c r="K614" s="23" t="s">
        <v>31</v>
      </c>
      <c r="L614" s="25" t="s">
        <v>38</v>
      </c>
      <c r="M614" s="21" t="s">
        <v>32</v>
      </c>
      <c r="N614" s="21">
        <v>61.94</v>
      </c>
      <c r="O614" s="21">
        <v>15.08</v>
      </c>
      <c r="P614" s="26">
        <f t="shared" si="86"/>
        <v>46.86</v>
      </c>
      <c r="Q614" s="27">
        <v>295</v>
      </c>
      <c r="R614" s="28">
        <f t="shared" si="82"/>
        <v>13823.7</v>
      </c>
      <c r="S614" s="27"/>
      <c r="T614" s="29"/>
      <c r="V614" s="29" t="s">
        <v>24</v>
      </c>
      <c r="W614" s="27">
        <v>145</v>
      </c>
      <c r="X614" s="30">
        <f t="shared" ref="X614:X631" si="90">P614*W614</f>
        <v>6794.7</v>
      </c>
      <c r="Y614" s="31">
        <v>210</v>
      </c>
      <c r="Z614" s="31">
        <f t="shared" ref="Z614:Z631" si="91">P614*Y614</f>
        <v>9840.6</v>
      </c>
      <c r="AA614" s="29">
        <f t="shared" ref="AA614:AA631" si="92">R614+X614+Z614</f>
        <v>30459</v>
      </c>
    </row>
    <row r="615" spans="1:38" s="32" customFormat="1" x14ac:dyDescent="0.25">
      <c r="A615" s="18">
        <v>619</v>
      </c>
      <c r="B615" s="19">
        <v>46036</v>
      </c>
      <c r="C615" s="19">
        <v>46036</v>
      </c>
      <c r="D615" s="20">
        <v>260114011</v>
      </c>
      <c r="E615" s="21" t="s">
        <v>1193</v>
      </c>
      <c r="F615" s="21" t="s">
        <v>1194</v>
      </c>
      <c r="G615" s="21">
        <v>47</v>
      </c>
      <c r="H615" s="48">
        <v>84</v>
      </c>
      <c r="I615" s="71" t="s">
        <v>941</v>
      </c>
      <c r="J615" s="49" t="s">
        <v>23</v>
      </c>
      <c r="K615" s="23" t="s">
        <v>31</v>
      </c>
      <c r="L615" s="82" t="s">
        <v>46</v>
      </c>
      <c r="M615" s="83" t="s">
        <v>32</v>
      </c>
      <c r="N615" s="83">
        <v>62.04</v>
      </c>
      <c r="O615" s="83">
        <v>14.94</v>
      </c>
      <c r="P615" s="26">
        <f t="shared" si="86"/>
        <v>47.1</v>
      </c>
      <c r="Q615" s="27">
        <v>295</v>
      </c>
      <c r="R615" s="28">
        <f t="shared" si="82"/>
        <v>13894.5</v>
      </c>
      <c r="S615" s="27"/>
      <c r="T615" s="29"/>
      <c r="V615" s="29" t="s">
        <v>24</v>
      </c>
      <c r="W615" s="27">
        <v>145</v>
      </c>
      <c r="X615" s="30">
        <f t="shared" si="90"/>
        <v>6829.5</v>
      </c>
      <c r="Y615" s="31">
        <v>210</v>
      </c>
      <c r="Z615" s="31">
        <f t="shared" si="91"/>
        <v>9891</v>
      </c>
      <c r="AA615" s="29">
        <f t="shared" si="92"/>
        <v>30615</v>
      </c>
    </row>
    <row r="616" spans="1:38" s="32" customFormat="1" x14ac:dyDescent="0.25">
      <c r="A616" s="18">
        <v>620</v>
      </c>
      <c r="B616" s="19">
        <v>46036</v>
      </c>
      <c r="C616" s="19">
        <v>46036</v>
      </c>
      <c r="D616" s="20">
        <v>260114012</v>
      </c>
      <c r="E616" s="21" t="s">
        <v>1195</v>
      </c>
      <c r="F616" s="21" t="s">
        <v>1196</v>
      </c>
      <c r="G616" s="21">
        <v>45</v>
      </c>
      <c r="H616" s="48">
        <v>84</v>
      </c>
      <c r="I616" s="71" t="s">
        <v>941</v>
      </c>
      <c r="J616" s="49" t="s">
        <v>23</v>
      </c>
      <c r="K616" s="23" t="s">
        <v>31</v>
      </c>
      <c r="L616" s="21" t="s">
        <v>41</v>
      </c>
      <c r="M616" s="21" t="s">
        <v>32</v>
      </c>
      <c r="N616" s="21">
        <v>60.8</v>
      </c>
      <c r="O616" s="21">
        <v>15.74</v>
      </c>
      <c r="P616" s="26">
        <f t="shared" si="86"/>
        <v>45.059999999999995</v>
      </c>
      <c r="Q616" s="27">
        <v>295</v>
      </c>
      <c r="R616" s="28">
        <f t="shared" si="82"/>
        <v>13292.699999999999</v>
      </c>
      <c r="S616" s="27"/>
      <c r="T616" s="29"/>
      <c r="V616" s="29" t="s">
        <v>24</v>
      </c>
      <c r="W616" s="27">
        <v>145</v>
      </c>
      <c r="X616" s="30">
        <f t="shared" si="90"/>
        <v>6533.6999999999989</v>
      </c>
      <c r="Y616" s="31">
        <v>210</v>
      </c>
      <c r="Z616" s="31">
        <f t="shared" si="91"/>
        <v>9462.5999999999985</v>
      </c>
      <c r="AA616" s="29">
        <f t="shared" si="92"/>
        <v>29288.999999999996</v>
      </c>
    </row>
    <row r="617" spans="1:38" s="38" customFormat="1" x14ac:dyDescent="0.25">
      <c r="A617" s="18">
        <v>621</v>
      </c>
      <c r="B617" s="19">
        <v>46036</v>
      </c>
      <c r="C617" s="19">
        <v>46036</v>
      </c>
      <c r="D617" s="20">
        <v>260114013</v>
      </c>
      <c r="E617" s="21"/>
      <c r="F617" s="21" t="s">
        <v>1197</v>
      </c>
      <c r="G617" s="21">
        <v>36</v>
      </c>
      <c r="H617" s="33">
        <v>285</v>
      </c>
      <c r="I617" s="73" t="s">
        <v>703</v>
      </c>
      <c r="J617" s="24" t="s">
        <v>23</v>
      </c>
      <c r="K617" s="23" t="s">
        <v>31</v>
      </c>
      <c r="L617" s="25" t="s">
        <v>459</v>
      </c>
      <c r="M617" s="21" t="s">
        <v>49</v>
      </c>
      <c r="N617" s="21">
        <v>48</v>
      </c>
      <c r="O617" s="37">
        <v>11.98</v>
      </c>
      <c r="P617" s="26">
        <f t="shared" si="86"/>
        <v>36.019999999999996</v>
      </c>
      <c r="Q617" s="27">
        <v>220</v>
      </c>
      <c r="R617" s="28">
        <f t="shared" si="82"/>
        <v>7924.3999999999987</v>
      </c>
      <c r="S617" s="27"/>
      <c r="T617" s="29"/>
      <c r="V617" s="29" t="s">
        <v>45</v>
      </c>
      <c r="W617" s="27"/>
      <c r="X617" s="30">
        <f t="shared" si="90"/>
        <v>0</v>
      </c>
      <c r="Y617" s="31"/>
      <c r="Z617" s="31">
        <f t="shared" si="91"/>
        <v>0</v>
      </c>
      <c r="AA617" s="29">
        <f t="shared" si="92"/>
        <v>7924.3999999999987</v>
      </c>
    </row>
    <row r="618" spans="1:38" s="32" customFormat="1" x14ac:dyDescent="0.25">
      <c r="A618" s="18">
        <v>622</v>
      </c>
      <c r="B618" s="19">
        <v>46036</v>
      </c>
      <c r="C618" s="19">
        <v>46036</v>
      </c>
      <c r="D618" s="20">
        <v>260114014</v>
      </c>
      <c r="E618" s="21"/>
      <c r="F618" s="21" t="s">
        <v>1198</v>
      </c>
      <c r="G618" s="21">
        <v>42</v>
      </c>
      <c r="H618" s="33">
        <v>285</v>
      </c>
      <c r="I618" s="73" t="s">
        <v>703</v>
      </c>
      <c r="J618" s="24" t="s">
        <v>23</v>
      </c>
      <c r="K618" s="23" t="s">
        <v>31</v>
      </c>
      <c r="L618" s="25" t="s">
        <v>662</v>
      </c>
      <c r="M618" s="21" t="s">
        <v>49</v>
      </c>
      <c r="N618" s="37">
        <v>56.82</v>
      </c>
      <c r="O618" s="21">
        <v>13.84</v>
      </c>
      <c r="P618" s="26">
        <f t="shared" si="86"/>
        <v>42.980000000000004</v>
      </c>
      <c r="Q618" s="27">
        <v>220</v>
      </c>
      <c r="R618" s="28">
        <f t="shared" si="82"/>
        <v>9455.6</v>
      </c>
      <c r="S618" s="27"/>
      <c r="T618" s="29"/>
      <c r="V618" s="29" t="s">
        <v>45</v>
      </c>
      <c r="W618" s="27"/>
      <c r="X618" s="30">
        <f t="shared" si="90"/>
        <v>0</v>
      </c>
      <c r="Y618" s="31"/>
      <c r="Z618" s="31">
        <f t="shared" si="91"/>
        <v>0</v>
      </c>
      <c r="AA618" s="29">
        <f t="shared" si="92"/>
        <v>9455.6</v>
      </c>
    </row>
    <row r="619" spans="1:38" s="32" customFormat="1" x14ac:dyDescent="0.25">
      <c r="A619" s="18">
        <v>623</v>
      </c>
      <c r="B619" s="19">
        <v>46036</v>
      </c>
      <c r="C619" s="19">
        <v>46036</v>
      </c>
      <c r="D619" s="20">
        <v>260114015</v>
      </c>
      <c r="E619" s="21"/>
      <c r="F619" s="21" t="s">
        <v>1199</v>
      </c>
      <c r="G619" s="21">
        <v>37</v>
      </c>
      <c r="H619" s="33">
        <v>285</v>
      </c>
      <c r="I619" s="73" t="s">
        <v>703</v>
      </c>
      <c r="J619" s="24" t="s">
        <v>23</v>
      </c>
      <c r="K619" s="23" t="s">
        <v>31</v>
      </c>
      <c r="L619" s="25" t="s">
        <v>772</v>
      </c>
      <c r="M619" s="21" t="s">
        <v>49</v>
      </c>
      <c r="N619" s="37">
        <v>48.64</v>
      </c>
      <c r="O619" s="37">
        <v>11.52</v>
      </c>
      <c r="P619" s="26">
        <f t="shared" si="86"/>
        <v>37.120000000000005</v>
      </c>
      <c r="Q619" s="27">
        <v>220</v>
      </c>
      <c r="R619" s="28">
        <f t="shared" si="82"/>
        <v>8166.4000000000015</v>
      </c>
      <c r="S619" s="27"/>
      <c r="T619" s="29"/>
      <c r="V619" s="29" t="s">
        <v>45</v>
      </c>
      <c r="W619" s="27"/>
      <c r="X619" s="30">
        <f t="shared" si="90"/>
        <v>0</v>
      </c>
      <c r="Y619" s="31"/>
      <c r="Z619" s="31">
        <f t="shared" si="91"/>
        <v>0</v>
      </c>
      <c r="AA619" s="29">
        <f t="shared" si="92"/>
        <v>8166.4000000000015</v>
      </c>
    </row>
    <row r="620" spans="1:38" s="32" customFormat="1" x14ac:dyDescent="0.25">
      <c r="A620" s="18">
        <v>624</v>
      </c>
      <c r="B620" s="19">
        <v>46036</v>
      </c>
      <c r="C620" s="19">
        <v>46036</v>
      </c>
      <c r="D620" s="20" t="s">
        <v>1200</v>
      </c>
      <c r="E620" s="21"/>
      <c r="F620" s="21"/>
      <c r="G620" s="21"/>
      <c r="H620" s="66"/>
      <c r="I620" s="84" t="s">
        <v>1201</v>
      </c>
      <c r="J620" s="61" t="s">
        <v>23</v>
      </c>
      <c r="K620" s="60" t="s">
        <v>30</v>
      </c>
      <c r="L620" s="25" t="s">
        <v>1202</v>
      </c>
      <c r="M620" s="21" t="s">
        <v>289</v>
      </c>
      <c r="N620" s="37">
        <v>9.24</v>
      </c>
      <c r="O620" s="37">
        <v>3.4</v>
      </c>
      <c r="P620" s="26">
        <f t="shared" si="86"/>
        <v>5.84</v>
      </c>
      <c r="Q620" s="27">
        <v>150</v>
      </c>
      <c r="R620" s="28">
        <f t="shared" si="82"/>
        <v>876</v>
      </c>
      <c r="S620" s="27">
        <v>876</v>
      </c>
      <c r="T620" s="29"/>
      <c r="V620" s="29" t="s">
        <v>24</v>
      </c>
      <c r="W620" s="27"/>
      <c r="X620" s="30">
        <f t="shared" si="90"/>
        <v>0</v>
      </c>
      <c r="Y620" s="31"/>
      <c r="Z620" s="31">
        <f t="shared" si="91"/>
        <v>0</v>
      </c>
      <c r="AA620" s="29">
        <f t="shared" si="92"/>
        <v>876</v>
      </c>
    </row>
    <row r="621" spans="1:38" s="32" customFormat="1" x14ac:dyDescent="0.25">
      <c r="A621" s="18">
        <v>625</v>
      </c>
      <c r="B621" s="19">
        <v>46036</v>
      </c>
      <c r="C621" s="19">
        <v>46036</v>
      </c>
      <c r="D621" s="20" t="s">
        <v>1203</v>
      </c>
      <c r="E621" s="21"/>
      <c r="F621" s="21"/>
      <c r="G621" s="21"/>
      <c r="H621" s="66"/>
      <c r="I621" s="84" t="s">
        <v>303</v>
      </c>
      <c r="J621" s="61" t="s">
        <v>23</v>
      </c>
      <c r="K621" s="60" t="s">
        <v>30</v>
      </c>
      <c r="L621" s="25" t="s">
        <v>304</v>
      </c>
      <c r="M621" s="21" t="s">
        <v>289</v>
      </c>
      <c r="N621" s="37">
        <v>8.92</v>
      </c>
      <c r="O621" s="37">
        <v>3.34</v>
      </c>
      <c r="P621" s="26">
        <f t="shared" si="86"/>
        <v>5.58</v>
      </c>
      <c r="Q621" s="27">
        <v>150</v>
      </c>
      <c r="R621" s="28">
        <f t="shared" si="82"/>
        <v>837</v>
      </c>
      <c r="S621" s="27">
        <v>837</v>
      </c>
      <c r="T621" s="29"/>
      <c r="V621" s="29" t="s">
        <v>24</v>
      </c>
      <c r="W621" s="27"/>
      <c r="X621" s="30">
        <f t="shared" si="90"/>
        <v>0</v>
      </c>
      <c r="Y621" s="31"/>
      <c r="Z621" s="31">
        <f t="shared" si="91"/>
        <v>0</v>
      </c>
      <c r="AA621" s="29">
        <f t="shared" si="92"/>
        <v>837</v>
      </c>
      <c r="AB621" s="40"/>
      <c r="AC621" s="39"/>
      <c r="AD621" s="41"/>
      <c r="AE621" s="42"/>
      <c r="AF621" s="39"/>
      <c r="AG621" s="42"/>
      <c r="AH621" s="39"/>
      <c r="AI621" s="41"/>
      <c r="AJ621" s="39"/>
      <c r="AK621" s="41"/>
      <c r="AL621" s="41"/>
    </row>
    <row r="622" spans="1:38" s="32" customFormat="1" x14ac:dyDescent="0.25">
      <c r="A622" s="18">
        <v>626</v>
      </c>
      <c r="B622" s="19">
        <v>46036</v>
      </c>
      <c r="C622" s="19">
        <v>46036</v>
      </c>
      <c r="D622" s="20" t="s">
        <v>1204</v>
      </c>
      <c r="E622" s="21"/>
      <c r="F622" s="21"/>
      <c r="G622" s="21"/>
      <c r="H622" s="66"/>
      <c r="I622" s="84" t="s">
        <v>303</v>
      </c>
      <c r="J622" s="61" t="s">
        <v>23</v>
      </c>
      <c r="K622" s="60" t="s">
        <v>30</v>
      </c>
      <c r="L622" s="25" t="s">
        <v>304</v>
      </c>
      <c r="M622" s="21" t="s">
        <v>289</v>
      </c>
      <c r="N622" s="37">
        <v>8.58</v>
      </c>
      <c r="O622" s="37">
        <v>3.34</v>
      </c>
      <c r="P622" s="26">
        <f t="shared" si="86"/>
        <v>5.24</v>
      </c>
      <c r="Q622" s="27">
        <v>150</v>
      </c>
      <c r="R622" s="28">
        <f t="shared" si="82"/>
        <v>786</v>
      </c>
      <c r="S622" s="27">
        <v>786</v>
      </c>
      <c r="T622" s="29"/>
      <c r="V622" s="29" t="s">
        <v>24</v>
      </c>
      <c r="W622" s="27"/>
      <c r="X622" s="30">
        <f t="shared" si="90"/>
        <v>0</v>
      </c>
      <c r="Y622" s="31"/>
      <c r="Z622" s="31">
        <f t="shared" si="91"/>
        <v>0</v>
      </c>
      <c r="AA622" s="29">
        <f t="shared" si="92"/>
        <v>786</v>
      </c>
    </row>
    <row r="623" spans="1:38" s="32" customFormat="1" x14ac:dyDescent="0.25">
      <c r="A623" s="18">
        <v>627</v>
      </c>
      <c r="B623" s="19">
        <v>46036</v>
      </c>
      <c r="C623" s="19">
        <v>46036</v>
      </c>
      <c r="D623" s="20" t="s">
        <v>1205</v>
      </c>
      <c r="E623" s="21"/>
      <c r="F623" s="21"/>
      <c r="G623" s="21"/>
      <c r="H623" s="66"/>
      <c r="I623" s="84" t="s">
        <v>1201</v>
      </c>
      <c r="J623" s="61" t="s">
        <v>23</v>
      </c>
      <c r="K623" s="60" t="s">
        <v>30</v>
      </c>
      <c r="L623" s="25" t="s">
        <v>1202</v>
      </c>
      <c r="M623" s="21" t="s">
        <v>289</v>
      </c>
      <c r="N623" s="37">
        <v>9.14</v>
      </c>
      <c r="O623" s="37">
        <v>3.4</v>
      </c>
      <c r="P623" s="26">
        <f t="shared" si="86"/>
        <v>5.74</v>
      </c>
      <c r="Q623" s="27">
        <v>150</v>
      </c>
      <c r="R623" s="28">
        <f t="shared" si="82"/>
        <v>861</v>
      </c>
      <c r="S623" s="27">
        <v>861</v>
      </c>
      <c r="T623" s="29"/>
      <c r="V623" s="29" t="s">
        <v>24</v>
      </c>
      <c r="W623" s="27"/>
      <c r="X623" s="30">
        <f t="shared" si="90"/>
        <v>0</v>
      </c>
      <c r="Y623" s="31"/>
      <c r="Z623" s="31">
        <f t="shared" si="91"/>
        <v>0</v>
      </c>
      <c r="AA623" s="29">
        <f t="shared" si="92"/>
        <v>861</v>
      </c>
    </row>
    <row r="624" spans="1:38" s="32" customFormat="1" x14ac:dyDescent="0.25">
      <c r="A624" s="18">
        <v>628</v>
      </c>
      <c r="B624" s="19">
        <v>46036</v>
      </c>
      <c r="C624" s="19">
        <v>46036</v>
      </c>
      <c r="D624" s="20">
        <v>260114016</v>
      </c>
      <c r="E624" s="21" t="s">
        <v>1206</v>
      </c>
      <c r="F624" s="21" t="s">
        <v>1207</v>
      </c>
      <c r="G624" s="21">
        <v>34</v>
      </c>
      <c r="H624" s="36">
        <v>131</v>
      </c>
      <c r="I624" s="23" t="s">
        <v>64</v>
      </c>
      <c r="J624" s="24" t="s">
        <v>23</v>
      </c>
      <c r="K624" s="23" t="s">
        <v>31</v>
      </c>
      <c r="L624" s="25" t="s">
        <v>43</v>
      </c>
      <c r="M624" s="21" t="s">
        <v>32</v>
      </c>
      <c r="N624" s="37">
        <v>46.18</v>
      </c>
      <c r="O624" s="37">
        <v>11.18</v>
      </c>
      <c r="P624" s="26">
        <f t="shared" si="86"/>
        <v>35</v>
      </c>
      <c r="Q624" s="27">
        <v>285</v>
      </c>
      <c r="R624" s="28">
        <f t="shared" si="82"/>
        <v>9975</v>
      </c>
      <c r="S624" s="27"/>
      <c r="T624" s="29"/>
      <c r="V624" s="29" t="s">
        <v>24</v>
      </c>
      <c r="W624" s="27">
        <v>145</v>
      </c>
      <c r="X624" s="30">
        <f t="shared" si="90"/>
        <v>5075</v>
      </c>
      <c r="Y624" s="31">
        <v>200</v>
      </c>
      <c r="Z624" s="31">
        <f t="shared" si="91"/>
        <v>7000</v>
      </c>
      <c r="AA624" s="29">
        <f t="shared" si="92"/>
        <v>22050</v>
      </c>
    </row>
    <row r="625" spans="1:38" s="32" customFormat="1" x14ac:dyDescent="0.25">
      <c r="A625" s="18">
        <v>629</v>
      </c>
      <c r="B625" s="19">
        <v>46036</v>
      </c>
      <c r="C625" s="19">
        <v>46036</v>
      </c>
      <c r="D625" s="20">
        <v>260114017</v>
      </c>
      <c r="E625" s="21" t="s">
        <v>1208</v>
      </c>
      <c r="F625" s="21" t="s">
        <v>1209</v>
      </c>
      <c r="G625" s="21">
        <v>49</v>
      </c>
      <c r="H625" s="36">
        <v>131</v>
      </c>
      <c r="I625" s="23" t="s">
        <v>64</v>
      </c>
      <c r="J625" s="24" t="s">
        <v>23</v>
      </c>
      <c r="K625" s="23" t="s">
        <v>31</v>
      </c>
      <c r="L625" s="82" t="s">
        <v>55</v>
      </c>
      <c r="M625" s="83" t="s">
        <v>32</v>
      </c>
      <c r="N625" s="37">
        <v>67.28</v>
      </c>
      <c r="O625" s="37">
        <v>18.02</v>
      </c>
      <c r="P625" s="26">
        <f t="shared" si="86"/>
        <v>49.260000000000005</v>
      </c>
      <c r="Q625" s="27">
        <v>285</v>
      </c>
      <c r="R625" s="28">
        <f t="shared" ref="R625:R688" si="93">P625*Q625</f>
        <v>14039.100000000002</v>
      </c>
      <c r="S625" s="27"/>
      <c r="T625" s="29"/>
      <c r="V625" s="29" t="s">
        <v>24</v>
      </c>
      <c r="W625" s="27">
        <v>145</v>
      </c>
      <c r="X625" s="30">
        <f t="shared" si="90"/>
        <v>7142.7000000000007</v>
      </c>
      <c r="Y625" s="31">
        <v>200</v>
      </c>
      <c r="Z625" s="31">
        <f t="shared" si="91"/>
        <v>9852.0000000000018</v>
      </c>
      <c r="AA625" s="29">
        <f t="shared" si="92"/>
        <v>31033.800000000003</v>
      </c>
    </row>
    <row r="626" spans="1:38" s="38" customFormat="1" x14ac:dyDescent="0.25">
      <c r="A626" s="18">
        <v>630</v>
      </c>
      <c r="B626" s="19">
        <v>46036</v>
      </c>
      <c r="C626" s="19">
        <v>46036</v>
      </c>
      <c r="D626" s="20">
        <v>260114018</v>
      </c>
      <c r="E626" s="21" t="s">
        <v>1210</v>
      </c>
      <c r="F626" s="21" t="s">
        <v>1211</v>
      </c>
      <c r="G626" s="21">
        <v>44</v>
      </c>
      <c r="H626" s="36">
        <v>131</v>
      </c>
      <c r="I626" s="23" t="s">
        <v>64</v>
      </c>
      <c r="J626" s="24" t="s">
        <v>23</v>
      </c>
      <c r="K626" s="23" t="s">
        <v>31</v>
      </c>
      <c r="L626" s="25" t="s">
        <v>36</v>
      </c>
      <c r="M626" s="21" t="s">
        <v>32</v>
      </c>
      <c r="N626" s="37">
        <v>60.54</v>
      </c>
      <c r="O626" s="37">
        <v>15.82</v>
      </c>
      <c r="P626" s="26">
        <f t="shared" si="86"/>
        <v>44.72</v>
      </c>
      <c r="Q626" s="27">
        <v>285</v>
      </c>
      <c r="R626" s="28">
        <f t="shared" si="93"/>
        <v>12745.199999999999</v>
      </c>
      <c r="S626" s="27"/>
      <c r="T626" s="29"/>
      <c r="V626" s="29" t="s">
        <v>24</v>
      </c>
      <c r="W626" s="27">
        <v>145</v>
      </c>
      <c r="X626" s="30">
        <f t="shared" si="90"/>
        <v>6484.4</v>
      </c>
      <c r="Y626" s="31">
        <v>200</v>
      </c>
      <c r="Z626" s="31">
        <f t="shared" si="91"/>
        <v>8944</v>
      </c>
      <c r="AA626" s="29">
        <f t="shared" si="92"/>
        <v>28173.599999999999</v>
      </c>
    </row>
    <row r="627" spans="1:38" s="38" customFormat="1" x14ac:dyDescent="0.25">
      <c r="A627" s="18">
        <v>631</v>
      </c>
      <c r="B627" s="19">
        <v>46036</v>
      </c>
      <c r="C627" s="19">
        <v>46036</v>
      </c>
      <c r="D627" s="20" t="s">
        <v>1212</v>
      </c>
      <c r="E627" s="21"/>
      <c r="F627" s="21"/>
      <c r="G627" s="21"/>
      <c r="H627" s="66"/>
      <c r="I627" s="84" t="s">
        <v>1201</v>
      </c>
      <c r="J627" s="61" t="s">
        <v>23</v>
      </c>
      <c r="K627" s="60" t="s">
        <v>30</v>
      </c>
      <c r="L627" s="25" t="s">
        <v>1202</v>
      </c>
      <c r="M627" s="21" t="s">
        <v>289</v>
      </c>
      <c r="N627" s="37">
        <v>9.4</v>
      </c>
      <c r="O627" s="37">
        <v>3.42</v>
      </c>
      <c r="P627" s="26">
        <f t="shared" si="86"/>
        <v>5.98</v>
      </c>
      <c r="Q627" s="27">
        <v>150</v>
      </c>
      <c r="R627" s="28">
        <f t="shared" si="93"/>
        <v>897.00000000000011</v>
      </c>
      <c r="S627" s="27">
        <v>897</v>
      </c>
      <c r="T627" s="29"/>
      <c r="V627" s="29" t="s">
        <v>24</v>
      </c>
      <c r="W627" s="27"/>
      <c r="X627" s="30">
        <f t="shared" si="90"/>
        <v>0</v>
      </c>
      <c r="Y627" s="31"/>
      <c r="Z627" s="31">
        <f t="shared" si="91"/>
        <v>0</v>
      </c>
      <c r="AA627" s="29">
        <f t="shared" si="92"/>
        <v>897.00000000000011</v>
      </c>
    </row>
    <row r="628" spans="1:38" s="32" customFormat="1" x14ac:dyDescent="0.25">
      <c r="A628" s="18">
        <v>632</v>
      </c>
      <c r="B628" s="19">
        <v>46036</v>
      </c>
      <c r="C628" s="19">
        <v>46036</v>
      </c>
      <c r="D628" s="20" t="s">
        <v>1213</v>
      </c>
      <c r="E628" s="21"/>
      <c r="F628" s="21"/>
      <c r="G628" s="21"/>
      <c r="H628" s="60"/>
      <c r="I628" s="84" t="s">
        <v>303</v>
      </c>
      <c r="J628" s="61" t="s">
        <v>23</v>
      </c>
      <c r="K628" s="60" t="s">
        <v>30</v>
      </c>
      <c r="L628" s="25" t="s">
        <v>304</v>
      </c>
      <c r="M628" s="21" t="s">
        <v>289</v>
      </c>
      <c r="N628" s="37">
        <v>9.56</v>
      </c>
      <c r="O628" s="37">
        <v>3.34</v>
      </c>
      <c r="P628" s="26">
        <f t="shared" si="86"/>
        <v>6.2200000000000006</v>
      </c>
      <c r="Q628" s="27">
        <v>150</v>
      </c>
      <c r="R628" s="28">
        <f t="shared" si="93"/>
        <v>933.00000000000011</v>
      </c>
      <c r="S628" s="27">
        <v>933</v>
      </c>
      <c r="T628" s="29"/>
      <c r="V628" s="29" t="s">
        <v>24</v>
      </c>
      <c r="W628" s="27"/>
      <c r="X628" s="30">
        <f t="shared" si="90"/>
        <v>0</v>
      </c>
      <c r="Y628" s="31"/>
      <c r="Z628" s="31">
        <f t="shared" si="91"/>
        <v>0</v>
      </c>
      <c r="AA628" s="29">
        <f t="shared" si="92"/>
        <v>933.00000000000011</v>
      </c>
    </row>
    <row r="629" spans="1:38" s="32" customFormat="1" x14ac:dyDescent="0.25">
      <c r="A629" s="18">
        <v>633</v>
      </c>
      <c r="B629" s="19">
        <v>46036</v>
      </c>
      <c r="C629" s="19">
        <v>46036</v>
      </c>
      <c r="D629" s="20" t="s">
        <v>1214</v>
      </c>
      <c r="E629" s="21"/>
      <c r="F629" s="21"/>
      <c r="G629" s="21"/>
      <c r="H629" s="60"/>
      <c r="I629" s="60" t="s">
        <v>201</v>
      </c>
      <c r="J629" s="61" t="s">
        <v>23</v>
      </c>
      <c r="K629" s="23" t="s">
        <v>31</v>
      </c>
      <c r="L629" s="25" t="s">
        <v>1215</v>
      </c>
      <c r="M629" s="21" t="s">
        <v>203</v>
      </c>
      <c r="N629" s="37">
        <v>30.12</v>
      </c>
      <c r="O629" s="37">
        <v>14.82</v>
      </c>
      <c r="P629" s="26">
        <f t="shared" si="86"/>
        <v>15.3</v>
      </c>
      <c r="Q629" s="27">
        <v>0</v>
      </c>
      <c r="R629" s="28">
        <f t="shared" si="93"/>
        <v>0</v>
      </c>
      <c r="S629" s="27"/>
      <c r="T629" s="29"/>
      <c r="V629" s="29" t="s">
        <v>24</v>
      </c>
      <c r="W629" s="27"/>
      <c r="X629" s="30">
        <f t="shared" si="90"/>
        <v>0</v>
      </c>
      <c r="Y629" s="31"/>
      <c r="Z629" s="31">
        <f t="shared" si="91"/>
        <v>0</v>
      </c>
      <c r="AA629" s="29">
        <f t="shared" si="92"/>
        <v>0</v>
      </c>
    </row>
    <row r="630" spans="1:38" s="32" customFormat="1" x14ac:dyDescent="0.25">
      <c r="A630" s="18">
        <v>634</v>
      </c>
      <c r="B630" s="19">
        <v>46036</v>
      </c>
      <c r="C630" s="19">
        <v>46036</v>
      </c>
      <c r="D630" s="20" t="s">
        <v>1216</v>
      </c>
      <c r="E630" s="21"/>
      <c r="F630" s="21"/>
      <c r="G630" s="21"/>
      <c r="H630" s="62"/>
      <c r="I630" s="60" t="s">
        <v>201</v>
      </c>
      <c r="J630" s="61" t="s">
        <v>23</v>
      </c>
      <c r="K630" s="23" t="s">
        <v>31</v>
      </c>
      <c r="L630" s="25" t="s">
        <v>1217</v>
      </c>
      <c r="M630" s="21" t="s">
        <v>203</v>
      </c>
      <c r="N630" s="37">
        <v>29.54</v>
      </c>
      <c r="O630" s="37">
        <v>14.18</v>
      </c>
      <c r="P630" s="26">
        <f t="shared" si="86"/>
        <v>15.36</v>
      </c>
      <c r="Q630" s="27">
        <v>0</v>
      </c>
      <c r="R630" s="28">
        <f t="shared" si="93"/>
        <v>0</v>
      </c>
      <c r="S630" s="27"/>
      <c r="T630" s="29"/>
      <c r="V630" s="29" t="s">
        <v>24</v>
      </c>
      <c r="W630" s="27"/>
      <c r="X630" s="30">
        <f t="shared" si="90"/>
        <v>0</v>
      </c>
      <c r="Y630" s="31"/>
      <c r="Z630" s="31">
        <f t="shared" si="91"/>
        <v>0</v>
      </c>
      <c r="AA630" s="29">
        <f t="shared" si="92"/>
        <v>0</v>
      </c>
    </row>
    <row r="631" spans="1:38" s="38" customFormat="1" x14ac:dyDescent="0.25">
      <c r="A631" s="18">
        <v>635</v>
      </c>
      <c r="B631" s="19">
        <v>46036</v>
      </c>
      <c r="C631" s="19">
        <v>46036</v>
      </c>
      <c r="D631" s="20" t="s">
        <v>1218</v>
      </c>
      <c r="E631" s="21"/>
      <c r="F631" s="21"/>
      <c r="G631" s="21"/>
      <c r="H631" s="62"/>
      <c r="I631" s="60" t="s">
        <v>201</v>
      </c>
      <c r="J631" s="61" t="s">
        <v>23</v>
      </c>
      <c r="K631" s="23" t="s">
        <v>31</v>
      </c>
      <c r="L631" s="25" t="s">
        <v>1219</v>
      </c>
      <c r="M631" s="21" t="s">
        <v>203</v>
      </c>
      <c r="N631" s="37">
        <v>29.06</v>
      </c>
      <c r="O631" s="37">
        <v>14.86</v>
      </c>
      <c r="P631" s="26">
        <f t="shared" si="86"/>
        <v>14.2</v>
      </c>
      <c r="Q631" s="27">
        <v>0</v>
      </c>
      <c r="R631" s="28">
        <f t="shared" si="93"/>
        <v>0</v>
      </c>
      <c r="S631" s="27"/>
      <c r="T631" s="29"/>
      <c r="V631" s="29" t="s">
        <v>24</v>
      </c>
      <c r="W631" s="27"/>
      <c r="X631" s="30">
        <f t="shared" si="90"/>
        <v>0</v>
      </c>
      <c r="Y631" s="31"/>
      <c r="Z631" s="31">
        <f t="shared" si="91"/>
        <v>0</v>
      </c>
      <c r="AA631" s="29">
        <f t="shared" si="92"/>
        <v>0</v>
      </c>
    </row>
    <row r="632" spans="1:38" s="32" customFormat="1" x14ac:dyDescent="0.25">
      <c r="A632" s="18">
        <v>636</v>
      </c>
      <c r="B632" s="19">
        <v>46039</v>
      </c>
      <c r="C632" s="19">
        <v>46039</v>
      </c>
      <c r="D632" s="20">
        <v>260117001</v>
      </c>
      <c r="E632" s="21" t="s">
        <v>1220</v>
      </c>
      <c r="F632" s="21" t="s">
        <v>1221</v>
      </c>
      <c r="G632" s="21">
        <v>47</v>
      </c>
      <c r="H632" s="48">
        <v>84</v>
      </c>
      <c r="I632" s="71" t="s">
        <v>941</v>
      </c>
      <c r="J632" s="49" t="s">
        <v>23</v>
      </c>
      <c r="K632" s="23" t="s">
        <v>31</v>
      </c>
      <c r="L632" s="25" t="s">
        <v>46</v>
      </c>
      <c r="M632" s="21" t="s">
        <v>34</v>
      </c>
      <c r="N632" s="21">
        <v>62.46</v>
      </c>
      <c r="O632" s="21">
        <v>14.9</v>
      </c>
      <c r="P632" s="26">
        <f t="shared" ref="P632:P688" si="94">N632-O632</f>
        <v>47.56</v>
      </c>
      <c r="Q632" s="27">
        <v>515</v>
      </c>
      <c r="R632" s="28">
        <f t="shared" si="93"/>
        <v>24493.4</v>
      </c>
      <c r="S632" s="27"/>
      <c r="T632" s="29"/>
      <c r="V632" s="29" t="s">
        <v>24</v>
      </c>
      <c r="W632" s="27">
        <v>145</v>
      </c>
      <c r="X632" s="30">
        <f t="shared" ref="X632:X663" si="95">P632*W632</f>
        <v>6896.2000000000007</v>
      </c>
      <c r="Y632" s="31">
        <v>200</v>
      </c>
      <c r="Z632" s="31">
        <f t="shared" ref="Z632:Z663" si="96">P632*Y632</f>
        <v>9512</v>
      </c>
      <c r="AA632" s="29">
        <f t="shared" ref="AA632:AA663" si="97">R632+X632+Z632</f>
        <v>40901.600000000006</v>
      </c>
    </row>
    <row r="633" spans="1:38" s="32" customFormat="1" x14ac:dyDescent="0.25">
      <c r="A633" s="18">
        <v>637</v>
      </c>
      <c r="B633" s="19">
        <v>46039</v>
      </c>
      <c r="C633" s="19">
        <v>46039</v>
      </c>
      <c r="D633" s="20">
        <v>260117002</v>
      </c>
      <c r="E633" s="21" t="s">
        <v>1222</v>
      </c>
      <c r="F633" s="21" t="s">
        <v>1223</v>
      </c>
      <c r="G633" s="21">
        <v>46</v>
      </c>
      <c r="H633" s="48">
        <v>84</v>
      </c>
      <c r="I633" s="71" t="s">
        <v>941</v>
      </c>
      <c r="J633" s="49" t="s">
        <v>23</v>
      </c>
      <c r="K633" s="23" t="s">
        <v>31</v>
      </c>
      <c r="L633" s="82" t="s">
        <v>38</v>
      </c>
      <c r="M633" s="83" t="s">
        <v>34</v>
      </c>
      <c r="N633" s="83">
        <v>61.84</v>
      </c>
      <c r="O633" s="83">
        <v>15.02</v>
      </c>
      <c r="P633" s="26">
        <f t="shared" si="94"/>
        <v>46.820000000000007</v>
      </c>
      <c r="Q633" s="27">
        <v>515</v>
      </c>
      <c r="R633" s="28">
        <f t="shared" si="93"/>
        <v>24112.300000000003</v>
      </c>
      <c r="S633" s="27"/>
      <c r="T633" s="29"/>
      <c r="V633" s="29" t="s">
        <v>24</v>
      </c>
      <c r="W633" s="27">
        <v>145</v>
      </c>
      <c r="X633" s="30">
        <f t="shared" si="95"/>
        <v>6788.9000000000015</v>
      </c>
      <c r="Y633" s="31">
        <v>200</v>
      </c>
      <c r="Z633" s="31">
        <f t="shared" si="96"/>
        <v>9364.0000000000018</v>
      </c>
      <c r="AA633" s="29">
        <f t="shared" si="97"/>
        <v>40265.200000000004</v>
      </c>
    </row>
    <row r="634" spans="1:38" s="32" customFormat="1" x14ac:dyDescent="0.25">
      <c r="A634" s="18">
        <v>638</v>
      </c>
      <c r="B634" s="19">
        <v>46039</v>
      </c>
      <c r="C634" s="19">
        <v>46039</v>
      </c>
      <c r="D634" s="20">
        <v>260117003</v>
      </c>
      <c r="E634" s="21" t="s">
        <v>1224</v>
      </c>
      <c r="F634" s="21" t="s">
        <v>1225</v>
      </c>
      <c r="G634" s="21">
        <v>44</v>
      </c>
      <c r="H634" s="48">
        <v>84</v>
      </c>
      <c r="I634" s="71" t="s">
        <v>941</v>
      </c>
      <c r="J634" s="49" t="s">
        <v>23</v>
      </c>
      <c r="K634" s="23" t="s">
        <v>31</v>
      </c>
      <c r="L634" s="21" t="s">
        <v>62</v>
      </c>
      <c r="M634" s="21" t="s">
        <v>32</v>
      </c>
      <c r="N634" s="21">
        <v>59.46</v>
      </c>
      <c r="O634" s="21">
        <v>15.32</v>
      </c>
      <c r="P634" s="26">
        <f t="shared" si="94"/>
        <v>44.14</v>
      </c>
      <c r="Q634" s="27">
        <v>305</v>
      </c>
      <c r="R634" s="28">
        <f t="shared" si="93"/>
        <v>13462.7</v>
      </c>
      <c r="S634" s="27"/>
      <c r="T634" s="29"/>
      <c r="V634" s="29" t="s">
        <v>24</v>
      </c>
      <c r="W634" s="27">
        <v>145</v>
      </c>
      <c r="X634" s="30">
        <f t="shared" si="95"/>
        <v>6400.3</v>
      </c>
      <c r="Y634" s="31">
        <v>200</v>
      </c>
      <c r="Z634" s="31">
        <f t="shared" si="96"/>
        <v>8828</v>
      </c>
      <c r="AA634" s="29">
        <f t="shared" si="97"/>
        <v>28691</v>
      </c>
    </row>
    <row r="635" spans="1:38" s="38" customFormat="1" x14ac:dyDescent="0.25">
      <c r="A635" s="18">
        <v>639</v>
      </c>
      <c r="B635" s="19">
        <v>46039</v>
      </c>
      <c r="C635" s="19">
        <v>46039</v>
      </c>
      <c r="D635" s="20">
        <v>260117004</v>
      </c>
      <c r="E635" s="21" t="s">
        <v>1226</v>
      </c>
      <c r="F635" s="21" t="s">
        <v>1227</v>
      </c>
      <c r="G635" s="21">
        <v>44</v>
      </c>
      <c r="H635" s="48">
        <v>84</v>
      </c>
      <c r="I635" s="71" t="s">
        <v>941</v>
      </c>
      <c r="J635" s="49" t="s">
        <v>23</v>
      </c>
      <c r="K635" s="23" t="s">
        <v>31</v>
      </c>
      <c r="L635" s="25" t="s">
        <v>41</v>
      </c>
      <c r="M635" s="21" t="s">
        <v>32</v>
      </c>
      <c r="N635" s="21">
        <v>59.92</v>
      </c>
      <c r="O635" s="37">
        <v>15.9</v>
      </c>
      <c r="P635" s="26">
        <f t="shared" si="94"/>
        <v>44.02</v>
      </c>
      <c r="Q635" s="27">
        <v>305</v>
      </c>
      <c r="R635" s="28">
        <f t="shared" si="93"/>
        <v>13426.1</v>
      </c>
      <c r="S635" s="27"/>
      <c r="T635" s="29"/>
      <c r="V635" s="29" t="s">
        <v>24</v>
      </c>
      <c r="W635" s="27">
        <v>145</v>
      </c>
      <c r="X635" s="30">
        <f t="shared" si="95"/>
        <v>6382.9000000000005</v>
      </c>
      <c r="Y635" s="31">
        <v>200</v>
      </c>
      <c r="Z635" s="31">
        <f t="shared" si="96"/>
        <v>8804</v>
      </c>
      <c r="AA635" s="29">
        <f t="shared" si="97"/>
        <v>28613</v>
      </c>
    </row>
    <row r="636" spans="1:38" s="32" customFormat="1" x14ac:dyDescent="0.25">
      <c r="A636" s="18">
        <v>640</v>
      </c>
      <c r="B636" s="19">
        <v>46039</v>
      </c>
      <c r="C636" s="19">
        <v>46039</v>
      </c>
      <c r="D636" s="20">
        <v>260117005</v>
      </c>
      <c r="E636" s="21" t="s">
        <v>1228</v>
      </c>
      <c r="F636" s="21" t="s">
        <v>1229</v>
      </c>
      <c r="G636" s="21">
        <v>34</v>
      </c>
      <c r="H636" s="36">
        <v>131</v>
      </c>
      <c r="I636" s="23" t="s">
        <v>64</v>
      </c>
      <c r="J636" s="24" t="s">
        <v>23</v>
      </c>
      <c r="K636" s="23" t="s">
        <v>31</v>
      </c>
      <c r="L636" s="25" t="s">
        <v>43</v>
      </c>
      <c r="M636" s="21" t="s">
        <v>34</v>
      </c>
      <c r="N636" s="37">
        <v>45.62</v>
      </c>
      <c r="O636" s="21">
        <v>11.2</v>
      </c>
      <c r="P636" s="26">
        <f t="shared" si="94"/>
        <v>34.42</v>
      </c>
      <c r="Q636" s="27">
        <v>535</v>
      </c>
      <c r="R636" s="28">
        <f t="shared" si="93"/>
        <v>18414.7</v>
      </c>
      <c r="S636" s="27"/>
      <c r="T636" s="29"/>
      <c r="V636" s="29" t="s">
        <v>24</v>
      </c>
      <c r="W636" s="27">
        <v>145</v>
      </c>
      <c r="X636" s="30">
        <f t="shared" si="95"/>
        <v>4990.9000000000005</v>
      </c>
      <c r="Y636" s="31">
        <v>200</v>
      </c>
      <c r="Z636" s="31">
        <f t="shared" si="96"/>
        <v>6884</v>
      </c>
      <c r="AA636" s="29">
        <f t="shared" si="97"/>
        <v>30289.600000000002</v>
      </c>
    </row>
    <row r="637" spans="1:38" s="32" customFormat="1" x14ac:dyDescent="0.25">
      <c r="A637" s="18">
        <v>641</v>
      </c>
      <c r="B637" s="19">
        <v>46039</v>
      </c>
      <c r="C637" s="19">
        <v>46039</v>
      </c>
      <c r="D637" s="20" t="s">
        <v>1230</v>
      </c>
      <c r="E637" s="21"/>
      <c r="F637" s="21"/>
      <c r="G637" s="21"/>
      <c r="H637" s="62"/>
      <c r="I637" s="60" t="s">
        <v>1231</v>
      </c>
      <c r="J637" s="61" t="s">
        <v>23</v>
      </c>
      <c r="K637" s="60" t="s">
        <v>30</v>
      </c>
      <c r="L637" s="25" t="s">
        <v>1232</v>
      </c>
      <c r="M637" s="21" t="s">
        <v>289</v>
      </c>
      <c r="N637" s="37">
        <v>8.5399999999999991</v>
      </c>
      <c r="O637" s="37">
        <v>3.44</v>
      </c>
      <c r="P637" s="26">
        <f t="shared" si="94"/>
        <v>5.0999999999999996</v>
      </c>
      <c r="Q637" s="27">
        <v>150</v>
      </c>
      <c r="R637" s="28">
        <f t="shared" si="93"/>
        <v>765</v>
      </c>
      <c r="S637" s="27">
        <v>765</v>
      </c>
      <c r="T637" s="29"/>
      <c r="V637" s="29" t="s">
        <v>24</v>
      </c>
      <c r="W637" s="27"/>
      <c r="X637" s="30">
        <f t="shared" si="95"/>
        <v>0</v>
      </c>
      <c r="Y637" s="31"/>
      <c r="Z637" s="31">
        <f t="shared" si="96"/>
        <v>0</v>
      </c>
      <c r="AA637" s="29">
        <f t="shared" si="97"/>
        <v>765</v>
      </c>
    </row>
    <row r="638" spans="1:38" s="32" customFormat="1" x14ac:dyDescent="0.25">
      <c r="A638" s="18">
        <v>642</v>
      </c>
      <c r="B638" s="19">
        <v>46039</v>
      </c>
      <c r="C638" s="19">
        <v>46039</v>
      </c>
      <c r="D638" s="20">
        <v>260117006</v>
      </c>
      <c r="E638" s="21"/>
      <c r="F638" s="21" t="s">
        <v>1233</v>
      </c>
      <c r="G638" s="21">
        <v>50</v>
      </c>
      <c r="H638" s="33">
        <v>285</v>
      </c>
      <c r="I638" s="73" t="s">
        <v>703</v>
      </c>
      <c r="J638" s="24" t="s">
        <v>23</v>
      </c>
      <c r="K638" s="23" t="s">
        <v>31</v>
      </c>
      <c r="L638" s="25" t="s">
        <v>704</v>
      </c>
      <c r="M638" s="21" t="s">
        <v>49</v>
      </c>
      <c r="N638" s="37">
        <v>66.3</v>
      </c>
      <c r="O638" s="37">
        <v>15.32</v>
      </c>
      <c r="P638" s="26">
        <f t="shared" si="94"/>
        <v>50.98</v>
      </c>
      <c r="Q638" s="27">
        <v>220</v>
      </c>
      <c r="R638" s="28">
        <f t="shared" si="93"/>
        <v>11215.599999999999</v>
      </c>
      <c r="S638" s="27"/>
      <c r="T638" s="29"/>
      <c r="V638" s="29" t="s">
        <v>45</v>
      </c>
      <c r="W638" s="27"/>
      <c r="X638" s="30">
        <f t="shared" si="95"/>
        <v>0</v>
      </c>
      <c r="Y638" s="31"/>
      <c r="Z638" s="31">
        <f t="shared" si="96"/>
        <v>0</v>
      </c>
      <c r="AA638" s="29">
        <f t="shared" si="97"/>
        <v>11215.599999999999</v>
      </c>
    </row>
    <row r="639" spans="1:38" s="32" customFormat="1" x14ac:dyDescent="0.25">
      <c r="A639" s="18">
        <v>643</v>
      </c>
      <c r="B639" s="19">
        <v>46039</v>
      </c>
      <c r="C639" s="19">
        <v>46039</v>
      </c>
      <c r="D639" s="20">
        <v>260117007</v>
      </c>
      <c r="E639" s="21"/>
      <c r="F639" s="21" t="s">
        <v>1234</v>
      </c>
      <c r="G639" s="21">
        <v>43</v>
      </c>
      <c r="H639" s="33">
        <v>285</v>
      </c>
      <c r="I639" s="73" t="s">
        <v>703</v>
      </c>
      <c r="J639" s="24" t="s">
        <v>23</v>
      </c>
      <c r="K639" s="23" t="s">
        <v>31</v>
      </c>
      <c r="L639" s="25" t="s">
        <v>664</v>
      </c>
      <c r="M639" s="21" t="s">
        <v>34</v>
      </c>
      <c r="N639" s="37">
        <v>58.32</v>
      </c>
      <c r="O639" s="37">
        <v>14.36</v>
      </c>
      <c r="P639" s="26">
        <f t="shared" si="94"/>
        <v>43.96</v>
      </c>
      <c r="Q639" s="27">
        <v>520</v>
      </c>
      <c r="R639" s="28">
        <f t="shared" si="93"/>
        <v>22859.200000000001</v>
      </c>
      <c r="S639" s="27"/>
      <c r="T639" s="29"/>
      <c r="V639" s="29" t="s">
        <v>45</v>
      </c>
      <c r="W639" s="27"/>
      <c r="X639" s="30">
        <f t="shared" si="95"/>
        <v>0</v>
      </c>
      <c r="Y639" s="31"/>
      <c r="Z639" s="31">
        <f t="shared" si="96"/>
        <v>0</v>
      </c>
      <c r="AA639" s="29">
        <f t="shared" si="97"/>
        <v>22859.200000000001</v>
      </c>
      <c r="AB639" s="40"/>
      <c r="AC639" s="39"/>
      <c r="AD639" s="41"/>
      <c r="AE639" s="42"/>
      <c r="AF639" s="39"/>
      <c r="AG639" s="42"/>
      <c r="AH639" s="39"/>
      <c r="AI639" s="41"/>
      <c r="AJ639" s="39"/>
      <c r="AK639" s="41"/>
      <c r="AL639" s="41"/>
    </row>
    <row r="640" spans="1:38" s="32" customFormat="1" x14ac:dyDescent="0.25">
      <c r="A640" s="18">
        <v>644</v>
      </c>
      <c r="B640" s="19">
        <v>46039</v>
      </c>
      <c r="C640" s="19">
        <v>46039</v>
      </c>
      <c r="D640" s="20">
        <v>260117008</v>
      </c>
      <c r="E640" s="21" t="s">
        <v>1235</v>
      </c>
      <c r="F640" s="21" t="s">
        <v>1236</v>
      </c>
      <c r="G640" s="21">
        <v>43</v>
      </c>
      <c r="H640" s="48">
        <v>42</v>
      </c>
      <c r="I640" s="23" t="s">
        <v>44</v>
      </c>
      <c r="J640" s="49" t="s">
        <v>23</v>
      </c>
      <c r="K640" s="23" t="s">
        <v>31</v>
      </c>
      <c r="L640" s="25" t="s">
        <v>37</v>
      </c>
      <c r="M640" s="21" t="s">
        <v>32</v>
      </c>
      <c r="N640" s="37">
        <v>59.48</v>
      </c>
      <c r="O640" s="37">
        <v>15.66</v>
      </c>
      <c r="P640" s="26">
        <f t="shared" si="94"/>
        <v>43.819999999999993</v>
      </c>
      <c r="Q640" s="27">
        <v>285</v>
      </c>
      <c r="R640" s="28">
        <f t="shared" si="93"/>
        <v>12488.699999999999</v>
      </c>
      <c r="S640" s="27"/>
      <c r="T640" s="29"/>
      <c r="V640" s="29" t="s">
        <v>24</v>
      </c>
      <c r="W640" s="27">
        <v>145</v>
      </c>
      <c r="X640" s="30">
        <f t="shared" si="95"/>
        <v>6353.8999999999987</v>
      </c>
      <c r="Y640" s="31">
        <v>260</v>
      </c>
      <c r="Z640" s="31">
        <f t="shared" si="96"/>
        <v>11393.199999999999</v>
      </c>
      <c r="AA640" s="29">
        <f t="shared" si="97"/>
        <v>30235.799999999996</v>
      </c>
    </row>
    <row r="641" spans="1:27" s="32" customFormat="1" x14ac:dyDescent="0.25">
      <c r="A641" s="18">
        <v>645</v>
      </c>
      <c r="B641" s="19">
        <v>46039</v>
      </c>
      <c r="C641" s="19">
        <v>46039</v>
      </c>
      <c r="D641" s="20">
        <v>260117009</v>
      </c>
      <c r="E641" s="21" t="s">
        <v>1237</v>
      </c>
      <c r="F641" s="21" t="s">
        <v>1238</v>
      </c>
      <c r="G641" s="21">
        <v>48</v>
      </c>
      <c r="H641" s="48">
        <v>42</v>
      </c>
      <c r="I641" s="23" t="s">
        <v>44</v>
      </c>
      <c r="J641" s="49" t="s">
        <v>23</v>
      </c>
      <c r="K641" s="23" t="s">
        <v>31</v>
      </c>
      <c r="L641" s="25" t="s">
        <v>55</v>
      </c>
      <c r="M641" s="21" t="s">
        <v>32</v>
      </c>
      <c r="N641" s="37">
        <v>66.84</v>
      </c>
      <c r="O641" s="37">
        <v>17.98</v>
      </c>
      <c r="P641" s="26">
        <f t="shared" si="94"/>
        <v>48.86</v>
      </c>
      <c r="Q641" s="27">
        <v>285</v>
      </c>
      <c r="R641" s="28">
        <f t="shared" si="93"/>
        <v>13925.1</v>
      </c>
      <c r="S641" s="27"/>
      <c r="T641" s="29"/>
      <c r="V641" s="29" t="s">
        <v>24</v>
      </c>
      <c r="W641" s="27">
        <v>145</v>
      </c>
      <c r="X641" s="30">
        <f t="shared" si="95"/>
        <v>7084.7</v>
      </c>
      <c r="Y641" s="31">
        <v>260</v>
      </c>
      <c r="Z641" s="31">
        <f t="shared" si="96"/>
        <v>12703.6</v>
      </c>
      <c r="AA641" s="29">
        <f t="shared" si="97"/>
        <v>33713.4</v>
      </c>
    </row>
    <row r="642" spans="1:27" s="32" customFormat="1" x14ac:dyDescent="0.25">
      <c r="A642" s="18">
        <v>646</v>
      </c>
      <c r="B642" s="19">
        <v>46039</v>
      </c>
      <c r="C642" s="19">
        <v>46039</v>
      </c>
      <c r="D642" s="20">
        <v>260117010</v>
      </c>
      <c r="E642" s="21" t="s">
        <v>1239</v>
      </c>
      <c r="F642" s="21" t="s">
        <v>1240</v>
      </c>
      <c r="G642" s="21">
        <v>45</v>
      </c>
      <c r="H642" s="48">
        <v>42</v>
      </c>
      <c r="I642" s="23" t="s">
        <v>44</v>
      </c>
      <c r="J642" s="49" t="s">
        <v>23</v>
      </c>
      <c r="K642" s="23" t="s">
        <v>31</v>
      </c>
      <c r="L642" s="25" t="s">
        <v>244</v>
      </c>
      <c r="M642" s="21" t="s">
        <v>34</v>
      </c>
      <c r="N642" s="37">
        <v>60.2</v>
      </c>
      <c r="O642" s="37">
        <v>15.02</v>
      </c>
      <c r="P642" s="26">
        <f t="shared" si="94"/>
        <v>45.180000000000007</v>
      </c>
      <c r="Q642" s="27">
        <v>525</v>
      </c>
      <c r="R642" s="28">
        <f t="shared" si="93"/>
        <v>23719.500000000004</v>
      </c>
      <c r="S642" s="27"/>
      <c r="T642" s="29"/>
      <c r="V642" s="29" t="s">
        <v>24</v>
      </c>
      <c r="W642" s="27">
        <v>145</v>
      </c>
      <c r="X642" s="30">
        <f t="shared" si="95"/>
        <v>6551.1000000000013</v>
      </c>
      <c r="Y642" s="31">
        <v>260</v>
      </c>
      <c r="Z642" s="31">
        <f t="shared" si="96"/>
        <v>11746.800000000001</v>
      </c>
      <c r="AA642" s="29">
        <f t="shared" si="97"/>
        <v>42017.400000000009</v>
      </c>
    </row>
    <row r="643" spans="1:27" s="32" customFormat="1" x14ac:dyDescent="0.25">
      <c r="A643" s="18">
        <v>647</v>
      </c>
      <c r="B643" s="19">
        <v>46039</v>
      </c>
      <c r="C643" s="19">
        <v>46039</v>
      </c>
      <c r="D643" s="20">
        <v>260117011</v>
      </c>
      <c r="E643" s="21" t="s">
        <v>1241</v>
      </c>
      <c r="F643" s="21" t="s">
        <v>1242</v>
      </c>
      <c r="G643" s="21">
        <v>36</v>
      </c>
      <c r="H643" s="48">
        <v>42</v>
      </c>
      <c r="I643" s="23" t="s">
        <v>44</v>
      </c>
      <c r="J643" s="49" t="s">
        <v>23</v>
      </c>
      <c r="K643" s="23" t="s">
        <v>31</v>
      </c>
      <c r="L643" s="82" t="s">
        <v>124</v>
      </c>
      <c r="M643" s="21" t="s">
        <v>34</v>
      </c>
      <c r="N643" s="37">
        <v>49.18</v>
      </c>
      <c r="O643" s="37">
        <v>12.72</v>
      </c>
      <c r="P643" s="26">
        <f t="shared" si="94"/>
        <v>36.46</v>
      </c>
      <c r="Q643" s="27">
        <v>525</v>
      </c>
      <c r="R643" s="28">
        <f t="shared" si="93"/>
        <v>19141.5</v>
      </c>
      <c r="S643" s="27"/>
      <c r="T643" s="29"/>
      <c r="V643" s="29" t="s">
        <v>24</v>
      </c>
      <c r="W643" s="27">
        <v>145</v>
      </c>
      <c r="X643" s="30">
        <f t="shared" si="95"/>
        <v>5286.7</v>
      </c>
      <c r="Y643" s="31">
        <v>260</v>
      </c>
      <c r="Z643" s="31">
        <f t="shared" si="96"/>
        <v>9479.6</v>
      </c>
      <c r="AA643" s="29">
        <f t="shared" si="97"/>
        <v>33907.800000000003</v>
      </c>
    </row>
    <row r="644" spans="1:27" s="38" customFormat="1" x14ac:dyDescent="0.25">
      <c r="A644" s="18">
        <v>648</v>
      </c>
      <c r="B644" s="19">
        <v>46039</v>
      </c>
      <c r="C644" s="19">
        <v>46039</v>
      </c>
      <c r="D644" s="20">
        <v>260117012</v>
      </c>
      <c r="E644" s="21" t="s">
        <v>1243</v>
      </c>
      <c r="F644" s="21" t="s">
        <v>1244</v>
      </c>
      <c r="G644" s="21">
        <v>43</v>
      </c>
      <c r="H644" s="48">
        <v>42</v>
      </c>
      <c r="I644" s="23" t="s">
        <v>44</v>
      </c>
      <c r="J644" s="49" t="s">
        <v>23</v>
      </c>
      <c r="K644" s="23" t="s">
        <v>31</v>
      </c>
      <c r="L644" s="25" t="s">
        <v>146</v>
      </c>
      <c r="M644" s="21" t="s">
        <v>34</v>
      </c>
      <c r="N644" s="37">
        <v>55.54</v>
      </c>
      <c r="O644" s="37">
        <v>11.94</v>
      </c>
      <c r="P644" s="26">
        <f t="shared" si="94"/>
        <v>43.6</v>
      </c>
      <c r="Q644" s="27">
        <v>525</v>
      </c>
      <c r="R644" s="28">
        <f t="shared" si="93"/>
        <v>22890</v>
      </c>
      <c r="S644" s="27"/>
      <c r="T644" s="29"/>
      <c r="V644" s="29" t="s">
        <v>24</v>
      </c>
      <c r="W644" s="27">
        <v>145</v>
      </c>
      <c r="X644" s="30">
        <f t="shared" si="95"/>
        <v>6322</v>
      </c>
      <c r="Y644" s="31">
        <v>260</v>
      </c>
      <c r="Z644" s="31">
        <f t="shared" si="96"/>
        <v>11336</v>
      </c>
      <c r="AA644" s="29">
        <f t="shared" si="97"/>
        <v>40548</v>
      </c>
    </row>
    <row r="645" spans="1:27" s="38" customFormat="1" x14ac:dyDescent="0.25">
      <c r="A645" s="18">
        <v>649</v>
      </c>
      <c r="B645" s="19">
        <v>46039</v>
      </c>
      <c r="C645" s="19">
        <v>46039</v>
      </c>
      <c r="D645" s="20">
        <v>260117013</v>
      </c>
      <c r="E645" s="21" t="s">
        <v>1245</v>
      </c>
      <c r="F645" s="21" t="s">
        <v>1246</v>
      </c>
      <c r="G645" s="21">
        <v>48</v>
      </c>
      <c r="H645" s="48">
        <v>42</v>
      </c>
      <c r="I645" s="23" t="s">
        <v>44</v>
      </c>
      <c r="J645" s="49" t="s">
        <v>23</v>
      </c>
      <c r="K645" s="23" t="s">
        <v>31</v>
      </c>
      <c r="L645" s="25" t="s">
        <v>68</v>
      </c>
      <c r="M645" s="21" t="s">
        <v>35</v>
      </c>
      <c r="N645" s="37">
        <v>64.540000000000006</v>
      </c>
      <c r="O645" s="37">
        <v>15.64</v>
      </c>
      <c r="P645" s="26">
        <f t="shared" si="94"/>
        <v>48.900000000000006</v>
      </c>
      <c r="Q645" s="27">
        <v>470</v>
      </c>
      <c r="R645" s="28">
        <f t="shared" si="93"/>
        <v>22983.000000000004</v>
      </c>
      <c r="S645" s="27"/>
      <c r="T645" s="29"/>
      <c r="V645" s="29" t="s">
        <v>24</v>
      </c>
      <c r="W645" s="27">
        <v>145</v>
      </c>
      <c r="X645" s="30">
        <f t="shared" si="95"/>
        <v>7090.5000000000009</v>
      </c>
      <c r="Y645" s="31">
        <v>260</v>
      </c>
      <c r="Z645" s="31">
        <f t="shared" si="96"/>
        <v>12714.000000000002</v>
      </c>
      <c r="AA645" s="29">
        <f t="shared" si="97"/>
        <v>42787.500000000007</v>
      </c>
    </row>
    <row r="646" spans="1:27" s="32" customFormat="1" x14ac:dyDescent="0.25">
      <c r="A646" s="18">
        <v>650</v>
      </c>
      <c r="B646" s="19">
        <v>46039</v>
      </c>
      <c r="C646" s="19">
        <v>46039</v>
      </c>
      <c r="D646" s="20">
        <v>260117014</v>
      </c>
      <c r="E646" s="21" t="s">
        <v>1247</v>
      </c>
      <c r="F646" s="21" t="s">
        <v>1248</v>
      </c>
      <c r="G646" s="21">
        <v>47</v>
      </c>
      <c r="H646" s="36">
        <v>131</v>
      </c>
      <c r="I646" s="23" t="s">
        <v>64</v>
      </c>
      <c r="J646" s="24" t="s">
        <v>23</v>
      </c>
      <c r="K646" s="23" t="s">
        <v>31</v>
      </c>
      <c r="L646" s="25" t="s">
        <v>46</v>
      </c>
      <c r="M646" s="21" t="s">
        <v>34</v>
      </c>
      <c r="N646" s="37">
        <v>61.98</v>
      </c>
      <c r="O646" s="37">
        <v>14.86</v>
      </c>
      <c r="P646" s="26">
        <f t="shared" si="94"/>
        <v>47.12</v>
      </c>
      <c r="Q646" s="27">
        <v>535</v>
      </c>
      <c r="R646" s="28">
        <f t="shared" si="93"/>
        <v>25209.199999999997</v>
      </c>
      <c r="S646" s="27"/>
      <c r="T646" s="29"/>
      <c r="V646" s="29" t="s">
        <v>24</v>
      </c>
      <c r="W646" s="27">
        <v>145</v>
      </c>
      <c r="X646" s="30">
        <f t="shared" si="95"/>
        <v>6832.4</v>
      </c>
      <c r="Y646" s="31">
        <v>200</v>
      </c>
      <c r="Z646" s="31">
        <f t="shared" si="96"/>
        <v>9424</v>
      </c>
      <c r="AA646" s="29">
        <f t="shared" si="97"/>
        <v>41465.599999999999</v>
      </c>
    </row>
    <row r="647" spans="1:27" s="32" customFormat="1" x14ac:dyDescent="0.25">
      <c r="A647" s="18">
        <v>651</v>
      </c>
      <c r="B647" s="19">
        <v>46039</v>
      </c>
      <c r="C647" s="19">
        <v>46039</v>
      </c>
      <c r="D647" s="20">
        <v>260117015</v>
      </c>
      <c r="E647" s="21" t="s">
        <v>1249</v>
      </c>
      <c r="F647" s="21" t="s">
        <v>1250</v>
      </c>
      <c r="G647" s="21">
        <v>44</v>
      </c>
      <c r="H647" s="36">
        <v>131</v>
      </c>
      <c r="I647" s="23" t="s">
        <v>64</v>
      </c>
      <c r="J647" s="24" t="s">
        <v>23</v>
      </c>
      <c r="K647" s="23" t="s">
        <v>31</v>
      </c>
      <c r="L647" s="25" t="s">
        <v>62</v>
      </c>
      <c r="M647" s="21" t="s">
        <v>34</v>
      </c>
      <c r="N647" s="37">
        <v>59.88</v>
      </c>
      <c r="O647" s="37">
        <v>15.32</v>
      </c>
      <c r="P647" s="26">
        <f t="shared" si="94"/>
        <v>44.56</v>
      </c>
      <c r="Q647" s="27">
        <v>535</v>
      </c>
      <c r="R647" s="28">
        <f t="shared" si="93"/>
        <v>23839.600000000002</v>
      </c>
      <c r="S647" s="27"/>
      <c r="T647" s="29"/>
      <c r="V647" s="29" t="s">
        <v>24</v>
      </c>
      <c r="W647" s="27">
        <v>145</v>
      </c>
      <c r="X647" s="30">
        <f t="shared" si="95"/>
        <v>6461.2000000000007</v>
      </c>
      <c r="Y647" s="31">
        <v>200</v>
      </c>
      <c r="Z647" s="31">
        <f t="shared" si="96"/>
        <v>8912</v>
      </c>
      <c r="AA647" s="29">
        <f t="shared" si="97"/>
        <v>39212.800000000003</v>
      </c>
    </row>
    <row r="648" spans="1:27" s="32" customFormat="1" x14ac:dyDescent="0.25">
      <c r="A648" s="18">
        <v>652</v>
      </c>
      <c r="B648" s="19">
        <v>46039</v>
      </c>
      <c r="C648" s="19">
        <v>46039</v>
      </c>
      <c r="D648" s="20">
        <v>260117016</v>
      </c>
      <c r="E648" s="21" t="s">
        <v>1251</v>
      </c>
      <c r="F648" s="21" t="s">
        <v>1252</v>
      </c>
      <c r="G648" s="21">
        <v>45</v>
      </c>
      <c r="H648" s="36">
        <v>131</v>
      </c>
      <c r="I648" s="23" t="s">
        <v>64</v>
      </c>
      <c r="J648" s="24" t="s">
        <v>23</v>
      </c>
      <c r="K648" s="23" t="s">
        <v>31</v>
      </c>
      <c r="L648" s="25" t="s">
        <v>41</v>
      </c>
      <c r="M648" s="21" t="s">
        <v>34</v>
      </c>
      <c r="N648" s="37">
        <v>61.24</v>
      </c>
      <c r="O648" s="37">
        <v>15.82</v>
      </c>
      <c r="P648" s="26">
        <f t="shared" si="94"/>
        <v>45.42</v>
      </c>
      <c r="Q648" s="27">
        <v>535</v>
      </c>
      <c r="R648" s="28">
        <f t="shared" si="93"/>
        <v>24299.7</v>
      </c>
      <c r="S648" s="27"/>
      <c r="T648" s="29"/>
      <c r="V648" s="29" t="s">
        <v>24</v>
      </c>
      <c r="W648" s="27">
        <v>145</v>
      </c>
      <c r="X648" s="30">
        <f t="shared" si="95"/>
        <v>6585.9000000000005</v>
      </c>
      <c r="Y648" s="31">
        <v>200</v>
      </c>
      <c r="Z648" s="31">
        <f t="shared" si="96"/>
        <v>9084</v>
      </c>
      <c r="AA648" s="29">
        <f t="shared" si="97"/>
        <v>39969.600000000006</v>
      </c>
    </row>
    <row r="649" spans="1:27" s="38" customFormat="1" x14ac:dyDescent="0.25">
      <c r="A649" s="18">
        <v>653</v>
      </c>
      <c r="B649" s="19">
        <v>46039</v>
      </c>
      <c r="C649" s="19">
        <v>46039</v>
      </c>
      <c r="D649" s="20">
        <v>260117017</v>
      </c>
      <c r="E649" s="21" t="s">
        <v>1253</v>
      </c>
      <c r="F649" s="21" t="s">
        <v>1254</v>
      </c>
      <c r="G649" s="21">
        <v>45</v>
      </c>
      <c r="H649" s="36">
        <v>131</v>
      </c>
      <c r="I649" s="23" t="s">
        <v>64</v>
      </c>
      <c r="J649" s="24" t="s">
        <v>23</v>
      </c>
      <c r="K649" s="23" t="s">
        <v>31</v>
      </c>
      <c r="L649" s="25" t="s">
        <v>38</v>
      </c>
      <c r="M649" s="21" t="s">
        <v>32</v>
      </c>
      <c r="N649" s="37">
        <v>60.84</v>
      </c>
      <c r="O649" s="37">
        <v>14.96</v>
      </c>
      <c r="P649" s="26">
        <f t="shared" si="94"/>
        <v>45.88</v>
      </c>
      <c r="Q649" s="27">
        <v>285</v>
      </c>
      <c r="R649" s="28">
        <f t="shared" si="93"/>
        <v>13075.800000000001</v>
      </c>
      <c r="S649" s="27"/>
      <c r="T649" s="29"/>
      <c r="V649" s="29" t="s">
        <v>24</v>
      </c>
      <c r="W649" s="27">
        <v>145</v>
      </c>
      <c r="X649" s="30">
        <f t="shared" si="95"/>
        <v>6652.6</v>
      </c>
      <c r="Y649" s="31">
        <v>200</v>
      </c>
      <c r="Z649" s="31">
        <f t="shared" si="96"/>
        <v>9176</v>
      </c>
      <c r="AA649" s="29">
        <f t="shared" si="97"/>
        <v>28904.400000000001</v>
      </c>
    </row>
    <row r="650" spans="1:27" s="38" customFormat="1" x14ac:dyDescent="0.25">
      <c r="A650" s="18">
        <v>654</v>
      </c>
      <c r="B650" s="19">
        <v>46039</v>
      </c>
      <c r="C650" s="19">
        <v>46039</v>
      </c>
      <c r="D650" s="20">
        <v>260117018</v>
      </c>
      <c r="E650" s="21" t="s">
        <v>1255</v>
      </c>
      <c r="F650" s="21" t="s">
        <v>1256</v>
      </c>
      <c r="G650" s="21">
        <v>45</v>
      </c>
      <c r="H650" s="36">
        <v>119</v>
      </c>
      <c r="I650" s="23" t="s">
        <v>1257</v>
      </c>
      <c r="J650" s="24" t="s">
        <v>23</v>
      </c>
      <c r="K650" s="23" t="s">
        <v>31</v>
      </c>
      <c r="L650" s="20" t="s">
        <v>664</v>
      </c>
      <c r="M650" s="21" t="s">
        <v>767</v>
      </c>
      <c r="N650" s="37">
        <v>60.28</v>
      </c>
      <c r="O650" s="37">
        <v>14.34</v>
      </c>
      <c r="P650" s="26">
        <f t="shared" si="94"/>
        <v>45.94</v>
      </c>
      <c r="Q650" s="27">
        <v>430</v>
      </c>
      <c r="R650" s="28">
        <f t="shared" si="93"/>
        <v>19754.2</v>
      </c>
      <c r="S650" s="27"/>
      <c r="T650" s="29"/>
      <c r="V650" s="29" t="s">
        <v>24</v>
      </c>
      <c r="W650" s="27">
        <v>145</v>
      </c>
      <c r="X650" s="30">
        <f t="shared" si="95"/>
        <v>6661.2999999999993</v>
      </c>
      <c r="Y650" s="31">
        <v>150</v>
      </c>
      <c r="Z650" s="31">
        <f t="shared" si="96"/>
        <v>6891</v>
      </c>
      <c r="AA650" s="29">
        <f t="shared" si="97"/>
        <v>33306.5</v>
      </c>
    </row>
    <row r="651" spans="1:27" s="32" customFormat="1" x14ac:dyDescent="0.25">
      <c r="A651" s="18">
        <v>655</v>
      </c>
      <c r="B651" s="19">
        <v>46039</v>
      </c>
      <c r="C651" s="19">
        <v>46039</v>
      </c>
      <c r="D651" s="20">
        <v>260117019</v>
      </c>
      <c r="E651" s="21" t="s">
        <v>1255</v>
      </c>
      <c r="F651" s="21" t="s">
        <v>1258</v>
      </c>
      <c r="G651" s="21">
        <v>46</v>
      </c>
      <c r="H651" s="36">
        <v>119</v>
      </c>
      <c r="I651" s="23" t="s">
        <v>1257</v>
      </c>
      <c r="J651" s="24" t="s">
        <v>23</v>
      </c>
      <c r="K651" s="23" t="s">
        <v>31</v>
      </c>
      <c r="L651" s="20" t="s">
        <v>704</v>
      </c>
      <c r="M651" s="21" t="s">
        <v>767</v>
      </c>
      <c r="N651" s="37">
        <v>61.78</v>
      </c>
      <c r="O651" s="37">
        <v>15.44</v>
      </c>
      <c r="P651" s="26">
        <f t="shared" si="94"/>
        <v>46.34</v>
      </c>
      <c r="Q651" s="27">
        <v>430</v>
      </c>
      <c r="R651" s="28">
        <f t="shared" si="93"/>
        <v>19926.2</v>
      </c>
      <c r="S651" s="27"/>
      <c r="T651" s="29"/>
      <c r="V651" s="29" t="s">
        <v>24</v>
      </c>
      <c r="W651" s="27">
        <v>145</v>
      </c>
      <c r="X651" s="30">
        <f t="shared" si="95"/>
        <v>6719.3</v>
      </c>
      <c r="Y651" s="31">
        <v>150</v>
      </c>
      <c r="Z651" s="31">
        <f t="shared" si="96"/>
        <v>6951.0000000000009</v>
      </c>
      <c r="AA651" s="29">
        <f t="shared" si="97"/>
        <v>33596.5</v>
      </c>
    </row>
    <row r="652" spans="1:27" s="32" customFormat="1" x14ac:dyDescent="0.25">
      <c r="A652" s="18">
        <v>656</v>
      </c>
      <c r="B652" s="19">
        <v>46039</v>
      </c>
      <c r="C652" s="19">
        <v>46039</v>
      </c>
      <c r="D652" s="20">
        <v>260117020</v>
      </c>
      <c r="E652" s="21" t="s">
        <v>1259</v>
      </c>
      <c r="F652" s="21" t="s">
        <v>1260</v>
      </c>
      <c r="G652" s="21">
        <v>40</v>
      </c>
      <c r="H652" s="36">
        <v>119</v>
      </c>
      <c r="I652" s="23" t="s">
        <v>1257</v>
      </c>
      <c r="J652" s="24" t="s">
        <v>23</v>
      </c>
      <c r="K652" s="23" t="s">
        <v>31</v>
      </c>
      <c r="L652" s="50" t="s">
        <v>53</v>
      </c>
      <c r="M652" s="21" t="s">
        <v>767</v>
      </c>
      <c r="N652" s="37">
        <v>51.6</v>
      </c>
      <c r="O652" s="37">
        <v>11.34</v>
      </c>
      <c r="P652" s="26">
        <f t="shared" si="94"/>
        <v>40.260000000000005</v>
      </c>
      <c r="Q652" s="27">
        <v>430</v>
      </c>
      <c r="R652" s="28">
        <f t="shared" si="93"/>
        <v>17311.800000000003</v>
      </c>
      <c r="S652" s="27"/>
      <c r="T652" s="29"/>
      <c r="V652" s="29" t="s">
        <v>24</v>
      </c>
      <c r="W652" s="27">
        <v>145</v>
      </c>
      <c r="X652" s="30">
        <f t="shared" si="95"/>
        <v>5837.7000000000007</v>
      </c>
      <c r="Y652" s="31">
        <v>150</v>
      </c>
      <c r="Z652" s="31">
        <f t="shared" si="96"/>
        <v>6039.0000000000009</v>
      </c>
      <c r="AA652" s="29">
        <f t="shared" si="97"/>
        <v>29188.500000000004</v>
      </c>
    </row>
    <row r="653" spans="1:27" s="32" customFormat="1" x14ac:dyDescent="0.25">
      <c r="A653" s="18">
        <v>657</v>
      </c>
      <c r="B653" s="19">
        <v>46039</v>
      </c>
      <c r="C653" s="19">
        <v>46039</v>
      </c>
      <c r="D653" s="20">
        <v>260117021</v>
      </c>
      <c r="E653" s="21" t="s">
        <v>1261</v>
      </c>
      <c r="F653" s="21" t="s">
        <v>1262</v>
      </c>
      <c r="G653" s="21">
        <v>45</v>
      </c>
      <c r="H653" s="36">
        <v>131</v>
      </c>
      <c r="I653" s="23" t="s">
        <v>64</v>
      </c>
      <c r="J653" s="24" t="s">
        <v>23</v>
      </c>
      <c r="K653" s="23" t="s">
        <v>31</v>
      </c>
      <c r="L653" s="25" t="s">
        <v>37</v>
      </c>
      <c r="M653" s="21" t="s">
        <v>34</v>
      </c>
      <c r="N653" s="37">
        <v>60.98</v>
      </c>
      <c r="O653" s="37">
        <v>15.68</v>
      </c>
      <c r="P653" s="26">
        <f t="shared" si="94"/>
        <v>45.3</v>
      </c>
      <c r="Q653" s="27">
        <v>535</v>
      </c>
      <c r="R653" s="28">
        <f t="shared" si="93"/>
        <v>24235.5</v>
      </c>
      <c r="S653" s="27"/>
      <c r="T653" s="29"/>
      <c r="V653" s="29" t="s">
        <v>24</v>
      </c>
      <c r="W653" s="27">
        <v>145</v>
      </c>
      <c r="X653" s="30">
        <f t="shared" si="95"/>
        <v>6568.5</v>
      </c>
      <c r="Y653" s="31">
        <v>200</v>
      </c>
      <c r="Z653" s="31">
        <f t="shared" si="96"/>
        <v>9060</v>
      </c>
      <c r="AA653" s="29">
        <f t="shared" si="97"/>
        <v>39864</v>
      </c>
    </row>
    <row r="654" spans="1:27" s="32" customFormat="1" x14ac:dyDescent="0.25">
      <c r="A654" s="18">
        <v>658</v>
      </c>
      <c r="B654" s="19">
        <v>46039</v>
      </c>
      <c r="C654" s="19">
        <v>46039</v>
      </c>
      <c r="D654" s="20">
        <v>260117023</v>
      </c>
      <c r="E654" s="21" t="s">
        <v>1263</v>
      </c>
      <c r="F654" s="21" t="s">
        <v>1264</v>
      </c>
      <c r="G654" s="21">
        <v>35</v>
      </c>
      <c r="H654" s="36">
        <v>119</v>
      </c>
      <c r="I654" s="23" t="s">
        <v>1257</v>
      </c>
      <c r="J654" s="24" t="s">
        <v>23</v>
      </c>
      <c r="K654" s="23" t="s">
        <v>31</v>
      </c>
      <c r="L654" s="50" t="s">
        <v>547</v>
      </c>
      <c r="M654" s="21" t="s">
        <v>767</v>
      </c>
      <c r="N654" s="37">
        <v>47.22</v>
      </c>
      <c r="O654" s="37">
        <v>11.38</v>
      </c>
      <c r="P654" s="26">
        <f t="shared" si="94"/>
        <v>35.839999999999996</v>
      </c>
      <c r="Q654" s="27">
        <v>430</v>
      </c>
      <c r="R654" s="28">
        <f t="shared" si="93"/>
        <v>15411.199999999999</v>
      </c>
      <c r="S654" s="27"/>
      <c r="T654" s="29"/>
      <c r="V654" s="29" t="s">
        <v>24</v>
      </c>
      <c r="W654" s="27">
        <v>145</v>
      </c>
      <c r="X654" s="30">
        <f t="shared" si="95"/>
        <v>5196.7999999999993</v>
      </c>
      <c r="Y654" s="31">
        <v>150</v>
      </c>
      <c r="Z654" s="31">
        <f t="shared" si="96"/>
        <v>5375.9999999999991</v>
      </c>
      <c r="AA654" s="29">
        <f t="shared" si="97"/>
        <v>25984</v>
      </c>
    </row>
    <row r="655" spans="1:27" s="38" customFormat="1" x14ac:dyDescent="0.25">
      <c r="A655" s="18">
        <v>659</v>
      </c>
      <c r="B655" s="19">
        <v>46039</v>
      </c>
      <c r="C655" s="19">
        <v>46039</v>
      </c>
      <c r="D655" s="20">
        <v>260117024</v>
      </c>
      <c r="E655" s="21" t="s">
        <v>1265</v>
      </c>
      <c r="F655" s="21" t="s">
        <v>1266</v>
      </c>
      <c r="G655" s="21">
        <v>42</v>
      </c>
      <c r="H655" s="36">
        <v>119</v>
      </c>
      <c r="I655" s="23" t="s">
        <v>1257</v>
      </c>
      <c r="J655" s="24" t="s">
        <v>23</v>
      </c>
      <c r="K655" s="23" t="s">
        <v>31</v>
      </c>
      <c r="L655" s="50" t="s">
        <v>54</v>
      </c>
      <c r="M655" s="21" t="s">
        <v>767</v>
      </c>
      <c r="N655" s="37">
        <v>58</v>
      </c>
      <c r="O655" s="37">
        <v>15.62</v>
      </c>
      <c r="P655" s="26">
        <f t="shared" si="94"/>
        <v>42.38</v>
      </c>
      <c r="Q655" s="27">
        <v>430</v>
      </c>
      <c r="R655" s="28">
        <f t="shared" si="93"/>
        <v>18223.400000000001</v>
      </c>
      <c r="S655" s="21"/>
      <c r="T655" s="29"/>
      <c r="V655" s="29" t="s">
        <v>24</v>
      </c>
      <c r="W655" s="27">
        <v>145</v>
      </c>
      <c r="X655" s="30">
        <f t="shared" si="95"/>
        <v>6145.1</v>
      </c>
      <c r="Y655" s="31">
        <v>150</v>
      </c>
      <c r="Z655" s="31">
        <f t="shared" si="96"/>
        <v>6357</v>
      </c>
      <c r="AA655" s="29">
        <f t="shared" si="97"/>
        <v>30725.5</v>
      </c>
    </row>
    <row r="656" spans="1:27" s="32" customFormat="1" x14ac:dyDescent="0.25">
      <c r="A656" s="18">
        <v>660</v>
      </c>
      <c r="B656" s="19">
        <v>46039</v>
      </c>
      <c r="C656" s="19">
        <v>46039</v>
      </c>
      <c r="D656" s="63">
        <v>260117022</v>
      </c>
      <c r="E656" s="21" t="s">
        <v>1267</v>
      </c>
      <c r="F656" s="21" t="s">
        <v>1268</v>
      </c>
      <c r="G656" s="21">
        <v>30</v>
      </c>
      <c r="H656" s="36">
        <v>131</v>
      </c>
      <c r="I656" s="23" t="s">
        <v>64</v>
      </c>
      <c r="J656" s="24" t="s">
        <v>23</v>
      </c>
      <c r="K656" s="23" t="s">
        <v>31</v>
      </c>
      <c r="L656" s="20" t="s">
        <v>55</v>
      </c>
      <c r="M656" s="21" t="s">
        <v>32</v>
      </c>
      <c r="N656" s="37">
        <v>67.459999999999994</v>
      </c>
      <c r="O656" s="37">
        <v>18.16</v>
      </c>
      <c r="P656" s="26">
        <f t="shared" si="94"/>
        <v>49.3</v>
      </c>
      <c r="Q656" s="27">
        <v>285</v>
      </c>
      <c r="R656" s="28">
        <f t="shared" si="93"/>
        <v>14050.5</v>
      </c>
      <c r="S656" s="27"/>
      <c r="T656" s="29"/>
      <c r="V656" s="29" t="s">
        <v>24</v>
      </c>
      <c r="W656" s="27">
        <v>145</v>
      </c>
      <c r="X656" s="30">
        <f t="shared" si="95"/>
        <v>7148.5</v>
      </c>
      <c r="Y656" s="31">
        <v>200</v>
      </c>
      <c r="Z656" s="31">
        <f t="shared" si="96"/>
        <v>9860</v>
      </c>
      <c r="AA656" s="29">
        <f t="shared" si="97"/>
        <v>31059</v>
      </c>
    </row>
    <row r="657" spans="1:27" s="32" customFormat="1" x14ac:dyDescent="0.25">
      <c r="A657" s="18">
        <v>661</v>
      </c>
      <c r="B657" s="19">
        <v>46039</v>
      </c>
      <c r="C657" s="19">
        <v>46039</v>
      </c>
      <c r="D657" s="20">
        <v>260117025</v>
      </c>
      <c r="E657" s="21" t="s">
        <v>1269</v>
      </c>
      <c r="F657" s="21" t="s">
        <v>1270</v>
      </c>
      <c r="G657" s="21">
        <v>35</v>
      </c>
      <c r="H657" s="36">
        <v>119</v>
      </c>
      <c r="I657" s="23" t="s">
        <v>1257</v>
      </c>
      <c r="J657" s="24" t="s">
        <v>23</v>
      </c>
      <c r="K657" s="23" t="s">
        <v>31</v>
      </c>
      <c r="L657" s="50" t="s">
        <v>1271</v>
      </c>
      <c r="M657" s="21" t="s">
        <v>767</v>
      </c>
      <c r="N657" s="37">
        <v>46.84</v>
      </c>
      <c r="O657" s="37">
        <v>11.54</v>
      </c>
      <c r="P657" s="26">
        <f t="shared" si="94"/>
        <v>35.300000000000004</v>
      </c>
      <c r="Q657" s="27">
        <v>430</v>
      </c>
      <c r="R657" s="28">
        <f t="shared" si="93"/>
        <v>15179.000000000002</v>
      </c>
      <c r="S657" s="27"/>
      <c r="T657" s="29"/>
      <c r="V657" s="29" t="s">
        <v>24</v>
      </c>
      <c r="W657" s="27">
        <v>145</v>
      </c>
      <c r="X657" s="30">
        <f t="shared" si="95"/>
        <v>5118.5000000000009</v>
      </c>
      <c r="Y657" s="31">
        <v>150</v>
      </c>
      <c r="Z657" s="31">
        <f t="shared" si="96"/>
        <v>5295.0000000000009</v>
      </c>
      <c r="AA657" s="29">
        <f t="shared" si="97"/>
        <v>25592.500000000004</v>
      </c>
    </row>
    <row r="658" spans="1:27" s="38" customFormat="1" x14ac:dyDescent="0.25">
      <c r="A658" s="18">
        <v>662</v>
      </c>
      <c r="B658" s="19">
        <v>46039</v>
      </c>
      <c r="C658" s="19">
        <v>46039</v>
      </c>
      <c r="D658" s="20">
        <v>260117026</v>
      </c>
      <c r="E658" s="21" t="s">
        <v>1272</v>
      </c>
      <c r="F658" s="21" t="s">
        <v>1273</v>
      </c>
      <c r="G658" s="21">
        <v>30</v>
      </c>
      <c r="H658" s="44">
        <v>115</v>
      </c>
      <c r="I658" s="23" t="s">
        <v>33</v>
      </c>
      <c r="J658" s="24" t="s">
        <v>23</v>
      </c>
      <c r="K658" s="35" t="s">
        <v>31</v>
      </c>
      <c r="L658" s="25" t="s">
        <v>144</v>
      </c>
      <c r="M658" s="21" t="s">
        <v>34</v>
      </c>
      <c r="N658" s="37">
        <v>67.92</v>
      </c>
      <c r="O658" s="37">
        <v>17.940000000000001</v>
      </c>
      <c r="P658" s="26">
        <f t="shared" si="94"/>
        <v>49.980000000000004</v>
      </c>
      <c r="Q658" s="27">
        <v>545</v>
      </c>
      <c r="R658" s="28">
        <f t="shared" si="93"/>
        <v>27239.100000000002</v>
      </c>
      <c r="S658" s="27"/>
      <c r="T658" s="29"/>
      <c r="V658" s="29" t="s">
        <v>24</v>
      </c>
      <c r="W658" s="27">
        <v>145</v>
      </c>
      <c r="X658" s="30">
        <f t="shared" si="95"/>
        <v>7247.1</v>
      </c>
      <c r="Y658" s="31">
        <v>260</v>
      </c>
      <c r="Z658" s="31">
        <f t="shared" si="96"/>
        <v>12994.800000000001</v>
      </c>
      <c r="AA658" s="29">
        <f t="shared" si="97"/>
        <v>47481.000000000007</v>
      </c>
    </row>
    <row r="659" spans="1:27" s="32" customFormat="1" x14ac:dyDescent="0.25">
      <c r="A659" s="18">
        <v>663</v>
      </c>
      <c r="B659" s="19">
        <v>46039</v>
      </c>
      <c r="C659" s="19">
        <v>46039</v>
      </c>
      <c r="D659" s="20">
        <v>260117027</v>
      </c>
      <c r="E659" s="21" t="s">
        <v>1274</v>
      </c>
      <c r="F659" s="21" t="s">
        <v>1275</v>
      </c>
      <c r="G659" s="21">
        <v>43</v>
      </c>
      <c r="H659" s="36">
        <v>119</v>
      </c>
      <c r="I659" s="23" t="s">
        <v>1257</v>
      </c>
      <c r="J659" s="24" t="s">
        <v>23</v>
      </c>
      <c r="K659" s="23" t="s">
        <v>31</v>
      </c>
      <c r="L659" s="25" t="s">
        <v>285</v>
      </c>
      <c r="M659" s="21" t="s">
        <v>767</v>
      </c>
      <c r="N659" s="37">
        <v>59.72</v>
      </c>
      <c r="O659" s="37">
        <v>15.76</v>
      </c>
      <c r="P659" s="26">
        <f t="shared" si="94"/>
        <v>43.96</v>
      </c>
      <c r="Q659" s="27">
        <v>430</v>
      </c>
      <c r="R659" s="28">
        <f t="shared" si="93"/>
        <v>18902.8</v>
      </c>
      <c r="S659" s="27"/>
      <c r="T659" s="29"/>
      <c r="V659" s="29" t="s">
        <v>24</v>
      </c>
      <c r="W659" s="27">
        <v>145</v>
      </c>
      <c r="X659" s="30">
        <f t="shared" si="95"/>
        <v>6374.2</v>
      </c>
      <c r="Y659" s="31">
        <v>150</v>
      </c>
      <c r="Z659" s="31">
        <f t="shared" si="96"/>
        <v>6594</v>
      </c>
      <c r="AA659" s="29">
        <f t="shared" si="97"/>
        <v>31871</v>
      </c>
    </row>
    <row r="660" spans="1:27" s="38" customFormat="1" x14ac:dyDescent="0.25">
      <c r="A660" s="18">
        <v>664</v>
      </c>
      <c r="B660" s="19">
        <v>46039</v>
      </c>
      <c r="C660" s="19">
        <v>46039</v>
      </c>
      <c r="D660" s="20">
        <v>260117028</v>
      </c>
      <c r="E660" s="21" t="s">
        <v>1276</v>
      </c>
      <c r="F660" s="21" t="s">
        <v>1277</v>
      </c>
      <c r="G660" s="21">
        <v>30</v>
      </c>
      <c r="H660" s="36">
        <v>131</v>
      </c>
      <c r="I660" s="23" t="s">
        <v>64</v>
      </c>
      <c r="J660" s="24" t="s">
        <v>23</v>
      </c>
      <c r="K660" s="23" t="s">
        <v>31</v>
      </c>
      <c r="L660" s="20" t="s">
        <v>68</v>
      </c>
      <c r="M660" s="21" t="s">
        <v>34</v>
      </c>
      <c r="N660" s="37">
        <v>61.4</v>
      </c>
      <c r="O660" s="37">
        <v>15.6</v>
      </c>
      <c r="P660" s="26">
        <f t="shared" si="94"/>
        <v>45.8</v>
      </c>
      <c r="Q660" s="27">
        <v>535</v>
      </c>
      <c r="R660" s="28">
        <f t="shared" si="93"/>
        <v>24503</v>
      </c>
      <c r="S660" s="21"/>
      <c r="T660" s="29"/>
      <c r="V660" s="29" t="s">
        <v>24</v>
      </c>
      <c r="W660" s="27">
        <v>145</v>
      </c>
      <c r="X660" s="30">
        <f t="shared" si="95"/>
        <v>6641</v>
      </c>
      <c r="Y660" s="31">
        <v>200</v>
      </c>
      <c r="Z660" s="31">
        <f t="shared" si="96"/>
        <v>9160</v>
      </c>
      <c r="AA660" s="29">
        <f t="shared" si="97"/>
        <v>40304</v>
      </c>
    </row>
    <row r="661" spans="1:27" s="32" customFormat="1" x14ac:dyDescent="0.25">
      <c r="A661" s="18">
        <v>665</v>
      </c>
      <c r="B661" s="19">
        <v>46039</v>
      </c>
      <c r="C661" s="19">
        <v>46039</v>
      </c>
      <c r="D661" s="20">
        <v>260117029</v>
      </c>
      <c r="E661" s="21" t="s">
        <v>1278</v>
      </c>
      <c r="F661" s="21" t="s">
        <v>1279</v>
      </c>
      <c r="G661" s="21">
        <v>30</v>
      </c>
      <c r="H661" s="36">
        <v>131</v>
      </c>
      <c r="I661" s="23" t="s">
        <v>64</v>
      </c>
      <c r="J661" s="24" t="s">
        <v>23</v>
      </c>
      <c r="K661" s="23" t="s">
        <v>31</v>
      </c>
      <c r="L661" s="20" t="s">
        <v>43</v>
      </c>
      <c r="M661" s="21" t="s">
        <v>32</v>
      </c>
      <c r="N661" s="37">
        <v>45.64</v>
      </c>
      <c r="O661" s="37">
        <v>11.22</v>
      </c>
      <c r="P661" s="26">
        <f t="shared" si="94"/>
        <v>34.42</v>
      </c>
      <c r="Q661" s="27">
        <v>285</v>
      </c>
      <c r="R661" s="28">
        <f t="shared" si="93"/>
        <v>9809.7000000000007</v>
      </c>
      <c r="S661" s="27"/>
      <c r="T661" s="29"/>
      <c r="V661" s="29" t="s">
        <v>24</v>
      </c>
      <c r="W661" s="27">
        <v>145</v>
      </c>
      <c r="X661" s="30">
        <f t="shared" si="95"/>
        <v>4990.9000000000005</v>
      </c>
      <c r="Y661" s="31">
        <v>200</v>
      </c>
      <c r="Z661" s="31">
        <f t="shared" si="96"/>
        <v>6884</v>
      </c>
      <c r="AA661" s="29">
        <f t="shared" si="97"/>
        <v>21684.600000000002</v>
      </c>
    </row>
    <row r="662" spans="1:27" s="32" customFormat="1" x14ac:dyDescent="0.25">
      <c r="A662" s="18">
        <v>666</v>
      </c>
      <c r="B662" s="19">
        <v>46039</v>
      </c>
      <c r="C662" s="19">
        <v>46039</v>
      </c>
      <c r="D662" s="20">
        <v>260117030</v>
      </c>
      <c r="E662" s="21" t="s">
        <v>1280</v>
      </c>
      <c r="F662" s="21" t="s">
        <v>1281</v>
      </c>
      <c r="G662" s="21">
        <v>46</v>
      </c>
      <c r="H662" s="36">
        <v>119</v>
      </c>
      <c r="I662" s="23" t="s">
        <v>1257</v>
      </c>
      <c r="J662" s="24" t="s">
        <v>23</v>
      </c>
      <c r="K662" s="23" t="s">
        <v>31</v>
      </c>
      <c r="L662" s="20" t="s">
        <v>704</v>
      </c>
      <c r="M662" s="21" t="s">
        <v>767</v>
      </c>
      <c r="N662" s="37">
        <v>62.2</v>
      </c>
      <c r="O662" s="37">
        <v>15.4</v>
      </c>
      <c r="P662" s="26">
        <f t="shared" si="94"/>
        <v>46.800000000000004</v>
      </c>
      <c r="Q662" s="27">
        <v>430</v>
      </c>
      <c r="R662" s="28">
        <f t="shared" si="93"/>
        <v>20124.000000000004</v>
      </c>
      <c r="S662" s="27"/>
      <c r="T662" s="29"/>
      <c r="V662" s="29" t="s">
        <v>24</v>
      </c>
      <c r="W662" s="27">
        <v>145</v>
      </c>
      <c r="X662" s="30">
        <f t="shared" si="95"/>
        <v>6786.0000000000009</v>
      </c>
      <c r="Y662" s="31">
        <v>150</v>
      </c>
      <c r="Z662" s="31">
        <f t="shared" si="96"/>
        <v>7020.0000000000009</v>
      </c>
      <c r="AA662" s="29">
        <f t="shared" si="97"/>
        <v>33930.000000000007</v>
      </c>
    </row>
    <row r="663" spans="1:27" s="32" customFormat="1" x14ac:dyDescent="0.25">
      <c r="A663" s="18">
        <v>667</v>
      </c>
      <c r="B663" s="19">
        <v>46039</v>
      </c>
      <c r="C663" s="19">
        <v>46039</v>
      </c>
      <c r="D663" s="20">
        <v>260117031</v>
      </c>
      <c r="E663" s="21" t="s">
        <v>1282</v>
      </c>
      <c r="F663" s="21" t="s">
        <v>1283</v>
      </c>
      <c r="G663" s="21">
        <v>30</v>
      </c>
      <c r="H663" s="36">
        <v>131</v>
      </c>
      <c r="I663" s="23" t="s">
        <v>64</v>
      </c>
      <c r="J663" s="24" t="s">
        <v>23</v>
      </c>
      <c r="K663" s="23" t="s">
        <v>31</v>
      </c>
      <c r="L663" s="25" t="s">
        <v>146</v>
      </c>
      <c r="M663" s="21" t="s">
        <v>34</v>
      </c>
      <c r="N663" s="37">
        <v>54.66</v>
      </c>
      <c r="O663" s="37">
        <v>11.94</v>
      </c>
      <c r="P663" s="26">
        <f t="shared" si="94"/>
        <v>42.72</v>
      </c>
      <c r="Q663" s="27">
        <v>535</v>
      </c>
      <c r="R663" s="28">
        <f t="shared" si="93"/>
        <v>22855.200000000001</v>
      </c>
      <c r="S663" s="27"/>
      <c r="T663" s="29"/>
      <c r="V663" s="29" t="s">
        <v>24</v>
      </c>
      <c r="W663" s="27">
        <v>145</v>
      </c>
      <c r="X663" s="30">
        <f t="shared" si="95"/>
        <v>6194.4</v>
      </c>
      <c r="Y663" s="31">
        <v>200</v>
      </c>
      <c r="Z663" s="31">
        <f t="shared" si="96"/>
        <v>8544</v>
      </c>
      <c r="AA663" s="29">
        <f t="shared" si="97"/>
        <v>37593.599999999999</v>
      </c>
    </row>
    <row r="664" spans="1:27" s="32" customFormat="1" x14ac:dyDescent="0.25">
      <c r="A664" s="18">
        <v>668</v>
      </c>
      <c r="B664" s="19">
        <v>46039</v>
      </c>
      <c r="C664" s="19">
        <v>46039</v>
      </c>
      <c r="D664" s="20">
        <v>260117032</v>
      </c>
      <c r="E664" s="21" t="s">
        <v>1284</v>
      </c>
      <c r="F664" s="21" t="s">
        <v>1285</v>
      </c>
      <c r="G664" s="21">
        <v>42</v>
      </c>
      <c r="H664" s="36">
        <v>119</v>
      </c>
      <c r="I664" s="23" t="s">
        <v>1257</v>
      </c>
      <c r="J664" s="24" t="s">
        <v>23</v>
      </c>
      <c r="K664" s="23" t="s">
        <v>31</v>
      </c>
      <c r="L664" s="25" t="s">
        <v>53</v>
      </c>
      <c r="M664" s="21" t="s">
        <v>767</v>
      </c>
      <c r="N664" s="37">
        <v>53.72</v>
      </c>
      <c r="O664" s="37">
        <v>11.38</v>
      </c>
      <c r="P664" s="26">
        <f t="shared" si="94"/>
        <v>42.339999999999996</v>
      </c>
      <c r="Q664" s="27">
        <v>430</v>
      </c>
      <c r="R664" s="28">
        <f t="shared" si="93"/>
        <v>18206.199999999997</v>
      </c>
      <c r="S664" s="27"/>
      <c r="T664" s="29"/>
      <c r="V664" s="29" t="s">
        <v>24</v>
      </c>
      <c r="W664" s="27">
        <v>145</v>
      </c>
      <c r="X664" s="30">
        <f t="shared" ref="X664:X695" si="98">P664*W664</f>
        <v>6139.2999999999993</v>
      </c>
      <c r="Y664" s="31">
        <v>150</v>
      </c>
      <c r="Z664" s="31">
        <f t="shared" ref="Z664:Z695" si="99">P664*Y664</f>
        <v>6350.9999999999991</v>
      </c>
      <c r="AA664" s="29">
        <f t="shared" ref="AA664:AA695" si="100">R664+X664+Z664</f>
        <v>30696.499999999996</v>
      </c>
    </row>
    <row r="665" spans="1:27" s="32" customFormat="1" x14ac:dyDescent="0.25">
      <c r="A665" s="18">
        <v>669</v>
      </c>
      <c r="B665" s="19">
        <v>46039</v>
      </c>
      <c r="C665" s="19">
        <v>46039</v>
      </c>
      <c r="D665" s="20">
        <v>260117033</v>
      </c>
      <c r="E665" s="21" t="s">
        <v>1286</v>
      </c>
      <c r="F665" s="21" t="s">
        <v>1287</v>
      </c>
      <c r="G665" s="21">
        <v>30</v>
      </c>
      <c r="H665" s="36">
        <v>131</v>
      </c>
      <c r="I665" s="23" t="s">
        <v>64</v>
      </c>
      <c r="J665" s="24" t="s">
        <v>23</v>
      </c>
      <c r="K665" s="23" t="s">
        <v>31</v>
      </c>
      <c r="L665" s="21" t="s">
        <v>46</v>
      </c>
      <c r="M665" s="21" t="s">
        <v>34</v>
      </c>
      <c r="N665" s="37">
        <v>61.54</v>
      </c>
      <c r="O665" s="37">
        <v>14.8</v>
      </c>
      <c r="P665" s="26">
        <f t="shared" si="94"/>
        <v>46.739999999999995</v>
      </c>
      <c r="Q665" s="27">
        <v>535</v>
      </c>
      <c r="R665" s="28">
        <f t="shared" si="93"/>
        <v>25005.899999999998</v>
      </c>
      <c r="S665" s="27"/>
      <c r="T665" s="29"/>
      <c r="V665" s="29" t="s">
        <v>24</v>
      </c>
      <c r="W665" s="27">
        <v>145</v>
      </c>
      <c r="X665" s="30">
        <f t="shared" si="98"/>
        <v>6777.2999999999993</v>
      </c>
      <c r="Y665" s="31">
        <v>200</v>
      </c>
      <c r="Z665" s="31">
        <f t="shared" si="99"/>
        <v>9347.9999999999982</v>
      </c>
      <c r="AA665" s="29">
        <f t="shared" si="100"/>
        <v>41131.199999999997</v>
      </c>
    </row>
    <row r="666" spans="1:27" s="38" customFormat="1" x14ac:dyDescent="0.25">
      <c r="A666" s="18">
        <v>670</v>
      </c>
      <c r="B666" s="19">
        <v>46039</v>
      </c>
      <c r="C666" s="19">
        <v>46040</v>
      </c>
      <c r="D666" s="46">
        <v>260118001</v>
      </c>
      <c r="E666" s="21" t="s">
        <v>1288</v>
      </c>
      <c r="F666" s="21" t="s">
        <v>1289</v>
      </c>
      <c r="G666" s="21">
        <v>43</v>
      </c>
      <c r="H666" s="36">
        <v>119</v>
      </c>
      <c r="I666" s="23" t="s">
        <v>1257</v>
      </c>
      <c r="J666" s="24" t="s">
        <v>23</v>
      </c>
      <c r="K666" s="23" t="s">
        <v>31</v>
      </c>
      <c r="L666" s="21" t="s">
        <v>664</v>
      </c>
      <c r="M666" s="21" t="s">
        <v>767</v>
      </c>
      <c r="N666" s="37">
        <v>57.34</v>
      </c>
      <c r="O666" s="37">
        <v>14.18</v>
      </c>
      <c r="P666" s="26">
        <f t="shared" si="94"/>
        <v>43.160000000000004</v>
      </c>
      <c r="Q666" s="27">
        <v>430</v>
      </c>
      <c r="R666" s="28">
        <f t="shared" si="93"/>
        <v>18558.800000000003</v>
      </c>
      <c r="S666" s="27"/>
      <c r="T666" s="29"/>
      <c r="V666" s="29" t="s">
        <v>24</v>
      </c>
      <c r="W666" s="27">
        <v>145</v>
      </c>
      <c r="X666" s="30">
        <f t="shared" si="98"/>
        <v>6258.2000000000007</v>
      </c>
      <c r="Y666" s="31">
        <v>150</v>
      </c>
      <c r="Z666" s="31">
        <f t="shared" si="99"/>
        <v>6474.0000000000009</v>
      </c>
      <c r="AA666" s="29">
        <f t="shared" si="100"/>
        <v>31291.000000000004</v>
      </c>
    </row>
    <row r="667" spans="1:27" s="32" customFormat="1" x14ac:dyDescent="0.25">
      <c r="A667" s="18">
        <v>671</v>
      </c>
      <c r="B667" s="19">
        <v>46039</v>
      </c>
      <c r="C667" s="19">
        <v>46040</v>
      </c>
      <c r="D667" s="46">
        <v>260118002</v>
      </c>
      <c r="E667" s="21" t="s">
        <v>1290</v>
      </c>
      <c r="F667" s="21" t="s">
        <v>1291</v>
      </c>
      <c r="G667" s="21">
        <v>48</v>
      </c>
      <c r="H667" s="36">
        <v>119</v>
      </c>
      <c r="I667" s="23" t="s">
        <v>1257</v>
      </c>
      <c r="J667" s="24" t="s">
        <v>23</v>
      </c>
      <c r="K667" s="23" t="s">
        <v>31</v>
      </c>
      <c r="L667" s="21" t="s">
        <v>704</v>
      </c>
      <c r="M667" s="21" t="s">
        <v>767</v>
      </c>
      <c r="N667" s="37">
        <v>63.4</v>
      </c>
      <c r="O667" s="37">
        <v>15.38</v>
      </c>
      <c r="P667" s="26">
        <f t="shared" si="94"/>
        <v>48.019999999999996</v>
      </c>
      <c r="Q667" s="27">
        <v>430</v>
      </c>
      <c r="R667" s="28">
        <f t="shared" si="93"/>
        <v>20648.599999999999</v>
      </c>
      <c r="S667" s="27"/>
      <c r="T667" s="29"/>
      <c r="V667" s="29" t="s">
        <v>24</v>
      </c>
      <c r="W667" s="27">
        <v>145</v>
      </c>
      <c r="X667" s="30">
        <f t="shared" si="98"/>
        <v>6962.9</v>
      </c>
      <c r="Y667" s="31">
        <v>150</v>
      </c>
      <c r="Z667" s="31">
        <f t="shared" si="99"/>
        <v>7202.9999999999991</v>
      </c>
      <c r="AA667" s="29">
        <f t="shared" si="100"/>
        <v>34814.5</v>
      </c>
    </row>
    <row r="668" spans="1:27" s="32" customFormat="1" x14ac:dyDescent="0.25">
      <c r="A668" s="18">
        <v>672</v>
      </c>
      <c r="B668" s="19">
        <v>46039</v>
      </c>
      <c r="C668" s="19">
        <v>46040</v>
      </c>
      <c r="D668" s="46">
        <v>260118003</v>
      </c>
      <c r="E668" s="21" t="s">
        <v>1292</v>
      </c>
      <c r="F668" s="21" t="s">
        <v>1293</v>
      </c>
      <c r="G668" s="21">
        <v>37</v>
      </c>
      <c r="H668" s="36">
        <v>119</v>
      </c>
      <c r="I668" s="23" t="s">
        <v>1257</v>
      </c>
      <c r="J668" s="24" t="s">
        <v>23</v>
      </c>
      <c r="K668" s="23" t="s">
        <v>31</v>
      </c>
      <c r="L668" s="25" t="s">
        <v>53</v>
      </c>
      <c r="M668" s="21" t="s">
        <v>767</v>
      </c>
      <c r="N668" s="37">
        <v>49.18</v>
      </c>
      <c r="O668" s="37">
        <v>11.38</v>
      </c>
      <c r="P668" s="26">
        <f t="shared" si="94"/>
        <v>37.799999999999997</v>
      </c>
      <c r="Q668" s="27">
        <v>430</v>
      </c>
      <c r="R668" s="28">
        <f t="shared" si="93"/>
        <v>16253.999999999998</v>
      </c>
      <c r="S668" s="27"/>
      <c r="T668" s="29"/>
      <c r="V668" s="29" t="s">
        <v>24</v>
      </c>
      <c r="W668" s="27">
        <v>145</v>
      </c>
      <c r="X668" s="30">
        <f t="shared" si="98"/>
        <v>5481</v>
      </c>
      <c r="Y668" s="31">
        <v>150</v>
      </c>
      <c r="Z668" s="31">
        <f t="shared" si="99"/>
        <v>5670</v>
      </c>
      <c r="AA668" s="29">
        <f t="shared" si="100"/>
        <v>27405</v>
      </c>
    </row>
    <row r="669" spans="1:27" s="32" customFormat="1" x14ac:dyDescent="0.25">
      <c r="A669" s="18">
        <v>673</v>
      </c>
      <c r="B669" s="19">
        <v>46039</v>
      </c>
      <c r="C669" s="19">
        <v>46040</v>
      </c>
      <c r="D669" s="46">
        <v>260118004</v>
      </c>
      <c r="E669" s="21" t="s">
        <v>1294</v>
      </c>
      <c r="F669" s="21" t="s">
        <v>1295</v>
      </c>
      <c r="G669" s="21">
        <v>30</v>
      </c>
      <c r="H669" s="36">
        <v>119</v>
      </c>
      <c r="I669" s="23" t="s">
        <v>1257</v>
      </c>
      <c r="J669" s="24" t="s">
        <v>23</v>
      </c>
      <c r="K669" s="23" t="s">
        <v>31</v>
      </c>
      <c r="L669" s="21" t="s">
        <v>664</v>
      </c>
      <c r="M669" s="21" t="s">
        <v>767</v>
      </c>
      <c r="N669" s="37">
        <v>58.42</v>
      </c>
      <c r="O669" s="37">
        <v>14.16</v>
      </c>
      <c r="P669" s="26">
        <f t="shared" si="94"/>
        <v>44.260000000000005</v>
      </c>
      <c r="Q669" s="27">
        <v>430</v>
      </c>
      <c r="R669" s="28">
        <f t="shared" si="93"/>
        <v>19031.800000000003</v>
      </c>
      <c r="S669" s="27"/>
      <c r="T669" s="29"/>
      <c r="V669" s="29" t="s">
        <v>24</v>
      </c>
      <c r="W669" s="27">
        <v>145</v>
      </c>
      <c r="X669" s="30">
        <f t="shared" si="98"/>
        <v>6417.7000000000007</v>
      </c>
      <c r="Y669" s="31">
        <v>150</v>
      </c>
      <c r="Z669" s="31">
        <f t="shared" si="99"/>
        <v>6639.0000000000009</v>
      </c>
      <c r="AA669" s="29">
        <f t="shared" si="100"/>
        <v>32088.500000000004</v>
      </c>
    </row>
    <row r="670" spans="1:27" s="32" customFormat="1" x14ac:dyDescent="0.25">
      <c r="A670" s="18">
        <v>674</v>
      </c>
      <c r="B670" s="19">
        <v>46039</v>
      </c>
      <c r="C670" s="19">
        <v>46040</v>
      </c>
      <c r="D670" s="20">
        <v>260118009</v>
      </c>
      <c r="E670" s="21" t="s">
        <v>1296</v>
      </c>
      <c r="F670" s="21" t="s">
        <v>1297</v>
      </c>
      <c r="G670" s="21">
        <v>30</v>
      </c>
      <c r="H670" s="36">
        <v>119</v>
      </c>
      <c r="I670" s="23" t="s">
        <v>1257</v>
      </c>
      <c r="J670" s="24" t="s">
        <v>23</v>
      </c>
      <c r="K670" s="23" t="s">
        <v>31</v>
      </c>
      <c r="L670" s="21" t="s">
        <v>37</v>
      </c>
      <c r="M670" s="21" t="s">
        <v>767</v>
      </c>
      <c r="N670" s="37">
        <v>67.680000000000007</v>
      </c>
      <c r="O670" s="37">
        <v>15.7</v>
      </c>
      <c r="P670" s="26">
        <f t="shared" si="94"/>
        <v>51.980000000000004</v>
      </c>
      <c r="Q670" s="27">
        <v>430</v>
      </c>
      <c r="R670" s="28">
        <f t="shared" si="93"/>
        <v>22351.4</v>
      </c>
      <c r="S670" s="27"/>
      <c r="T670" s="29"/>
      <c r="V670" s="29" t="s">
        <v>24</v>
      </c>
      <c r="W670" s="27">
        <v>145</v>
      </c>
      <c r="X670" s="30">
        <f t="shared" si="98"/>
        <v>7537.1</v>
      </c>
      <c r="Y670" s="31">
        <v>150</v>
      </c>
      <c r="Z670" s="31">
        <f t="shared" si="99"/>
        <v>7797.0000000000009</v>
      </c>
      <c r="AA670" s="29">
        <f t="shared" si="100"/>
        <v>37685.5</v>
      </c>
    </row>
    <row r="671" spans="1:27" s="38" customFormat="1" x14ac:dyDescent="0.25">
      <c r="A671" s="18">
        <v>675</v>
      </c>
      <c r="B671" s="19">
        <v>46039</v>
      </c>
      <c r="C671" s="19">
        <v>46040</v>
      </c>
      <c r="D671" s="20">
        <v>260118006</v>
      </c>
      <c r="E671" s="21" t="s">
        <v>1298</v>
      </c>
      <c r="F671" s="21" t="s">
        <v>1299</v>
      </c>
      <c r="G671" s="21">
        <v>30</v>
      </c>
      <c r="H671" s="48">
        <v>53</v>
      </c>
      <c r="I671" s="52" t="s">
        <v>57</v>
      </c>
      <c r="J671" s="49" t="s">
        <v>23</v>
      </c>
      <c r="K671" s="23" t="s">
        <v>31</v>
      </c>
      <c r="L671" s="21" t="s">
        <v>68</v>
      </c>
      <c r="M671" s="21" t="s">
        <v>63</v>
      </c>
      <c r="N671" s="37">
        <v>60.5</v>
      </c>
      <c r="O671" s="37">
        <v>15.6</v>
      </c>
      <c r="P671" s="26">
        <f t="shared" si="94"/>
        <v>44.9</v>
      </c>
      <c r="Q671" s="27">
        <v>425</v>
      </c>
      <c r="R671" s="28">
        <f t="shared" si="93"/>
        <v>19082.5</v>
      </c>
      <c r="S671" s="27"/>
      <c r="T671" s="29"/>
      <c r="V671" s="29" t="s">
        <v>24</v>
      </c>
      <c r="W671" s="27">
        <v>145</v>
      </c>
      <c r="X671" s="30">
        <f t="shared" si="98"/>
        <v>6510.5</v>
      </c>
      <c r="Y671" s="31">
        <v>200</v>
      </c>
      <c r="Z671" s="31">
        <f t="shared" si="99"/>
        <v>8980</v>
      </c>
      <c r="AA671" s="29">
        <f t="shared" si="100"/>
        <v>34573</v>
      </c>
    </row>
    <row r="672" spans="1:27" s="32" customFormat="1" x14ac:dyDescent="0.25">
      <c r="A672" s="18">
        <v>676</v>
      </c>
      <c r="B672" s="19">
        <v>46039</v>
      </c>
      <c r="C672" s="19">
        <v>46040</v>
      </c>
      <c r="D672" s="20">
        <v>260118008</v>
      </c>
      <c r="E672" s="21" t="s">
        <v>1300</v>
      </c>
      <c r="F672" s="21" t="s">
        <v>1301</v>
      </c>
      <c r="G672" s="21">
        <v>30</v>
      </c>
      <c r="H672" s="44">
        <v>115</v>
      </c>
      <c r="I672" s="23" t="s">
        <v>33</v>
      </c>
      <c r="J672" s="24" t="s">
        <v>23</v>
      </c>
      <c r="K672" s="35" t="s">
        <v>31</v>
      </c>
      <c r="L672" s="21" t="s">
        <v>124</v>
      </c>
      <c r="M672" s="21" t="s">
        <v>32</v>
      </c>
      <c r="N672" s="37">
        <v>49.06</v>
      </c>
      <c r="O672" s="21">
        <v>12.74</v>
      </c>
      <c r="P672" s="26">
        <f t="shared" si="94"/>
        <v>36.32</v>
      </c>
      <c r="Q672" s="27">
        <v>315</v>
      </c>
      <c r="R672" s="28">
        <f t="shared" si="93"/>
        <v>11440.8</v>
      </c>
      <c r="S672" s="27"/>
      <c r="V672" s="29" t="s">
        <v>24</v>
      </c>
      <c r="W672" s="27">
        <v>145</v>
      </c>
      <c r="X672" s="30">
        <f t="shared" si="98"/>
        <v>5266.4</v>
      </c>
      <c r="Y672" s="31">
        <v>260</v>
      </c>
      <c r="Z672" s="31">
        <f t="shared" si="99"/>
        <v>9443.2000000000007</v>
      </c>
      <c r="AA672" s="29">
        <f t="shared" si="100"/>
        <v>26150.399999999998</v>
      </c>
    </row>
    <row r="673" spans="1:38" s="32" customFormat="1" x14ac:dyDescent="0.25">
      <c r="A673" s="18">
        <v>677</v>
      </c>
      <c r="B673" s="19">
        <v>46039</v>
      </c>
      <c r="C673" s="19">
        <v>46040</v>
      </c>
      <c r="D673" s="20">
        <v>260118012</v>
      </c>
      <c r="E673" s="21" t="s">
        <v>1302</v>
      </c>
      <c r="F673" s="21" t="s">
        <v>1303</v>
      </c>
      <c r="G673" s="21">
        <v>48</v>
      </c>
      <c r="H673" s="36">
        <v>119</v>
      </c>
      <c r="I673" s="23" t="s">
        <v>1257</v>
      </c>
      <c r="J673" s="24" t="s">
        <v>23</v>
      </c>
      <c r="K673" s="23" t="s">
        <v>31</v>
      </c>
      <c r="L673" s="21" t="s">
        <v>704</v>
      </c>
      <c r="M673" s="21" t="s">
        <v>767</v>
      </c>
      <c r="N673" s="21">
        <v>65.98</v>
      </c>
      <c r="O673" s="37">
        <v>15.34</v>
      </c>
      <c r="P673" s="26">
        <f t="shared" si="94"/>
        <v>50.64</v>
      </c>
      <c r="Q673" s="27">
        <v>430</v>
      </c>
      <c r="R673" s="28">
        <f t="shared" si="93"/>
        <v>21775.200000000001</v>
      </c>
      <c r="S673" s="27"/>
      <c r="T673" s="29"/>
      <c r="V673" s="29" t="s">
        <v>24</v>
      </c>
      <c r="W673" s="27">
        <v>145</v>
      </c>
      <c r="X673" s="30">
        <f t="shared" si="98"/>
        <v>7342.8</v>
      </c>
      <c r="Y673" s="31">
        <v>150</v>
      </c>
      <c r="Z673" s="31">
        <f t="shared" si="99"/>
        <v>7596</v>
      </c>
      <c r="AA673" s="29">
        <f t="shared" si="100"/>
        <v>36714</v>
      </c>
    </row>
    <row r="674" spans="1:38" s="32" customFormat="1" x14ac:dyDescent="0.25">
      <c r="A674" s="18">
        <v>678</v>
      </c>
      <c r="B674" s="19">
        <v>46039</v>
      </c>
      <c r="C674" s="19">
        <v>46040</v>
      </c>
      <c r="D674" s="20">
        <v>260118011</v>
      </c>
      <c r="E674" s="21" t="s">
        <v>1304</v>
      </c>
      <c r="F674" s="21" t="s">
        <v>1305</v>
      </c>
      <c r="G674" s="21">
        <v>32</v>
      </c>
      <c r="H674" s="36">
        <v>119</v>
      </c>
      <c r="I674" s="23" t="s">
        <v>1257</v>
      </c>
      <c r="J674" s="24" t="s">
        <v>23</v>
      </c>
      <c r="K674" s="23" t="s">
        <v>31</v>
      </c>
      <c r="L674" s="21" t="s">
        <v>53</v>
      </c>
      <c r="M674" s="21" t="s">
        <v>767</v>
      </c>
      <c r="N674" s="21">
        <v>50.26</v>
      </c>
      <c r="O674" s="21">
        <v>11.34</v>
      </c>
      <c r="P674" s="26">
        <f t="shared" si="94"/>
        <v>38.92</v>
      </c>
      <c r="Q674" s="27">
        <v>430</v>
      </c>
      <c r="R674" s="28">
        <f t="shared" si="93"/>
        <v>16735.600000000002</v>
      </c>
      <c r="S674" s="27"/>
      <c r="T674" s="29"/>
      <c r="V674" s="29" t="s">
        <v>24</v>
      </c>
      <c r="W674" s="27">
        <v>145</v>
      </c>
      <c r="X674" s="30">
        <f t="shared" si="98"/>
        <v>5643.4000000000005</v>
      </c>
      <c r="Y674" s="31">
        <v>150</v>
      </c>
      <c r="Z674" s="31">
        <f t="shared" si="99"/>
        <v>5838</v>
      </c>
      <c r="AA674" s="29">
        <f t="shared" si="100"/>
        <v>28217.000000000004</v>
      </c>
    </row>
    <row r="675" spans="1:38" s="32" customFormat="1" x14ac:dyDescent="0.25">
      <c r="A675" s="18">
        <v>679</v>
      </c>
      <c r="B675" s="19">
        <v>46039</v>
      </c>
      <c r="C675" s="19">
        <v>46040</v>
      </c>
      <c r="D675" s="20">
        <v>260118005</v>
      </c>
      <c r="E675" s="21" t="s">
        <v>1306</v>
      </c>
      <c r="F675" s="21" t="s">
        <v>1307</v>
      </c>
      <c r="G675" s="21">
        <v>50</v>
      </c>
      <c r="H675" s="48">
        <v>53</v>
      </c>
      <c r="I675" s="52" t="s">
        <v>57</v>
      </c>
      <c r="J675" s="49" t="s">
        <v>23</v>
      </c>
      <c r="K675" s="23" t="s">
        <v>31</v>
      </c>
      <c r="L675" s="43" t="s">
        <v>55</v>
      </c>
      <c r="M675" s="21" t="s">
        <v>63</v>
      </c>
      <c r="N675" s="21">
        <v>68.56</v>
      </c>
      <c r="O675" s="21">
        <v>18.12</v>
      </c>
      <c r="P675" s="26">
        <f t="shared" si="94"/>
        <v>50.44</v>
      </c>
      <c r="Q675" s="27">
        <v>425</v>
      </c>
      <c r="R675" s="28">
        <f t="shared" si="93"/>
        <v>21437</v>
      </c>
      <c r="S675" s="27"/>
      <c r="T675" s="29"/>
      <c r="V675" s="29" t="s">
        <v>24</v>
      </c>
      <c r="W675" s="27">
        <v>145</v>
      </c>
      <c r="X675" s="30">
        <f t="shared" si="98"/>
        <v>7313.7999999999993</v>
      </c>
      <c r="Y675" s="31">
        <v>200</v>
      </c>
      <c r="Z675" s="31">
        <f t="shared" si="99"/>
        <v>10088</v>
      </c>
      <c r="AA675" s="29">
        <f t="shared" si="100"/>
        <v>38838.800000000003</v>
      </c>
    </row>
    <row r="676" spans="1:38" s="32" customFormat="1" x14ac:dyDescent="0.25">
      <c r="A676" s="18">
        <v>680</v>
      </c>
      <c r="B676" s="19">
        <v>46039</v>
      </c>
      <c r="C676" s="19">
        <v>46040</v>
      </c>
      <c r="D676" s="20">
        <v>260118007</v>
      </c>
      <c r="E676" s="21" t="s">
        <v>1308</v>
      </c>
      <c r="F676" s="21" t="s">
        <v>1309</v>
      </c>
      <c r="G676" s="21">
        <v>46</v>
      </c>
      <c r="H676" s="48">
        <v>53</v>
      </c>
      <c r="I676" s="52" t="s">
        <v>57</v>
      </c>
      <c r="J676" s="49" t="s">
        <v>23</v>
      </c>
      <c r="K676" s="23" t="s">
        <v>31</v>
      </c>
      <c r="L676" s="21" t="s">
        <v>38</v>
      </c>
      <c r="M676" s="21" t="s">
        <v>63</v>
      </c>
      <c r="N676" s="37">
        <v>61.04</v>
      </c>
      <c r="O676" s="37">
        <v>14.92</v>
      </c>
      <c r="P676" s="26">
        <f t="shared" si="94"/>
        <v>46.12</v>
      </c>
      <c r="Q676" s="27">
        <v>425</v>
      </c>
      <c r="R676" s="28">
        <f t="shared" si="93"/>
        <v>19601</v>
      </c>
      <c r="S676" s="27"/>
      <c r="T676" s="29"/>
      <c r="V676" s="29" t="s">
        <v>24</v>
      </c>
      <c r="W676" s="27">
        <v>145</v>
      </c>
      <c r="X676" s="30">
        <f t="shared" si="98"/>
        <v>6687.4</v>
      </c>
      <c r="Y676" s="31">
        <v>200</v>
      </c>
      <c r="Z676" s="31">
        <f t="shared" si="99"/>
        <v>9224</v>
      </c>
      <c r="AA676" s="29">
        <f t="shared" si="100"/>
        <v>35512.400000000001</v>
      </c>
    </row>
    <row r="677" spans="1:38" s="32" customFormat="1" x14ac:dyDescent="0.25">
      <c r="A677" s="18">
        <v>681</v>
      </c>
      <c r="B677" s="19">
        <v>46039</v>
      </c>
      <c r="C677" s="19">
        <v>46040</v>
      </c>
      <c r="D677" s="20">
        <v>260118010</v>
      </c>
      <c r="E677" s="21" t="s">
        <v>1310</v>
      </c>
      <c r="F677" s="21" t="s">
        <v>1311</v>
      </c>
      <c r="G677" s="21">
        <v>46</v>
      </c>
      <c r="H677" s="48">
        <v>53</v>
      </c>
      <c r="I677" s="52" t="s">
        <v>57</v>
      </c>
      <c r="J677" s="49" t="s">
        <v>23</v>
      </c>
      <c r="K677" s="23" t="s">
        <v>31</v>
      </c>
      <c r="L677" s="21" t="s">
        <v>41</v>
      </c>
      <c r="M677" s="21" t="s">
        <v>63</v>
      </c>
      <c r="N677" s="37">
        <v>61.8</v>
      </c>
      <c r="O677" s="21">
        <v>15.78</v>
      </c>
      <c r="P677" s="26">
        <f t="shared" si="94"/>
        <v>46.019999999999996</v>
      </c>
      <c r="Q677" s="27">
        <v>425</v>
      </c>
      <c r="R677" s="28">
        <f t="shared" si="93"/>
        <v>19558.5</v>
      </c>
      <c r="S677" s="27"/>
      <c r="T677" s="29"/>
      <c r="V677" s="29" t="s">
        <v>24</v>
      </c>
      <c r="W677" s="27">
        <v>145</v>
      </c>
      <c r="X677" s="30">
        <f t="shared" si="98"/>
        <v>6672.9</v>
      </c>
      <c r="Y677" s="31">
        <v>200</v>
      </c>
      <c r="Z677" s="31">
        <f t="shared" si="99"/>
        <v>9204</v>
      </c>
      <c r="AA677" s="29">
        <f t="shared" si="100"/>
        <v>35435.4</v>
      </c>
    </row>
    <row r="678" spans="1:38" s="32" customFormat="1" x14ac:dyDescent="0.25">
      <c r="A678" s="18">
        <v>682</v>
      </c>
      <c r="B678" s="19">
        <v>46040</v>
      </c>
      <c r="C678" s="19">
        <v>46040</v>
      </c>
      <c r="D678" s="20">
        <v>260118014</v>
      </c>
      <c r="E678" s="21" t="s">
        <v>1312</v>
      </c>
      <c r="F678" s="21" t="s">
        <v>1313</v>
      </c>
      <c r="G678" s="21">
        <v>49</v>
      </c>
      <c r="H678" s="44">
        <v>115</v>
      </c>
      <c r="I678" s="23" t="s">
        <v>33</v>
      </c>
      <c r="J678" s="24" t="s">
        <v>23</v>
      </c>
      <c r="K678" s="35" t="s">
        <v>31</v>
      </c>
      <c r="L678" s="25" t="s">
        <v>66</v>
      </c>
      <c r="M678" s="21" t="s">
        <v>32</v>
      </c>
      <c r="N678" s="21">
        <v>65.06</v>
      </c>
      <c r="O678" s="21">
        <v>15.34</v>
      </c>
      <c r="P678" s="26">
        <f t="shared" si="94"/>
        <v>49.72</v>
      </c>
      <c r="Q678" s="27">
        <v>315</v>
      </c>
      <c r="R678" s="28">
        <f t="shared" si="93"/>
        <v>15661.8</v>
      </c>
      <c r="S678" s="27"/>
      <c r="T678" s="29"/>
      <c r="V678" s="29" t="s">
        <v>24</v>
      </c>
      <c r="W678" s="27">
        <v>145</v>
      </c>
      <c r="X678" s="30">
        <f t="shared" si="98"/>
        <v>7209.4</v>
      </c>
      <c r="Y678" s="31">
        <v>260</v>
      </c>
      <c r="Z678" s="31">
        <f t="shared" si="99"/>
        <v>12927.199999999999</v>
      </c>
      <c r="AA678" s="29">
        <f t="shared" si="100"/>
        <v>35798.399999999994</v>
      </c>
    </row>
    <row r="679" spans="1:38" s="32" customFormat="1" x14ac:dyDescent="0.25">
      <c r="A679" s="18">
        <v>683</v>
      </c>
      <c r="B679" s="19">
        <v>46040</v>
      </c>
      <c r="C679" s="19">
        <v>46040</v>
      </c>
      <c r="D679" s="70" t="s">
        <v>1314</v>
      </c>
      <c r="E679" s="21"/>
      <c r="F679" s="21"/>
      <c r="G679" s="21"/>
      <c r="H679" s="62"/>
      <c r="I679" s="71" t="s">
        <v>1315</v>
      </c>
      <c r="J679" s="24" t="s">
        <v>23</v>
      </c>
      <c r="K679" s="35" t="s">
        <v>31</v>
      </c>
      <c r="L679" s="82" t="s">
        <v>946</v>
      </c>
      <c r="M679" s="83" t="s">
        <v>203</v>
      </c>
      <c r="N679" s="83">
        <v>26.28</v>
      </c>
      <c r="O679" s="83">
        <v>14.2</v>
      </c>
      <c r="P679" s="26">
        <f t="shared" si="94"/>
        <v>12.080000000000002</v>
      </c>
      <c r="Q679" s="27">
        <v>0</v>
      </c>
      <c r="R679" s="28">
        <f t="shared" si="93"/>
        <v>0</v>
      </c>
      <c r="S679" s="27"/>
      <c r="T679" s="29"/>
      <c r="V679" s="29" t="s">
        <v>24</v>
      </c>
      <c r="W679" s="27"/>
      <c r="X679" s="30">
        <f t="shared" si="98"/>
        <v>0</v>
      </c>
      <c r="Y679" s="31"/>
      <c r="Z679" s="31">
        <f t="shared" si="99"/>
        <v>0</v>
      </c>
      <c r="AA679" s="29">
        <f t="shared" si="100"/>
        <v>0</v>
      </c>
    </row>
    <row r="680" spans="1:38" s="32" customFormat="1" x14ac:dyDescent="0.25">
      <c r="A680" s="18">
        <v>684</v>
      </c>
      <c r="B680" s="19">
        <v>46040</v>
      </c>
      <c r="C680" s="19">
        <v>46040</v>
      </c>
      <c r="D680" s="70" t="s">
        <v>1316</v>
      </c>
      <c r="E680" s="21"/>
      <c r="F680" s="21"/>
      <c r="G680" s="21"/>
      <c r="H680" s="62"/>
      <c r="I680" s="71" t="s">
        <v>1315</v>
      </c>
      <c r="J680" s="24" t="s">
        <v>23</v>
      </c>
      <c r="K680" s="35" t="s">
        <v>31</v>
      </c>
      <c r="L680" s="82" t="s">
        <v>272</v>
      </c>
      <c r="M680" s="83" t="s">
        <v>203</v>
      </c>
      <c r="N680" s="21">
        <v>25.38</v>
      </c>
      <c r="O680" s="21">
        <v>14.28</v>
      </c>
      <c r="P680" s="26">
        <f t="shared" si="94"/>
        <v>11.1</v>
      </c>
      <c r="Q680" s="27">
        <v>0</v>
      </c>
      <c r="R680" s="28">
        <f t="shared" si="93"/>
        <v>0</v>
      </c>
      <c r="S680" s="27"/>
      <c r="T680" s="29"/>
      <c r="V680" s="29" t="s">
        <v>24</v>
      </c>
      <c r="W680" s="27"/>
      <c r="X680" s="30">
        <f t="shared" si="98"/>
        <v>0</v>
      </c>
      <c r="Y680" s="31"/>
      <c r="Z680" s="31">
        <f t="shared" si="99"/>
        <v>0</v>
      </c>
      <c r="AA680" s="29">
        <f t="shared" si="100"/>
        <v>0</v>
      </c>
    </row>
    <row r="681" spans="1:38" s="38" customFormat="1" x14ac:dyDescent="0.25">
      <c r="A681" s="18">
        <v>685</v>
      </c>
      <c r="B681" s="19">
        <v>46040</v>
      </c>
      <c r="C681" s="19">
        <v>46040</v>
      </c>
      <c r="D681" s="20">
        <v>260118016</v>
      </c>
      <c r="E681" s="21" t="s">
        <v>1317</v>
      </c>
      <c r="F681" s="21" t="s">
        <v>1318</v>
      </c>
      <c r="G681" s="21">
        <v>37</v>
      </c>
      <c r="H681" s="36">
        <v>119</v>
      </c>
      <c r="I681" s="23" t="s">
        <v>1257</v>
      </c>
      <c r="J681" s="24" t="s">
        <v>23</v>
      </c>
      <c r="K681" s="23" t="s">
        <v>31</v>
      </c>
      <c r="L681" s="25" t="s">
        <v>459</v>
      </c>
      <c r="M681" s="21" t="s">
        <v>767</v>
      </c>
      <c r="N681" s="21">
        <v>49.22</v>
      </c>
      <c r="O681" s="37">
        <v>11.96</v>
      </c>
      <c r="P681" s="26">
        <f t="shared" si="94"/>
        <v>37.26</v>
      </c>
      <c r="Q681" s="27">
        <v>430</v>
      </c>
      <c r="R681" s="28">
        <f t="shared" si="93"/>
        <v>16021.8</v>
      </c>
      <c r="S681" s="27"/>
      <c r="T681" s="29"/>
      <c r="V681" s="29" t="s">
        <v>24</v>
      </c>
      <c r="W681" s="27">
        <v>145</v>
      </c>
      <c r="X681" s="30">
        <f t="shared" si="98"/>
        <v>5402.7</v>
      </c>
      <c r="Y681" s="31">
        <v>150</v>
      </c>
      <c r="Z681" s="31">
        <f t="shared" si="99"/>
        <v>5589</v>
      </c>
      <c r="AA681" s="29">
        <f t="shared" si="100"/>
        <v>27013.5</v>
      </c>
    </row>
    <row r="682" spans="1:38" s="32" customFormat="1" x14ac:dyDescent="0.25">
      <c r="A682" s="18">
        <v>686</v>
      </c>
      <c r="B682" s="19">
        <v>46040</v>
      </c>
      <c r="C682" s="19">
        <v>46040</v>
      </c>
      <c r="D682" s="20">
        <v>260118017</v>
      </c>
      <c r="E682" s="21" t="s">
        <v>1319</v>
      </c>
      <c r="F682" s="21" t="s">
        <v>1320</v>
      </c>
      <c r="G682" s="21">
        <v>39</v>
      </c>
      <c r="H682" s="36">
        <v>119</v>
      </c>
      <c r="I682" s="23" t="s">
        <v>1257</v>
      </c>
      <c r="J682" s="24" t="s">
        <v>23</v>
      </c>
      <c r="K682" s="23" t="s">
        <v>31</v>
      </c>
      <c r="L682" s="25" t="s">
        <v>43</v>
      </c>
      <c r="M682" s="21" t="s">
        <v>767</v>
      </c>
      <c r="N682" s="37">
        <v>50.7</v>
      </c>
      <c r="O682" s="21">
        <v>11.16</v>
      </c>
      <c r="P682" s="26">
        <f t="shared" si="94"/>
        <v>39.540000000000006</v>
      </c>
      <c r="Q682" s="27">
        <v>430</v>
      </c>
      <c r="R682" s="28">
        <f t="shared" si="93"/>
        <v>17002.200000000004</v>
      </c>
      <c r="S682" s="27"/>
      <c r="T682" s="29"/>
      <c r="V682" s="29" t="s">
        <v>24</v>
      </c>
      <c r="W682" s="27">
        <v>145</v>
      </c>
      <c r="X682" s="30">
        <f t="shared" si="98"/>
        <v>5733.3000000000011</v>
      </c>
      <c r="Y682" s="31">
        <v>150</v>
      </c>
      <c r="Z682" s="31">
        <f t="shared" si="99"/>
        <v>5931.0000000000009</v>
      </c>
      <c r="AA682" s="29">
        <f t="shared" si="100"/>
        <v>28666.500000000007</v>
      </c>
    </row>
    <row r="683" spans="1:38" s="32" customFormat="1" x14ac:dyDescent="0.25">
      <c r="A683" s="18">
        <v>687</v>
      </c>
      <c r="B683" s="19">
        <v>46040</v>
      </c>
      <c r="C683" s="19">
        <v>46040</v>
      </c>
      <c r="D683" s="20">
        <v>260118018</v>
      </c>
      <c r="E683" s="21" t="s">
        <v>1321</v>
      </c>
      <c r="F683" s="21" t="s">
        <v>1322</v>
      </c>
      <c r="G683" s="21">
        <v>44</v>
      </c>
      <c r="H683" s="44">
        <v>115</v>
      </c>
      <c r="I683" s="23" t="s">
        <v>33</v>
      </c>
      <c r="J683" s="24" t="s">
        <v>23</v>
      </c>
      <c r="K683" s="35" t="s">
        <v>31</v>
      </c>
      <c r="L683" s="25" t="s">
        <v>41</v>
      </c>
      <c r="M683" s="21" t="s">
        <v>32</v>
      </c>
      <c r="N683" s="37">
        <v>59.8</v>
      </c>
      <c r="O683" s="37">
        <v>15.74</v>
      </c>
      <c r="P683" s="26">
        <f t="shared" si="94"/>
        <v>44.059999999999995</v>
      </c>
      <c r="Q683" s="27">
        <v>315</v>
      </c>
      <c r="R683" s="28">
        <f t="shared" si="93"/>
        <v>13878.899999999998</v>
      </c>
      <c r="S683" s="27"/>
      <c r="T683" s="29"/>
      <c r="V683" s="29" t="s">
        <v>24</v>
      </c>
      <c r="W683" s="27">
        <v>145</v>
      </c>
      <c r="X683" s="30">
        <f t="shared" si="98"/>
        <v>6388.6999999999989</v>
      </c>
      <c r="Y683" s="31">
        <v>260</v>
      </c>
      <c r="Z683" s="31">
        <f t="shared" si="99"/>
        <v>11455.599999999999</v>
      </c>
      <c r="AA683" s="29">
        <f t="shared" si="100"/>
        <v>31723.199999999997</v>
      </c>
    </row>
    <row r="684" spans="1:38" s="32" customFormat="1" x14ac:dyDescent="0.25">
      <c r="A684" s="18">
        <v>688</v>
      </c>
      <c r="B684" s="19">
        <v>46040</v>
      </c>
      <c r="C684" s="19">
        <v>46040</v>
      </c>
      <c r="D684" s="20">
        <v>260118019</v>
      </c>
      <c r="E684" s="21" t="s">
        <v>1323</v>
      </c>
      <c r="F684" s="21" t="s">
        <v>1324</v>
      </c>
      <c r="G684" s="21">
        <v>49</v>
      </c>
      <c r="H684" s="44">
        <v>115</v>
      </c>
      <c r="I684" s="23" t="s">
        <v>33</v>
      </c>
      <c r="J684" s="24" t="s">
        <v>23</v>
      </c>
      <c r="K684" s="35" t="s">
        <v>31</v>
      </c>
      <c r="L684" s="25" t="s">
        <v>55</v>
      </c>
      <c r="M684" s="21" t="s">
        <v>34</v>
      </c>
      <c r="N684" s="37">
        <v>67.8</v>
      </c>
      <c r="O684" s="37">
        <v>18.100000000000001</v>
      </c>
      <c r="P684" s="26">
        <f t="shared" si="94"/>
        <v>49.699999999999996</v>
      </c>
      <c r="Q684" s="27">
        <v>545</v>
      </c>
      <c r="R684" s="28">
        <f t="shared" si="93"/>
        <v>27086.499999999996</v>
      </c>
      <c r="S684" s="27"/>
      <c r="T684" s="29"/>
      <c r="V684" s="29" t="s">
        <v>24</v>
      </c>
      <c r="W684" s="27">
        <v>145</v>
      </c>
      <c r="X684" s="30">
        <f t="shared" si="98"/>
        <v>7206.4999999999991</v>
      </c>
      <c r="Y684" s="31">
        <v>260</v>
      </c>
      <c r="Z684" s="31">
        <f t="shared" si="99"/>
        <v>12921.999999999998</v>
      </c>
      <c r="AA684" s="29">
        <f t="shared" si="100"/>
        <v>47214.999999999993</v>
      </c>
    </row>
    <row r="685" spans="1:38" s="32" customFormat="1" x14ac:dyDescent="0.25">
      <c r="A685" s="18">
        <v>689</v>
      </c>
      <c r="B685" s="19">
        <v>46040</v>
      </c>
      <c r="C685" s="19">
        <v>46040</v>
      </c>
      <c r="D685" s="20">
        <v>260118020</v>
      </c>
      <c r="E685" s="21" t="s">
        <v>1325</v>
      </c>
      <c r="F685" s="21" t="s">
        <v>1326</v>
      </c>
      <c r="G685" s="21">
        <v>46</v>
      </c>
      <c r="H685" s="44">
        <v>115</v>
      </c>
      <c r="I685" s="23" t="s">
        <v>33</v>
      </c>
      <c r="J685" s="24" t="s">
        <v>23</v>
      </c>
      <c r="K685" s="35" t="s">
        <v>31</v>
      </c>
      <c r="L685" s="25" t="s">
        <v>38</v>
      </c>
      <c r="M685" s="21" t="s">
        <v>34</v>
      </c>
      <c r="N685" s="37">
        <v>61.5</v>
      </c>
      <c r="O685" s="37">
        <v>14.9</v>
      </c>
      <c r="P685" s="26">
        <f t="shared" si="94"/>
        <v>46.6</v>
      </c>
      <c r="Q685" s="27">
        <v>545</v>
      </c>
      <c r="R685" s="28">
        <f t="shared" si="93"/>
        <v>25397</v>
      </c>
      <c r="S685" s="27"/>
      <c r="T685" s="29"/>
      <c r="V685" s="29" t="s">
        <v>24</v>
      </c>
      <c r="W685" s="27">
        <v>145</v>
      </c>
      <c r="X685" s="30">
        <f t="shared" si="98"/>
        <v>6757</v>
      </c>
      <c r="Y685" s="31">
        <v>260</v>
      </c>
      <c r="Z685" s="31">
        <f t="shared" si="99"/>
        <v>12116</v>
      </c>
      <c r="AA685" s="29">
        <f t="shared" si="100"/>
        <v>44270</v>
      </c>
      <c r="AB685" s="40"/>
      <c r="AC685" s="39"/>
      <c r="AD685" s="41"/>
      <c r="AE685" s="42"/>
      <c r="AF685" s="39"/>
      <c r="AG685" s="42"/>
      <c r="AH685" s="39"/>
      <c r="AI685" s="41"/>
      <c r="AJ685" s="39"/>
      <c r="AK685" s="41"/>
      <c r="AL685" s="41"/>
    </row>
    <row r="686" spans="1:38" s="32" customFormat="1" x14ac:dyDescent="0.25">
      <c r="A686" s="18">
        <v>690</v>
      </c>
      <c r="B686" s="19">
        <v>46040</v>
      </c>
      <c r="C686" s="19">
        <v>46040</v>
      </c>
      <c r="D686" s="20">
        <v>260118021</v>
      </c>
      <c r="E686" s="21" t="s">
        <v>1327</v>
      </c>
      <c r="F686" s="21" t="s">
        <v>1328</v>
      </c>
      <c r="G686" s="21">
        <v>46</v>
      </c>
      <c r="H686" s="44">
        <v>115</v>
      </c>
      <c r="I686" s="23" t="s">
        <v>33</v>
      </c>
      <c r="J686" s="24" t="s">
        <v>23</v>
      </c>
      <c r="K686" s="35" t="s">
        <v>31</v>
      </c>
      <c r="L686" s="25" t="s">
        <v>36</v>
      </c>
      <c r="M686" s="21" t="s">
        <v>35</v>
      </c>
      <c r="N686" s="37">
        <v>62.7</v>
      </c>
      <c r="O686" s="37">
        <v>15.74</v>
      </c>
      <c r="P686" s="26">
        <f t="shared" si="94"/>
        <v>46.96</v>
      </c>
      <c r="Q686" s="27">
        <v>445</v>
      </c>
      <c r="R686" s="28">
        <f t="shared" si="93"/>
        <v>20897.2</v>
      </c>
      <c r="S686" s="27"/>
      <c r="T686" s="29"/>
      <c r="V686" s="29" t="s">
        <v>24</v>
      </c>
      <c r="W686" s="27">
        <v>145</v>
      </c>
      <c r="X686" s="30">
        <f t="shared" si="98"/>
        <v>6809.2</v>
      </c>
      <c r="Y686" s="31">
        <v>260</v>
      </c>
      <c r="Z686" s="31">
        <f t="shared" si="99"/>
        <v>12209.6</v>
      </c>
      <c r="AA686" s="29">
        <f t="shared" si="100"/>
        <v>39916</v>
      </c>
    </row>
    <row r="687" spans="1:38" s="32" customFormat="1" x14ac:dyDescent="0.25">
      <c r="A687" s="18">
        <v>691</v>
      </c>
      <c r="B687" s="19">
        <v>46040</v>
      </c>
      <c r="C687" s="19">
        <v>46040</v>
      </c>
      <c r="D687" s="20">
        <v>260118022</v>
      </c>
      <c r="E687" s="21" t="s">
        <v>1329</v>
      </c>
      <c r="F687" s="21" t="s">
        <v>1330</v>
      </c>
      <c r="G687" s="21">
        <v>50</v>
      </c>
      <c r="H687" s="36">
        <v>119</v>
      </c>
      <c r="I687" s="23" t="s">
        <v>1257</v>
      </c>
      <c r="J687" s="24" t="s">
        <v>23</v>
      </c>
      <c r="K687" s="23" t="s">
        <v>31</v>
      </c>
      <c r="L687" s="25" t="s">
        <v>37</v>
      </c>
      <c r="M687" s="21" t="s">
        <v>767</v>
      </c>
      <c r="N687" s="37">
        <v>65.92</v>
      </c>
      <c r="O687" s="37">
        <v>15.88</v>
      </c>
      <c r="P687" s="26">
        <f t="shared" si="94"/>
        <v>50.04</v>
      </c>
      <c r="Q687" s="27">
        <v>430</v>
      </c>
      <c r="R687" s="28">
        <f t="shared" si="93"/>
        <v>21517.200000000001</v>
      </c>
      <c r="S687" s="27"/>
      <c r="T687" s="29"/>
      <c r="V687" s="29" t="s">
        <v>24</v>
      </c>
      <c r="W687" s="27">
        <v>145</v>
      </c>
      <c r="X687" s="30">
        <f t="shared" si="98"/>
        <v>7255.8</v>
      </c>
      <c r="Y687" s="31">
        <v>150</v>
      </c>
      <c r="Z687" s="31">
        <f t="shared" si="99"/>
        <v>7506</v>
      </c>
      <c r="AA687" s="29">
        <f t="shared" si="100"/>
        <v>36279</v>
      </c>
    </row>
    <row r="688" spans="1:38" s="32" customFormat="1" x14ac:dyDescent="0.25">
      <c r="A688" s="18">
        <v>692</v>
      </c>
      <c r="B688" s="19">
        <v>46040</v>
      </c>
      <c r="C688" s="19">
        <v>46040</v>
      </c>
      <c r="D688" s="20">
        <v>260118023</v>
      </c>
      <c r="E688" s="21" t="s">
        <v>1331</v>
      </c>
      <c r="F688" s="21" t="s">
        <v>1332</v>
      </c>
      <c r="G688" s="21">
        <v>50</v>
      </c>
      <c r="H688" s="44">
        <v>115</v>
      </c>
      <c r="I688" s="23" t="s">
        <v>33</v>
      </c>
      <c r="J688" s="24" t="s">
        <v>23</v>
      </c>
      <c r="K688" s="35" t="s">
        <v>31</v>
      </c>
      <c r="L688" s="25" t="s">
        <v>66</v>
      </c>
      <c r="M688" s="21" t="s">
        <v>32</v>
      </c>
      <c r="N688" s="37">
        <v>66.239999999999995</v>
      </c>
      <c r="O688" s="37">
        <v>15.32</v>
      </c>
      <c r="P688" s="26">
        <f t="shared" si="94"/>
        <v>50.919999999999995</v>
      </c>
      <c r="Q688" s="27">
        <v>315</v>
      </c>
      <c r="R688" s="28">
        <f t="shared" si="93"/>
        <v>16039.799999999997</v>
      </c>
      <c r="S688" s="27"/>
      <c r="T688" s="29"/>
      <c r="V688" s="29" t="s">
        <v>24</v>
      </c>
      <c r="W688" s="27">
        <v>145</v>
      </c>
      <c r="X688" s="30">
        <f t="shared" si="98"/>
        <v>7383.4</v>
      </c>
      <c r="Y688" s="31">
        <v>260</v>
      </c>
      <c r="Z688" s="31">
        <f t="shared" si="99"/>
        <v>13239.199999999999</v>
      </c>
      <c r="AA688" s="29">
        <f t="shared" si="100"/>
        <v>36662.399999999994</v>
      </c>
    </row>
    <row r="689" spans="1:27" s="32" customFormat="1" x14ac:dyDescent="0.25">
      <c r="A689" s="18">
        <v>693</v>
      </c>
      <c r="B689" s="19">
        <v>46040</v>
      </c>
      <c r="C689" s="19">
        <v>46040</v>
      </c>
      <c r="D689" s="85">
        <v>260118024</v>
      </c>
      <c r="E689" s="21" t="s">
        <v>1333</v>
      </c>
      <c r="F689" s="21" t="s">
        <v>1334</v>
      </c>
      <c r="G689" s="21">
        <v>46</v>
      </c>
      <c r="H689" s="36">
        <v>119</v>
      </c>
      <c r="I689" s="23" t="s">
        <v>1257</v>
      </c>
      <c r="J689" s="24" t="s">
        <v>23</v>
      </c>
      <c r="K689" s="23" t="s">
        <v>31</v>
      </c>
      <c r="L689" s="82" t="s">
        <v>704</v>
      </c>
      <c r="M689" s="21" t="s">
        <v>767</v>
      </c>
      <c r="N689" s="37">
        <v>61.24</v>
      </c>
      <c r="O689" s="37">
        <v>15.18</v>
      </c>
      <c r="P689" s="26">
        <f>N689-O689</f>
        <v>46.06</v>
      </c>
      <c r="Q689" s="27">
        <v>430</v>
      </c>
      <c r="R689" s="28">
        <f t="shared" ref="R689:R752" si="101">P689*Q689</f>
        <v>19805.8</v>
      </c>
      <c r="S689" s="27"/>
      <c r="T689" s="29"/>
      <c r="V689" s="29" t="s">
        <v>24</v>
      </c>
      <c r="W689" s="27">
        <v>145</v>
      </c>
      <c r="X689" s="30">
        <f t="shared" si="98"/>
        <v>6678.7000000000007</v>
      </c>
      <c r="Y689" s="31">
        <v>150</v>
      </c>
      <c r="Z689" s="31">
        <f t="shared" si="99"/>
        <v>6909</v>
      </c>
      <c r="AA689" s="29">
        <f t="shared" si="100"/>
        <v>33393.5</v>
      </c>
    </row>
    <row r="690" spans="1:27" s="38" customFormat="1" x14ac:dyDescent="0.25">
      <c r="A690" s="18">
        <v>694</v>
      </c>
      <c r="B690" s="19">
        <v>46040</v>
      </c>
      <c r="C690" s="19">
        <v>46040</v>
      </c>
      <c r="D690" s="20">
        <v>260118025</v>
      </c>
      <c r="E690" s="21" t="s">
        <v>1335</v>
      </c>
      <c r="F690" s="21" t="s">
        <v>1336</v>
      </c>
      <c r="G690" s="21">
        <v>48</v>
      </c>
      <c r="H690" s="36">
        <v>119</v>
      </c>
      <c r="I690" s="23" t="s">
        <v>1257</v>
      </c>
      <c r="J690" s="24" t="s">
        <v>23</v>
      </c>
      <c r="K690" s="23" t="s">
        <v>31</v>
      </c>
      <c r="L690" s="25" t="s">
        <v>219</v>
      </c>
      <c r="M690" s="21" t="s">
        <v>767</v>
      </c>
      <c r="N690" s="37">
        <v>63.84</v>
      </c>
      <c r="O690" s="37">
        <v>15.34</v>
      </c>
      <c r="P690" s="26">
        <f>N690-O690</f>
        <v>48.5</v>
      </c>
      <c r="Q690" s="27">
        <v>430</v>
      </c>
      <c r="R690" s="28">
        <f t="shared" si="101"/>
        <v>20855</v>
      </c>
      <c r="S690" s="27"/>
      <c r="T690" s="29"/>
      <c r="V690" s="29" t="s">
        <v>24</v>
      </c>
      <c r="W690" s="27">
        <v>145</v>
      </c>
      <c r="X690" s="30">
        <f t="shared" si="98"/>
        <v>7032.5</v>
      </c>
      <c r="Y690" s="31">
        <v>150</v>
      </c>
      <c r="Z690" s="31">
        <f t="shared" si="99"/>
        <v>7275</v>
      </c>
      <c r="AA690" s="29">
        <f t="shared" si="100"/>
        <v>35162.5</v>
      </c>
    </row>
    <row r="691" spans="1:27" s="38" customFormat="1" x14ac:dyDescent="0.25">
      <c r="A691" s="18">
        <v>695</v>
      </c>
      <c r="B691" s="19">
        <v>46040</v>
      </c>
      <c r="C691" s="19">
        <v>46040</v>
      </c>
      <c r="D691" s="20">
        <v>260118026</v>
      </c>
      <c r="E691" s="21" t="s">
        <v>1337</v>
      </c>
      <c r="F691" s="21" t="s">
        <v>1338</v>
      </c>
      <c r="G691" s="21">
        <v>44</v>
      </c>
      <c r="H691" s="44">
        <v>115</v>
      </c>
      <c r="I691" s="23" t="s">
        <v>33</v>
      </c>
      <c r="J691" s="24" t="s">
        <v>23</v>
      </c>
      <c r="K691" s="35" t="s">
        <v>31</v>
      </c>
      <c r="L691" s="25" t="s">
        <v>146</v>
      </c>
      <c r="M691" s="21" t="s">
        <v>35</v>
      </c>
      <c r="N691" s="37">
        <v>56.36</v>
      </c>
      <c r="O691" s="37">
        <v>11.92</v>
      </c>
      <c r="P691" s="26">
        <f>N691-O691</f>
        <v>44.44</v>
      </c>
      <c r="Q691" s="27">
        <v>445</v>
      </c>
      <c r="R691" s="28">
        <f t="shared" si="101"/>
        <v>19775.8</v>
      </c>
      <c r="S691" s="27"/>
      <c r="T691" s="29"/>
      <c r="V691" s="29" t="s">
        <v>24</v>
      </c>
      <c r="W691" s="27">
        <v>145</v>
      </c>
      <c r="X691" s="30">
        <f t="shared" si="98"/>
        <v>6443.7999999999993</v>
      </c>
      <c r="Y691" s="31">
        <v>260</v>
      </c>
      <c r="Z691" s="31">
        <f t="shared" si="99"/>
        <v>11554.4</v>
      </c>
      <c r="AA691" s="29">
        <f t="shared" si="100"/>
        <v>37774</v>
      </c>
    </row>
    <row r="692" spans="1:27" s="32" customFormat="1" x14ac:dyDescent="0.25">
      <c r="A692" s="18">
        <v>696</v>
      </c>
      <c r="B692" s="19">
        <v>46040</v>
      </c>
      <c r="C692" s="19">
        <v>46040</v>
      </c>
      <c r="D692" s="20">
        <v>260118027</v>
      </c>
      <c r="E692" s="21" t="s">
        <v>1339</v>
      </c>
      <c r="F692" s="21" t="s">
        <v>1340</v>
      </c>
      <c r="G692" s="21">
        <v>47</v>
      </c>
      <c r="H692" s="36">
        <v>119</v>
      </c>
      <c r="I692" s="23" t="s">
        <v>1257</v>
      </c>
      <c r="J692" s="24" t="s">
        <v>23</v>
      </c>
      <c r="K692" s="23" t="s">
        <v>31</v>
      </c>
      <c r="L692" s="25" t="s">
        <v>37</v>
      </c>
      <c r="M692" s="21" t="s">
        <v>767</v>
      </c>
      <c r="N692" s="37">
        <v>63.66</v>
      </c>
      <c r="O692" s="37">
        <v>15.84</v>
      </c>
      <c r="P692" s="26">
        <f t="shared" ref="P692:P755" si="102">N692-O692</f>
        <v>47.819999999999993</v>
      </c>
      <c r="Q692" s="27">
        <v>430</v>
      </c>
      <c r="R692" s="28">
        <f t="shared" si="101"/>
        <v>20562.599999999999</v>
      </c>
      <c r="S692" s="27"/>
      <c r="T692" s="29"/>
      <c r="V692" s="29" t="s">
        <v>24</v>
      </c>
      <c r="W692" s="27">
        <v>145</v>
      </c>
      <c r="X692" s="30">
        <f t="shared" si="98"/>
        <v>6933.8999999999987</v>
      </c>
      <c r="Y692" s="31">
        <v>150</v>
      </c>
      <c r="Z692" s="31">
        <f t="shared" si="99"/>
        <v>7172.9999999999991</v>
      </c>
      <c r="AA692" s="29">
        <f t="shared" si="100"/>
        <v>34669.499999999993</v>
      </c>
    </row>
    <row r="693" spans="1:27" s="32" customFormat="1" x14ac:dyDescent="0.25">
      <c r="A693" s="18">
        <v>697</v>
      </c>
      <c r="B693" s="19">
        <v>46040</v>
      </c>
      <c r="C693" s="19">
        <v>46040</v>
      </c>
      <c r="D693" s="20">
        <v>260118028</v>
      </c>
      <c r="E693" s="21" t="s">
        <v>1341</v>
      </c>
      <c r="F693" s="21" t="s">
        <v>1342</v>
      </c>
      <c r="G693" s="21">
        <v>36</v>
      </c>
      <c r="H693" s="36">
        <v>119</v>
      </c>
      <c r="I693" s="23" t="s">
        <v>1257</v>
      </c>
      <c r="J693" s="24" t="s">
        <v>23</v>
      </c>
      <c r="K693" s="23" t="s">
        <v>31</v>
      </c>
      <c r="L693" s="25" t="s">
        <v>459</v>
      </c>
      <c r="M693" s="21" t="s">
        <v>767</v>
      </c>
      <c r="N693" s="37">
        <v>48.8</v>
      </c>
      <c r="O693" s="37">
        <v>11.9</v>
      </c>
      <c r="P693" s="26">
        <f t="shared" si="102"/>
        <v>36.9</v>
      </c>
      <c r="Q693" s="27">
        <v>430</v>
      </c>
      <c r="R693" s="28">
        <f t="shared" si="101"/>
        <v>15867</v>
      </c>
      <c r="S693" s="27"/>
      <c r="T693" s="29"/>
      <c r="V693" s="29" t="s">
        <v>24</v>
      </c>
      <c r="W693" s="27">
        <v>145</v>
      </c>
      <c r="X693" s="30">
        <f t="shared" si="98"/>
        <v>5350.5</v>
      </c>
      <c r="Y693" s="31">
        <v>150</v>
      </c>
      <c r="Z693" s="31">
        <f t="shared" si="99"/>
        <v>5535</v>
      </c>
      <c r="AA693" s="29">
        <f t="shared" si="100"/>
        <v>26752.5</v>
      </c>
    </row>
    <row r="694" spans="1:27" s="32" customFormat="1" x14ac:dyDescent="0.25">
      <c r="A694" s="18">
        <v>698</v>
      </c>
      <c r="B694" s="19">
        <v>46040</v>
      </c>
      <c r="C694" s="19">
        <v>46040</v>
      </c>
      <c r="D694" s="20">
        <v>260118029</v>
      </c>
      <c r="E694" s="21" t="s">
        <v>1343</v>
      </c>
      <c r="F694" s="21" t="s">
        <v>1344</v>
      </c>
      <c r="G694" s="21">
        <v>48</v>
      </c>
      <c r="H694" s="44">
        <v>115</v>
      </c>
      <c r="I694" s="23" t="s">
        <v>33</v>
      </c>
      <c r="J694" s="24" t="s">
        <v>23</v>
      </c>
      <c r="K694" s="35" t="s">
        <v>31</v>
      </c>
      <c r="L694" s="25" t="s">
        <v>55</v>
      </c>
      <c r="M694" s="21" t="s">
        <v>32</v>
      </c>
      <c r="N694" s="37">
        <v>66.72</v>
      </c>
      <c r="O694" s="37">
        <v>18.02</v>
      </c>
      <c r="P694" s="26">
        <f t="shared" si="102"/>
        <v>48.7</v>
      </c>
      <c r="Q694" s="27">
        <v>315</v>
      </c>
      <c r="R694" s="28">
        <f t="shared" si="101"/>
        <v>15340.5</v>
      </c>
      <c r="S694" s="27"/>
      <c r="T694" s="29"/>
      <c r="V694" s="29" t="s">
        <v>24</v>
      </c>
      <c r="W694" s="27">
        <v>145</v>
      </c>
      <c r="X694" s="30">
        <f t="shared" si="98"/>
        <v>7061.5</v>
      </c>
      <c r="Y694" s="31">
        <v>260</v>
      </c>
      <c r="Z694" s="31">
        <f t="shared" si="99"/>
        <v>12662</v>
      </c>
      <c r="AA694" s="29">
        <f t="shared" si="100"/>
        <v>35064</v>
      </c>
    </row>
    <row r="695" spans="1:27" s="38" customFormat="1" x14ac:dyDescent="0.25">
      <c r="A695" s="18">
        <v>699</v>
      </c>
      <c r="B695" s="19">
        <v>46040</v>
      </c>
      <c r="C695" s="19">
        <v>46040</v>
      </c>
      <c r="D695" s="20">
        <v>260118030</v>
      </c>
      <c r="E695" s="21" t="s">
        <v>1345</v>
      </c>
      <c r="F695" s="21" t="s">
        <v>1346</v>
      </c>
      <c r="G695" s="21">
        <v>45</v>
      </c>
      <c r="H695" s="44">
        <v>115</v>
      </c>
      <c r="I695" s="23" t="s">
        <v>33</v>
      </c>
      <c r="J695" s="24" t="s">
        <v>23</v>
      </c>
      <c r="K695" s="35" t="s">
        <v>31</v>
      </c>
      <c r="L695" s="25" t="s">
        <v>41</v>
      </c>
      <c r="M695" s="21" t="s">
        <v>34</v>
      </c>
      <c r="N695" s="37">
        <v>60.8</v>
      </c>
      <c r="O695" s="37">
        <v>15.68</v>
      </c>
      <c r="P695" s="26">
        <f t="shared" si="102"/>
        <v>45.12</v>
      </c>
      <c r="Q695" s="27">
        <v>545</v>
      </c>
      <c r="R695" s="28">
        <f t="shared" si="101"/>
        <v>24590.399999999998</v>
      </c>
      <c r="S695" s="27"/>
      <c r="T695" s="29"/>
      <c r="V695" s="29" t="s">
        <v>24</v>
      </c>
      <c r="W695" s="27">
        <v>145</v>
      </c>
      <c r="X695" s="30">
        <f t="shared" si="98"/>
        <v>6542.4</v>
      </c>
      <c r="Y695" s="31">
        <v>260</v>
      </c>
      <c r="Z695" s="31">
        <f t="shared" si="99"/>
        <v>11731.199999999999</v>
      </c>
      <c r="AA695" s="29">
        <f t="shared" si="100"/>
        <v>42863.999999999993</v>
      </c>
    </row>
    <row r="696" spans="1:27" s="38" customFormat="1" x14ac:dyDescent="0.25">
      <c r="A696" s="18">
        <v>700</v>
      </c>
      <c r="B696" s="19">
        <v>46040</v>
      </c>
      <c r="C696" s="19">
        <v>46041</v>
      </c>
      <c r="D696" s="46">
        <v>260119001</v>
      </c>
      <c r="E696" s="21" t="s">
        <v>1347</v>
      </c>
      <c r="F696" s="21" t="s">
        <v>1348</v>
      </c>
      <c r="G696" s="21">
        <v>34</v>
      </c>
      <c r="H696" s="36">
        <v>119</v>
      </c>
      <c r="I696" s="23" t="s">
        <v>1257</v>
      </c>
      <c r="J696" s="24" t="s">
        <v>23</v>
      </c>
      <c r="K696" s="23" t="s">
        <v>31</v>
      </c>
      <c r="L696" s="25" t="s">
        <v>43</v>
      </c>
      <c r="M696" s="21" t="s">
        <v>767</v>
      </c>
      <c r="N696" s="37">
        <v>45.3</v>
      </c>
      <c r="O696" s="37">
        <v>11.28</v>
      </c>
      <c r="P696" s="26">
        <f t="shared" si="102"/>
        <v>34.019999999999996</v>
      </c>
      <c r="Q696" s="27">
        <v>430</v>
      </c>
      <c r="R696" s="28">
        <f t="shared" si="101"/>
        <v>14628.599999999999</v>
      </c>
      <c r="S696" s="27"/>
      <c r="T696" s="29"/>
      <c r="V696" s="29" t="s">
        <v>24</v>
      </c>
      <c r="W696" s="27">
        <v>145</v>
      </c>
      <c r="X696" s="30">
        <f t="shared" ref="X696:X716" si="103">P696*W696</f>
        <v>4932.8999999999996</v>
      </c>
      <c r="Y696" s="31">
        <v>150</v>
      </c>
      <c r="Z696" s="31">
        <f t="shared" ref="Z696:Z716" si="104">P696*Y696</f>
        <v>5102.9999999999991</v>
      </c>
      <c r="AA696" s="29">
        <f t="shared" ref="AA696:AA716" si="105">R696+X696+Z696</f>
        <v>24664.5</v>
      </c>
    </row>
    <row r="697" spans="1:27" s="32" customFormat="1" x14ac:dyDescent="0.25">
      <c r="A697" s="18">
        <v>701</v>
      </c>
      <c r="B697" s="19">
        <v>46040</v>
      </c>
      <c r="C697" s="19">
        <v>46041</v>
      </c>
      <c r="D697" s="46">
        <v>260119002</v>
      </c>
      <c r="E697" s="21" t="s">
        <v>1349</v>
      </c>
      <c r="F697" s="21" t="s">
        <v>1350</v>
      </c>
      <c r="G697" s="21">
        <v>45</v>
      </c>
      <c r="H697" s="36">
        <v>119</v>
      </c>
      <c r="I697" s="23" t="s">
        <v>1257</v>
      </c>
      <c r="J697" s="24" t="s">
        <v>23</v>
      </c>
      <c r="K697" s="23" t="s">
        <v>31</v>
      </c>
      <c r="L697" s="20" t="s">
        <v>704</v>
      </c>
      <c r="M697" s="21" t="s">
        <v>767</v>
      </c>
      <c r="N697" s="37">
        <v>61.12</v>
      </c>
      <c r="O697" s="37">
        <v>15.14</v>
      </c>
      <c r="P697" s="26">
        <f t="shared" si="102"/>
        <v>45.98</v>
      </c>
      <c r="Q697" s="27">
        <v>430</v>
      </c>
      <c r="R697" s="28">
        <f t="shared" si="101"/>
        <v>19771.399999999998</v>
      </c>
      <c r="S697" s="27"/>
      <c r="T697" s="29"/>
      <c r="V697" s="29" t="s">
        <v>24</v>
      </c>
      <c r="W697" s="27">
        <v>145</v>
      </c>
      <c r="X697" s="30">
        <f t="shared" si="103"/>
        <v>6667.0999999999995</v>
      </c>
      <c r="Y697" s="31">
        <v>150</v>
      </c>
      <c r="Z697" s="31">
        <f t="shared" si="104"/>
        <v>6896.9999999999991</v>
      </c>
      <c r="AA697" s="29">
        <f t="shared" si="105"/>
        <v>33335.499999999993</v>
      </c>
    </row>
    <row r="698" spans="1:27" s="32" customFormat="1" x14ac:dyDescent="0.25">
      <c r="A698" s="18">
        <v>702</v>
      </c>
      <c r="B698" s="19">
        <v>46040</v>
      </c>
      <c r="C698" s="19">
        <v>46041</v>
      </c>
      <c r="D698" s="46">
        <v>260119003</v>
      </c>
      <c r="E698" s="21" t="s">
        <v>1351</v>
      </c>
      <c r="F698" s="21" t="s">
        <v>1352</v>
      </c>
      <c r="G698" s="21">
        <v>38</v>
      </c>
      <c r="H698" s="36">
        <v>119</v>
      </c>
      <c r="I698" s="23" t="s">
        <v>1257</v>
      </c>
      <c r="J698" s="24" t="s">
        <v>23</v>
      </c>
      <c r="K698" s="23" t="s">
        <v>31</v>
      </c>
      <c r="L698" s="25" t="s">
        <v>459</v>
      </c>
      <c r="M698" s="21" t="s">
        <v>767</v>
      </c>
      <c r="N698" s="37">
        <v>50.18</v>
      </c>
      <c r="O698" s="37">
        <v>11.86</v>
      </c>
      <c r="P698" s="26">
        <f t="shared" si="102"/>
        <v>38.32</v>
      </c>
      <c r="Q698" s="27">
        <v>430</v>
      </c>
      <c r="R698" s="28">
        <f t="shared" si="101"/>
        <v>16477.599999999999</v>
      </c>
      <c r="S698" s="27"/>
      <c r="T698" s="29"/>
      <c r="V698" s="29" t="s">
        <v>24</v>
      </c>
      <c r="W698" s="27">
        <v>145</v>
      </c>
      <c r="X698" s="30">
        <f t="shared" si="103"/>
        <v>5556.4</v>
      </c>
      <c r="Y698" s="31">
        <v>150</v>
      </c>
      <c r="Z698" s="31">
        <f t="shared" si="104"/>
        <v>5748</v>
      </c>
      <c r="AA698" s="29">
        <f t="shared" si="105"/>
        <v>27782</v>
      </c>
    </row>
    <row r="699" spans="1:27" s="32" customFormat="1" x14ac:dyDescent="0.25">
      <c r="A699" s="18">
        <v>703</v>
      </c>
      <c r="B699" s="19">
        <v>46040</v>
      </c>
      <c r="C699" s="19">
        <v>46041</v>
      </c>
      <c r="D699" s="46">
        <v>260119004</v>
      </c>
      <c r="E699" s="21" t="s">
        <v>1353</v>
      </c>
      <c r="F699" s="21" t="s">
        <v>1354</v>
      </c>
      <c r="G699" s="21">
        <v>46</v>
      </c>
      <c r="H699" s="36">
        <v>119</v>
      </c>
      <c r="I699" s="23" t="s">
        <v>1257</v>
      </c>
      <c r="J699" s="24" t="s">
        <v>23</v>
      </c>
      <c r="K699" s="23" t="s">
        <v>31</v>
      </c>
      <c r="L699" s="25" t="s">
        <v>219</v>
      </c>
      <c r="M699" s="21" t="s">
        <v>767</v>
      </c>
      <c r="N699" s="37">
        <v>62</v>
      </c>
      <c r="O699" s="37">
        <v>15.48</v>
      </c>
      <c r="P699" s="26">
        <f t="shared" si="102"/>
        <v>46.519999999999996</v>
      </c>
      <c r="Q699" s="27">
        <v>430</v>
      </c>
      <c r="R699" s="28">
        <f t="shared" si="101"/>
        <v>20003.599999999999</v>
      </c>
      <c r="S699" s="27"/>
      <c r="T699" s="29"/>
      <c r="V699" s="29" t="s">
        <v>24</v>
      </c>
      <c r="W699" s="27">
        <v>145</v>
      </c>
      <c r="X699" s="30">
        <f t="shared" si="103"/>
        <v>6745.4</v>
      </c>
      <c r="Y699" s="31">
        <v>150</v>
      </c>
      <c r="Z699" s="31">
        <f t="shared" si="104"/>
        <v>6977.9999999999991</v>
      </c>
      <c r="AA699" s="29">
        <f t="shared" si="105"/>
        <v>33727</v>
      </c>
    </row>
    <row r="700" spans="1:27" s="32" customFormat="1" x14ac:dyDescent="0.25">
      <c r="A700" s="18">
        <v>704</v>
      </c>
      <c r="B700" s="19">
        <v>46040</v>
      </c>
      <c r="C700" s="19">
        <v>46041</v>
      </c>
      <c r="D700" s="46">
        <v>260119005</v>
      </c>
      <c r="E700" s="21" t="s">
        <v>1355</v>
      </c>
      <c r="F700" s="21" t="s">
        <v>1356</v>
      </c>
      <c r="G700" s="21">
        <v>48</v>
      </c>
      <c r="H700" s="36">
        <v>119</v>
      </c>
      <c r="I700" s="23" t="s">
        <v>1257</v>
      </c>
      <c r="J700" s="24" t="s">
        <v>23</v>
      </c>
      <c r="K700" s="23" t="s">
        <v>31</v>
      </c>
      <c r="L700" s="25" t="s">
        <v>37</v>
      </c>
      <c r="M700" s="21" t="s">
        <v>767</v>
      </c>
      <c r="N700" s="37">
        <v>63.84</v>
      </c>
      <c r="O700" s="37">
        <v>15.8</v>
      </c>
      <c r="P700" s="26">
        <f t="shared" si="102"/>
        <v>48.040000000000006</v>
      </c>
      <c r="Q700" s="27">
        <v>430</v>
      </c>
      <c r="R700" s="28">
        <f t="shared" si="101"/>
        <v>20657.200000000004</v>
      </c>
      <c r="S700" s="27"/>
      <c r="T700" s="29"/>
      <c r="V700" s="29" t="s">
        <v>24</v>
      </c>
      <c r="W700" s="27">
        <v>145</v>
      </c>
      <c r="X700" s="30">
        <f t="shared" si="103"/>
        <v>6965.8000000000011</v>
      </c>
      <c r="Y700" s="31">
        <v>150</v>
      </c>
      <c r="Z700" s="31">
        <f t="shared" si="104"/>
        <v>7206.0000000000009</v>
      </c>
      <c r="AA700" s="29">
        <f t="shared" si="105"/>
        <v>34829.000000000007</v>
      </c>
    </row>
    <row r="701" spans="1:27" s="38" customFormat="1" x14ac:dyDescent="0.25">
      <c r="A701" s="18">
        <v>705</v>
      </c>
      <c r="B701" s="19">
        <v>46040</v>
      </c>
      <c r="C701" s="19">
        <v>46041</v>
      </c>
      <c r="D701" s="46">
        <v>260119006</v>
      </c>
      <c r="E701" s="21" t="s">
        <v>1357</v>
      </c>
      <c r="F701" s="21" t="s">
        <v>1358</v>
      </c>
      <c r="G701" s="21">
        <v>37</v>
      </c>
      <c r="H701" s="36">
        <v>119</v>
      </c>
      <c r="I701" s="23" t="s">
        <v>1257</v>
      </c>
      <c r="J701" s="24" t="s">
        <v>23</v>
      </c>
      <c r="K701" s="23" t="s">
        <v>31</v>
      </c>
      <c r="L701" s="20" t="s">
        <v>43</v>
      </c>
      <c r="M701" s="21" t="s">
        <v>767</v>
      </c>
      <c r="N701" s="37">
        <v>48.46</v>
      </c>
      <c r="O701" s="37">
        <v>11.26</v>
      </c>
      <c r="P701" s="26">
        <f t="shared" si="102"/>
        <v>37.200000000000003</v>
      </c>
      <c r="Q701" s="27">
        <v>430</v>
      </c>
      <c r="R701" s="28">
        <f t="shared" si="101"/>
        <v>15996.000000000002</v>
      </c>
      <c r="S701" s="21"/>
      <c r="T701" s="29"/>
      <c r="V701" s="29" t="s">
        <v>24</v>
      </c>
      <c r="W701" s="27">
        <v>145</v>
      </c>
      <c r="X701" s="30">
        <f t="shared" si="103"/>
        <v>5394</v>
      </c>
      <c r="Y701" s="31">
        <v>150</v>
      </c>
      <c r="Z701" s="31">
        <f t="shared" si="104"/>
        <v>5580</v>
      </c>
      <c r="AA701" s="29">
        <f t="shared" si="105"/>
        <v>26970</v>
      </c>
    </row>
    <row r="702" spans="1:27" s="32" customFormat="1" x14ac:dyDescent="0.25">
      <c r="A702" s="18">
        <v>706</v>
      </c>
      <c r="B702" s="19">
        <v>46040</v>
      </c>
      <c r="C702" s="19">
        <v>46041</v>
      </c>
      <c r="D702" s="46">
        <v>260119007</v>
      </c>
      <c r="E702" s="21" t="s">
        <v>1359</v>
      </c>
      <c r="F702" s="21" t="s">
        <v>1360</v>
      </c>
      <c r="G702" s="21">
        <v>50</v>
      </c>
      <c r="H702" s="36">
        <v>119</v>
      </c>
      <c r="I702" s="23" t="s">
        <v>1257</v>
      </c>
      <c r="J702" s="24" t="s">
        <v>23</v>
      </c>
      <c r="K702" s="23" t="s">
        <v>31</v>
      </c>
      <c r="L702" s="20" t="s">
        <v>704</v>
      </c>
      <c r="M702" s="21" t="s">
        <v>767</v>
      </c>
      <c r="N702" s="37">
        <v>65.8</v>
      </c>
      <c r="O702" s="37">
        <v>15.3</v>
      </c>
      <c r="P702" s="26">
        <f t="shared" si="102"/>
        <v>50.5</v>
      </c>
      <c r="Q702" s="27">
        <v>430</v>
      </c>
      <c r="R702" s="28">
        <f t="shared" si="101"/>
        <v>21715</v>
      </c>
      <c r="S702" s="27"/>
      <c r="T702" s="29"/>
      <c r="V702" s="29" t="s">
        <v>24</v>
      </c>
      <c r="W702" s="27">
        <v>145</v>
      </c>
      <c r="X702" s="30">
        <f t="shared" si="103"/>
        <v>7322.5</v>
      </c>
      <c r="Y702" s="31">
        <v>150</v>
      </c>
      <c r="Z702" s="31">
        <f t="shared" si="104"/>
        <v>7575</v>
      </c>
      <c r="AA702" s="29">
        <f t="shared" si="105"/>
        <v>36612.5</v>
      </c>
    </row>
    <row r="703" spans="1:27" s="32" customFormat="1" x14ac:dyDescent="0.25">
      <c r="A703" s="18">
        <v>707</v>
      </c>
      <c r="B703" s="19">
        <v>46040</v>
      </c>
      <c r="C703" s="19">
        <v>46041</v>
      </c>
      <c r="D703" s="46">
        <v>260119008</v>
      </c>
      <c r="E703" s="21" t="s">
        <v>1361</v>
      </c>
      <c r="F703" s="21" t="s">
        <v>1362</v>
      </c>
      <c r="G703" s="21">
        <v>50</v>
      </c>
      <c r="H703" s="36">
        <v>119</v>
      </c>
      <c r="I703" s="23" t="s">
        <v>1257</v>
      </c>
      <c r="J703" s="24" t="s">
        <v>23</v>
      </c>
      <c r="K703" s="23" t="s">
        <v>31</v>
      </c>
      <c r="L703" s="50" t="s">
        <v>219</v>
      </c>
      <c r="M703" s="21" t="s">
        <v>767</v>
      </c>
      <c r="N703" s="37">
        <v>65.94</v>
      </c>
      <c r="O703" s="37">
        <v>15.46</v>
      </c>
      <c r="P703" s="26">
        <f t="shared" si="102"/>
        <v>50.48</v>
      </c>
      <c r="Q703" s="27">
        <v>430</v>
      </c>
      <c r="R703" s="28">
        <f t="shared" si="101"/>
        <v>21706.399999999998</v>
      </c>
      <c r="S703" s="27"/>
      <c r="T703" s="29"/>
      <c r="V703" s="29" t="s">
        <v>24</v>
      </c>
      <c r="W703" s="27">
        <v>145</v>
      </c>
      <c r="X703" s="30">
        <f t="shared" si="103"/>
        <v>7319.5999999999995</v>
      </c>
      <c r="Y703" s="31">
        <v>150</v>
      </c>
      <c r="Z703" s="31">
        <f t="shared" si="104"/>
        <v>7571.9999999999991</v>
      </c>
      <c r="AA703" s="29">
        <f t="shared" si="105"/>
        <v>36597.999999999993</v>
      </c>
    </row>
    <row r="704" spans="1:27" s="38" customFormat="1" x14ac:dyDescent="0.25">
      <c r="A704" s="18">
        <v>708</v>
      </c>
      <c r="B704" s="19">
        <v>46040</v>
      </c>
      <c r="C704" s="19">
        <v>46041</v>
      </c>
      <c r="D704" s="46">
        <v>260119009</v>
      </c>
      <c r="E704" s="21" t="s">
        <v>1363</v>
      </c>
      <c r="F704" s="21" t="s">
        <v>1364</v>
      </c>
      <c r="G704" s="21">
        <v>37</v>
      </c>
      <c r="H704" s="36">
        <v>119</v>
      </c>
      <c r="I704" s="23" t="s">
        <v>1257</v>
      </c>
      <c r="J704" s="24" t="s">
        <v>23</v>
      </c>
      <c r="K704" s="23" t="s">
        <v>31</v>
      </c>
      <c r="L704" s="25" t="s">
        <v>459</v>
      </c>
      <c r="M704" s="21" t="s">
        <v>767</v>
      </c>
      <c r="N704" s="37">
        <v>49.4</v>
      </c>
      <c r="O704" s="37">
        <v>11.86</v>
      </c>
      <c r="P704" s="26">
        <f t="shared" si="102"/>
        <v>37.54</v>
      </c>
      <c r="Q704" s="27">
        <v>430</v>
      </c>
      <c r="R704" s="28">
        <f t="shared" si="101"/>
        <v>16142.199999999999</v>
      </c>
      <c r="S704" s="27"/>
      <c r="T704" s="29"/>
      <c r="V704" s="29" t="s">
        <v>24</v>
      </c>
      <c r="W704" s="27">
        <v>145</v>
      </c>
      <c r="X704" s="30">
        <f t="shared" si="103"/>
        <v>5443.3</v>
      </c>
      <c r="Y704" s="31">
        <v>150</v>
      </c>
      <c r="Z704" s="31">
        <f t="shared" si="104"/>
        <v>5631</v>
      </c>
      <c r="AA704" s="29">
        <f t="shared" si="105"/>
        <v>27216.5</v>
      </c>
    </row>
    <row r="705" spans="1:27" s="32" customFormat="1" x14ac:dyDescent="0.25">
      <c r="A705" s="18">
        <v>709</v>
      </c>
      <c r="B705" s="19">
        <v>46040</v>
      </c>
      <c r="C705" s="19">
        <v>46041</v>
      </c>
      <c r="D705" s="46">
        <v>260119010</v>
      </c>
      <c r="E705" s="21" t="s">
        <v>1365</v>
      </c>
      <c r="F705" s="21" t="s">
        <v>1366</v>
      </c>
      <c r="G705" s="21">
        <v>32</v>
      </c>
      <c r="H705" s="44">
        <v>115</v>
      </c>
      <c r="I705" s="23" t="s">
        <v>33</v>
      </c>
      <c r="J705" s="24" t="s">
        <v>23</v>
      </c>
      <c r="K705" s="35" t="s">
        <v>31</v>
      </c>
      <c r="L705" s="25" t="s">
        <v>51</v>
      </c>
      <c r="M705" s="21" t="s">
        <v>35</v>
      </c>
      <c r="N705" s="37">
        <v>51.52</v>
      </c>
      <c r="O705" s="37">
        <v>11.46</v>
      </c>
      <c r="P705" s="26">
        <f t="shared" si="102"/>
        <v>40.06</v>
      </c>
      <c r="Q705" s="27">
        <v>445</v>
      </c>
      <c r="R705" s="28">
        <f t="shared" si="101"/>
        <v>17826.7</v>
      </c>
      <c r="S705" s="27"/>
      <c r="T705" s="29"/>
      <c r="V705" s="29" t="s">
        <v>24</v>
      </c>
      <c r="W705" s="27">
        <v>145</v>
      </c>
      <c r="X705" s="30">
        <f t="shared" si="103"/>
        <v>5808.7000000000007</v>
      </c>
      <c r="Y705" s="31">
        <v>260</v>
      </c>
      <c r="Z705" s="31">
        <f t="shared" si="104"/>
        <v>10415.6</v>
      </c>
      <c r="AA705" s="29">
        <f t="shared" si="105"/>
        <v>34051</v>
      </c>
    </row>
    <row r="706" spans="1:27" s="38" customFormat="1" x14ac:dyDescent="0.25">
      <c r="A706" s="18">
        <v>710</v>
      </c>
      <c r="B706" s="19">
        <v>46040</v>
      </c>
      <c r="C706" s="19">
        <v>46041</v>
      </c>
      <c r="D706" s="46">
        <v>260119011</v>
      </c>
      <c r="E706" s="21" t="s">
        <v>1367</v>
      </c>
      <c r="F706" s="21" t="s">
        <v>1368</v>
      </c>
      <c r="G706" s="21">
        <v>38</v>
      </c>
      <c r="H706" s="44">
        <v>115</v>
      </c>
      <c r="I706" s="23" t="s">
        <v>33</v>
      </c>
      <c r="J706" s="24" t="s">
        <v>23</v>
      </c>
      <c r="K706" s="35" t="s">
        <v>31</v>
      </c>
      <c r="L706" s="20" t="s">
        <v>124</v>
      </c>
      <c r="M706" s="21" t="s">
        <v>32</v>
      </c>
      <c r="N706" s="37">
        <v>51.52</v>
      </c>
      <c r="O706" s="37">
        <v>12.82</v>
      </c>
      <c r="P706" s="26">
        <f t="shared" si="102"/>
        <v>38.700000000000003</v>
      </c>
      <c r="Q706" s="27">
        <v>315</v>
      </c>
      <c r="R706" s="28">
        <f t="shared" si="101"/>
        <v>12190.5</v>
      </c>
      <c r="S706" s="21"/>
      <c r="T706" s="29"/>
      <c r="V706" s="29" t="s">
        <v>24</v>
      </c>
      <c r="W706" s="27">
        <v>145</v>
      </c>
      <c r="X706" s="30">
        <f t="shared" si="103"/>
        <v>5611.5</v>
      </c>
      <c r="Y706" s="31">
        <v>260</v>
      </c>
      <c r="Z706" s="31">
        <f t="shared" si="104"/>
        <v>10062</v>
      </c>
      <c r="AA706" s="29">
        <f t="shared" si="105"/>
        <v>27864</v>
      </c>
    </row>
    <row r="707" spans="1:27" s="32" customFormat="1" x14ac:dyDescent="0.25">
      <c r="A707" s="18">
        <v>711</v>
      </c>
      <c r="B707" s="19">
        <v>46040</v>
      </c>
      <c r="C707" s="19">
        <v>46041</v>
      </c>
      <c r="D707" s="46">
        <v>260119012</v>
      </c>
      <c r="E707" s="21" t="s">
        <v>1369</v>
      </c>
      <c r="F707" s="21" t="s">
        <v>1370</v>
      </c>
      <c r="G707" s="21">
        <v>46</v>
      </c>
      <c r="H707" s="36">
        <v>119</v>
      </c>
      <c r="I707" s="23" t="s">
        <v>1257</v>
      </c>
      <c r="J707" s="24" t="s">
        <v>23</v>
      </c>
      <c r="K707" s="23" t="s">
        <v>31</v>
      </c>
      <c r="L707" s="20" t="s">
        <v>37</v>
      </c>
      <c r="M707" s="21" t="s">
        <v>767</v>
      </c>
      <c r="N707" s="37">
        <v>62.36</v>
      </c>
      <c r="O707" s="37">
        <v>15.78</v>
      </c>
      <c r="P707" s="26">
        <f t="shared" si="102"/>
        <v>46.58</v>
      </c>
      <c r="Q707" s="27">
        <v>430</v>
      </c>
      <c r="R707" s="28">
        <f t="shared" si="101"/>
        <v>20029.399999999998</v>
      </c>
      <c r="S707" s="27"/>
      <c r="T707" s="29"/>
      <c r="V707" s="29" t="s">
        <v>24</v>
      </c>
      <c r="W707" s="27">
        <v>145</v>
      </c>
      <c r="X707" s="30">
        <f t="shared" si="103"/>
        <v>6754.0999999999995</v>
      </c>
      <c r="Y707" s="31">
        <v>150</v>
      </c>
      <c r="Z707" s="31">
        <f t="shared" si="104"/>
        <v>6987</v>
      </c>
      <c r="AA707" s="29">
        <f t="shared" si="105"/>
        <v>33770.5</v>
      </c>
    </row>
    <row r="708" spans="1:27" s="32" customFormat="1" x14ac:dyDescent="0.25">
      <c r="A708" s="18">
        <v>712</v>
      </c>
      <c r="B708" s="19">
        <v>46040</v>
      </c>
      <c r="C708" s="19">
        <v>46041</v>
      </c>
      <c r="D708" s="46">
        <v>260119013</v>
      </c>
      <c r="E708" s="21" t="s">
        <v>1371</v>
      </c>
      <c r="F708" s="21" t="s">
        <v>1372</v>
      </c>
      <c r="G708" s="21">
        <v>46</v>
      </c>
      <c r="H708" s="48">
        <v>53</v>
      </c>
      <c r="I708" s="52" t="s">
        <v>57</v>
      </c>
      <c r="J708" s="49" t="s">
        <v>23</v>
      </c>
      <c r="K708" s="23" t="s">
        <v>31</v>
      </c>
      <c r="L708" s="20" t="s">
        <v>38</v>
      </c>
      <c r="M708" s="21" t="s">
        <v>63</v>
      </c>
      <c r="N708" s="37">
        <v>61.6</v>
      </c>
      <c r="O708" s="37">
        <v>14.9</v>
      </c>
      <c r="P708" s="26">
        <f t="shared" si="102"/>
        <v>46.7</v>
      </c>
      <c r="Q708" s="27">
        <v>425</v>
      </c>
      <c r="R708" s="28">
        <f t="shared" si="101"/>
        <v>19847.5</v>
      </c>
      <c r="S708" s="27"/>
      <c r="T708" s="29"/>
      <c r="V708" s="29" t="s">
        <v>24</v>
      </c>
      <c r="W708" s="27">
        <v>145</v>
      </c>
      <c r="X708" s="30">
        <f t="shared" si="103"/>
        <v>6771.5</v>
      </c>
      <c r="Y708" s="31">
        <v>210</v>
      </c>
      <c r="Z708" s="31">
        <f t="shared" si="104"/>
        <v>9807</v>
      </c>
      <c r="AA708" s="29">
        <f t="shared" si="105"/>
        <v>36426</v>
      </c>
    </row>
    <row r="709" spans="1:27" s="32" customFormat="1" x14ac:dyDescent="0.25">
      <c r="A709" s="18">
        <v>713</v>
      </c>
      <c r="B709" s="19">
        <v>46040</v>
      </c>
      <c r="C709" s="19">
        <v>46041</v>
      </c>
      <c r="D709" s="20">
        <v>260119014</v>
      </c>
      <c r="E709" s="21" t="s">
        <v>1373</v>
      </c>
      <c r="F709" s="21" t="s">
        <v>1374</v>
      </c>
      <c r="G709" s="21">
        <v>32</v>
      </c>
      <c r="H709" s="44">
        <v>115</v>
      </c>
      <c r="I709" s="23" t="s">
        <v>33</v>
      </c>
      <c r="J709" s="24" t="s">
        <v>23</v>
      </c>
      <c r="K709" s="35" t="s">
        <v>31</v>
      </c>
      <c r="L709" s="25" t="s">
        <v>39</v>
      </c>
      <c r="M709" s="21" t="s">
        <v>35</v>
      </c>
      <c r="N709" s="37">
        <v>50.2</v>
      </c>
      <c r="O709" s="37">
        <v>11.62</v>
      </c>
      <c r="P709" s="26">
        <f t="shared" si="102"/>
        <v>38.580000000000005</v>
      </c>
      <c r="Q709" s="27">
        <v>445</v>
      </c>
      <c r="R709" s="28">
        <f t="shared" si="101"/>
        <v>17168.100000000002</v>
      </c>
      <c r="S709" s="27"/>
      <c r="T709" s="29"/>
      <c r="V709" s="29" t="s">
        <v>24</v>
      </c>
      <c r="W709" s="27">
        <v>145</v>
      </c>
      <c r="X709" s="30">
        <f t="shared" si="103"/>
        <v>5594.1</v>
      </c>
      <c r="Y709" s="31">
        <v>260</v>
      </c>
      <c r="Z709" s="31">
        <f t="shared" si="104"/>
        <v>10030.800000000001</v>
      </c>
      <c r="AA709" s="29">
        <f t="shared" si="105"/>
        <v>32793.000000000007</v>
      </c>
    </row>
    <row r="710" spans="1:27" s="32" customFormat="1" x14ac:dyDescent="0.25">
      <c r="A710" s="18">
        <v>714</v>
      </c>
      <c r="B710" s="19">
        <v>46040</v>
      </c>
      <c r="C710" s="19">
        <v>46041</v>
      </c>
      <c r="D710" s="20">
        <v>260119016</v>
      </c>
      <c r="E710" s="21" t="s">
        <v>1375</v>
      </c>
      <c r="F710" s="21" t="s">
        <v>1376</v>
      </c>
      <c r="G710" s="21">
        <v>52</v>
      </c>
      <c r="H710" s="44">
        <v>115</v>
      </c>
      <c r="I710" s="23" t="s">
        <v>33</v>
      </c>
      <c r="J710" s="24" t="s">
        <v>23</v>
      </c>
      <c r="K710" s="35" t="s">
        <v>31</v>
      </c>
      <c r="L710" s="25" t="s">
        <v>66</v>
      </c>
      <c r="M710" s="21" t="s">
        <v>34</v>
      </c>
      <c r="N710" s="37">
        <v>67.400000000000006</v>
      </c>
      <c r="O710" s="37">
        <v>15.34</v>
      </c>
      <c r="P710" s="26">
        <f t="shared" si="102"/>
        <v>52.06</v>
      </c>
      <c r="Q710" s="27">
        <v>545</v>
      </c>
      <c r="R710" s="28">
        <f t="shared" si="101"/>
        <v>28372.7</v>
      </c>
      <c r="S710" s="27"/>
      <c r="T710" s="29"/>
      <c r="V710" s="29" t="s">
        <v>24</v>
      </c>
      <c r="W710" s="27">
        <v>145</v>
      </c>
      <c r="X710" s="30">
        <f t="shared" si="103"/>
        <v>7548.7000000000007</v>
      </c>
      <c r="Y710" s="31">
        <v>260</v>
      </c>
      <c r="Z710" s="31">
        <f t="shared" si="104"/>
        <v>13535.6</v>
      </c>
      <c r="AA710" s="29">
        <f t="shared" si="105"/>
        <v>49457</v>
      </c>
    </row>
    <row r="711" spans="1:27" s="32" customFormat="1" x14ac:dyDescent="0.25">
      <c r="A711" s="18">
        <v>715</v>
      </c>
      <c r="B711" s="19">
        <v>46040</v>
      </c>
      <c r="C711" s="19">
        <v>46041</v>
      </c>
      <c r="D711" s="20">
        <v>260119017</v>
      </c>
      <c r="E711" s="21" t="s">
        <v>1377</v>
      </c>
      <c r="F711" s="21" t="s">
        <v>1378</v>
      </c>
      <c r="G711" s="21">
        <v>32</v>
      </c>
      <c r="H711" s="44">
        <v>115</v>
      </c>
      <c r="I711" s="23" t="s">
        <v>33</v>
      </c>
      <c r="J711" s="24" t="s">
        <v>23</v>
      </c>
      <c r="K711" s="35" t="s">
        <v>31</v>
      </c>
      <c r="L711" s="21" t="s">
        <v>42</v>
      </c>
      <c r="M711" s="21" t="s">
        <v>35</v>
      </c>
      <c r="N711" s="37">
        <v>51.96</v>
      </c>
      <c r="O711" s="37">
        <v>11.7</v>
      </c>
      <c r="P711" s="26">
        <f t="shared" si="102"/>
        <v>40.260000000000005</v>
      </c>
      <c r="Q711" s="27">
        <v>445</v>
      </c>
      <c r="R711" s="28">
        <f t="shared" si="101"/>
        <v>17915.7</v>
      </c>
      <c r="S711" s="27"/>
      <c r="T711" s="29"/>
      <c r="V711" s="29" t="s">
        <v>24</v>
      </c>
      <c r="W711" s="27">
        <v>145</v>
      </c>
      <c r="X711" s="30">
        <f t="shared" si="103"/>
        <v>5837.7000000000007</v>
      </c>
      <c r="Y711" s="31">
        <v>260</v>
      </c>
      <c r="Z711" s="31">
        <f t="shared" si="104"/>
        <v>10467.600000000002</v>
      </c>
      <c r="AA711" s="29">
        <f t="shared" si="105"/>
        <v>34221</v>
      </c>
    </row>
    <row r="712" spans="1:27" s="38" customFormat="1" x14ac:dyDescent="0.25">
      <c r="A712" s="18">
        <v>716</v>
      </c>
      <c r="B712" s="19">
        <v>46040</v>
      </c>
      <c r="C712" s="19">
        <v>46041</v>
      </c>
      <c r="D712" s="46">
        <v>260119018</v>
      </c>
      <c r="E712" s="21" t="s">
        <v>1379</v>
      </c>
      <c r="F712" s="21" t="s">
        <v>1380</v>
      </c>
      <c r="G712" s="21">
        <v>44</v>
      </c>
      <c r="H712" s="44">
        <v>115</v>
      </c>
      <c r="I712" s="23" t="s">
        <v>33</v>
      </c>
      <c r="J712" s="24" t="s">
        <v>23</v>
      </c>
      <c r="K712" s="35" t="s">
        <v>31</v>
      </c>
      <c r="L712" s="21" t="s">
        <v>1381</v>
      </c>
      <c r="M712" s="21" t="s">
        <v>34</v>
      </c>
      <c r="N712" s="37">
        <v>62.6</v>
      </c>
      <c r="O712" s="37">
        <v>18.52</v>
      </c>
      <c r="P712" s="26">
        <f t="shared" si="102"/>
        <v>44.08</v>
      </c>
      <c r="Q712" s="27">
        <v>545</v>
      </c>
      <c r="R712" s="28">
        <f t="shared" si="101"/>
        <v>24023.599999999999</v>
      </c>
      <c r="S712" s="27"/>
      <c r="T712" s="29"/>
      <c r="V712" s="29" t="s">
        <v>24</v>
      </c>
      <c r="W712" s="27">
        <v>145</v>
      </c>
      <c r="X712" s="30">
        <f t="shared" si="103"/>
        <v>6391.5999999999995</v>
      </c>
      <c r="Y712" s="31">
        <v>260</v>
      </c>
      <c r="Z712" s="31">
        <f t="shared" si="104"/>
        <v>11460.8</v>
      </c>
      <c r="AA712" s="29">
        <f t="shared" si="105"/>
        <v>41876</v>
      </c>
    </row>
    <row r="713" spans="1:27" s="32" customFormat="1" x14ac:dyDescent="0.25">
      <c r="A713" s="18">
        <v>717</v>
      </c>
      <c r="B713" s="19">
        <v>46040</v>
      </c>
      <c r="C713" s="19">
        <v>46041</v>
      </c>
      <c r="D713" s="46">
        <v>260119015</v>
      </c>
      <c r="E713" s="21" t="s">
        <v>1382</v>
      </c>
      <c r="F713" s="21" t="s">
        <v>1383</v>
      </c>
      <c r="G713" s="21">
        <v>50</v>
      </c>
      <c r="H713" s="48">
        <v>53</v>
      </c>
      <c r="I713" s="52" t="s">
        <v>57</v>
      </c>
      <c r="J713" s="49" t="s">
        <v>23</v>
      </c>
      <c r="K713" s="23" t="s">
        <v>31</v>
      </c>
      <c r="L713" s="21" t="s">
        <v>140</v>
      </c>
      <c r="M713" s="21" t="s">
        <v>63</v>
      </c>
      <c r="N713" s="37">
        <v>67.62</v>
      </c>
      <c r="O713" s="37">
        <v>17.579999999999998</v>
      </c>
      <c r="P713" s="26">
        <f t="shared" si="102"/>
        <v>50.040000000000006</v>
      </c>
      <c r="Q713" s="27">
        <v>425</v>
      </c>
      <c r="R713" s="28">
        <f t="shared" si="101"/>
        <v>21267.000000000004</v>
      </c>
      <c r="S713" s="27"/>
      <c r="T713" s="29"/>
      <c r="V713" s="29" t="s">
        <v>24</v>
      </c>
      <c r="W713" s="27">
        <v>145</v>
      </c>
      <c r="X713" s="30">
        <f t="shared" si="103"/>
        <v>7255.8000000000011</v>
      </c>
      <c r="Y713" s="31">
        <v>210</v>
      </c>
      <c r="Z713" s="31">
        <f t="shared" si="104"/>
        <v>10508.400000000001</v>
      </c>
      <c r="AA713" s="29">
        <f t="shared" si="105"/>
        <v>39031.200000000004</v>
      </c>
    </row>
    <row r="714" spans="1:27" s="32" customFormat="1" x14ac:dyDescent="0.25">
      <c r="A714" s="18">
        <v>718</v>
      </c>
      <c r="B714" s="19">
        <v>46040</v>
      </c>
      <c r="C714" s="19">
        <v>46041</v>
      </c>
      <c r="D714" s="46">
        <v>260119019</v>
      </c>
      <c r="E714" s="21" t="s">
        <v>1384</v>
      </c>
      <c r="F714" s="21" t="s">
        <v>1385</v>
      </c>
      <c r="G714" s="21">
        <v>45</v>
      </c>
      <c r="H714" s="44">
        <v>115</v>
      </c>
      <c r="I714" s="23" t="s">
        <v>33</v>
      </c>
      <c r="J714" s="24" t="s">
        <v>23</v>
      </c>
      <c r="K714" s="35" t="s">
        <v>31</v>
      </c>
      <c r="L714" s="25" t="s">
        <v>62</v>
      </c>
      <c r="M714" s="21" t="s">
        <v>32</v>
      </c>
      <c r="N714" s="37">
        <v>60.44</v>
      </c>
      <c r="O714" s="37">
        <v>15.34</v>
      </c>
      <c r="P714" s="26">
        <f t="shared" si="102"/>
        <v>45.099999999999994</v>
      </c>
      <c r="Q714" s="27">
        <v>315</v>
      </c>
      <c r="R714" s="28">
        <f t="shared" si="101"/>
        <v>14206.499999999998</v>
      </c>
      <c r="S714" s="27"/>
      <c r="T714" s="29"/>
      <c r="V714" s="29" t="s">
        <v>24</v>
      </c>
      <c r="W714" s="27">
        <v>145</v>
      </c>
      <c r="X714" s="30">
        <f t="shared" si="103"/>
        <v>6539.4999999999991</v>
      </c>
      <c r="Y714" s="31">
        <v>260</v>
      </c>
      <c r="Z714" s="31">
        <f t="shared" si="104"/>
        <v>11725.999999999998</v>
      </c>
      <c r="AA714" s="29">
        <f t="shared" si="105"/>
        <v>32471.999999999993</v>
      </c>
    </row>
    <row r="715" spans="1:27" s="32" customFormat="1" x14ac:dyDescent="0.25">
      <c r="A715" s="18">
        <v>719</v>
      </c>
      <c r="B715" s="19">
        <v>46040</v>
      </c>
      <c r="C715" s="19">
        <v>46041</v>
      </c>
      <c r="D715" s="46">
        <v>260119020</v>
      </c>
      <c r="E715" s="21" t="s">
        <v>1386</v>
      </c>
      <c r="F715" s="21" t="s">
        <v>1387</v>
      </c>
      <c r="G715" s="21">
        <v>48</v>
      </c>
      <c r="H715" s="48">
        <v>53</v>
      </c>
      <c r="I715" s="52" t="s">
        <v>57</v>
      </c>
      <c r="J715" s="49" t="s">
        <v>23</v>
      </c>
      <c r="K715" s="23" t="s">
        <v>31</v>
      </c>
      <c r="L715" s="21" t="s">
        <v>55</v>
      </c>
      <c r="M715" s="21" t="s">
        <v>49</v>
      </c>
      <c r="N715" s="37">
        <v>70.680000000000007</v>
      </c>
      <c r="O715" s="37">
        <v>17.96</v>
      </c>
      <c r="P715" s="26">
        <f t="shared" si="102"/>
        <v>52.720000000000006</v>
      </c>
      <c r="Q715" s="27">
        <v>245</v>
      </c>
      <c r="R715" s="28">
        <f t="shared" si="101"/>
        <v>12916.400000000001</v>
      </c>
      <c r="S715" s="27"/>
      <c r="T715" s="29"/>
      <c r="V715" s="29" t="s">
        <v>24</v>
      </c>
      <c r="W715" s="27">
        <v>145</v>
      </c>
      <c r="X715" s="30">
        <f t="shared" si="103"/>
        <v>7644.4000000000005</v>
      </c>
      <c r="Y715" s="31">
        <v>210</v>
      </c>
      <c r="Z715" s="31">
        <f t="shared" si="104"/>
        <v>11071.2</v>
      </c>
      <c r="AA715" s="29">
        <f t="shared" si="105"/>
        <v>31632.000000000004</v>
      </c>
    </row>
    <row r="716" spans="1:27" s="32" customFormat="1" x14ac:dyDescent="0.25">
      <c r="A716" s="18">
        <v>720</v>
      </c>
      <c r="B716" s="19">
        <v>46040</v>
      </c>
      <c r="C716" s="19">
        <v>46041</v>
      </c>
      <c r="D716" s="20">
        <v>260119021</v>
      </c>
      <c r="E716" s="21" t="s">
        <v>1388</v>
      </c>
      <c r="F716" s="21" t="s">
        <v>1389</v>
      </c>
      <c r="G716" s="21">
        <v>27</v>
      </c>
      <c r="H716" s="44">
        <v>115</v>
      </c>
      <c r="I716" s="23" t="s">
        <v>33</v>
      </c>
      <c r="J716" s="24" t="s">
        <v>23</v>
      </c>
      <c r="K716" s="35" t="s">
        <v>31</v>
      </c>
      <c r="L716" s="21" t="s">
        <v>40</v>
      </c>
      <c r="M716" s="21" t="s">
        <v>32</v>
      </c>
      <c r="N716" s="37">
        <v>45.78</v>
      </c>
      <c r="O716" s="37">
        <v>11.46</v>
      </c>
      <c r="P716" s="26">
        <f t="shared" si="102"/>
        <v>34.32</v>
      </c>
      <c r="Q716" s="27">
        <v>315</v>
      </c>
      <c r="R716" s="28">
        <f t="shared" si="101"/>
        <v>10810.8</v>
      </c>
      <c r="S716" s="27"/>
      <c r="T716" s="29"/>
      <c r="V716" s="29" t="s">
        <v>24</v>
      </c>
      <c r="W716" s="27">
        <v>145</v>
      </c>
      <c r="X716" s="30">
        <f t="shared" si="103"/>
        <v>4976.3999999999996</v>
      </c>
      <c r="Y716" s="31">
        <v>260</v>
      </c>
      <c r="Z716" s="31">
        <f t="shared" si="104"/>
        <v>8923.2000000000007</v>
      </c>
      <c r="AA716" s="29">
        <f t="shared" si="105"/>
        <v>24710.400000000001</v>
      </c>
    </row>
    <row r="717" spans="1:27" s="32" customFormat="1" x14ac:dyDescent="0.25">
      <c r="A717" s="18">
        <v>721</v>
      </c>
      <c r="B717" s="19">
        <v>46041</v>
      </c>
      <c r="C717" s="19">
        <v>46041</v>
      </c>
      <c r="D717" s="20" t="s">
        <v>1390</v>
      </c>
      <c r="E717" s="21"/>
      <c r="F717" s="21"/>
      <c r="G717" s="21"/>
      <c r="H717" s="62"/>
      <c r="I717" s="23" t="s">
        <v>201</v>
      </c>
      <c r="J717" s="24" t="s">
        <v>23</v>
      </c>
      <c r="K717" s="35" t="s">
        <v>31</v>
      </c>
      <c r="L717" s="25" t="s">
        <v>212</v>
      </c>
      <c r="M717" s="21" t="s">
        <v>203</v>
      </c>
      <c r="N717" s="21">
        <v>26.58</v>
      </c>
      <c r="O717" s="21">
        <v>15.02</v>
      </c>
      <c r="P717" s="26">
        <f t="shared" si="102"/>
        <v>11.559999999999999</v>
      </c>
      <c r="Q717" s="27">
        <v>0</v>
      </c>
      <c r="R717" s="28">
        <f t="shared" si="101"/>
        <v>0</v>
      </c>
      <c r="S717" s="27"/>
      <c r="T717" s="29"/>
      <c r="V717" s="29" t="s">
        <v>24</v>
      </c>
      <c r="W717" s="27"/>
      <c r="X717" s="30">
        <f t="shared" ref="X717:X759" si="106">P717*W717</f>
        <v>0</v>
      </c>
      <c r="Y717" s="31"/>
      <c r="Z717" s="31">
        <f t="shared" ref="Z717:Z759" si="107">P717*Y717</f>
        <v>0</v>
      </c>
      <c r="AA717" s="29">
        <f t="shared" ref="AA717:AA759" si="108">R717+X717+Z717</f>
        <v>0</v>
      </c>
    </row>
    <row r="718" spans="1:27" s="32" customFormat="1" x14ac:dyDescent="0.25">
      <c r="A718" s="18">
        <v>722</v>
      </c>
      <c r="B718" s="19">
        <v>46041</v>
      </c>
      <c r="C718" s="19">
        <v>46041</v>
      </c>
      <c r="D718" s="20" t="s">
        <v>1391</v>
      </c>
      <c r="E718" s="21"/>
      <c r="F718" s="21"/>
      <c r="G718" s="21"/>
      <c r="H718" s="62"/>
      <c r="I718" s="23" t="s">
        <v>201</v>
      </c>
      <c r="J718" s="24" t="s">
        <v>23</v>
      </c>
      <c r="K718" s="35" t="s">
        <v>31</v>
      </c>
      <c r="L718" s="25" t="s">
        <v>561</v>
      </c>
      <c r="M718" s="21" t="s">
        <v>203</v>
      </c>
      <c r="N718" s="83">
        <v>27.14</v>
      </c>
      <c r="O718" s="83">
        <v>15.16</v>
      </c>
      <c r="P718" s="26">
        <f t="shared" si="102"/>
        <v>11.98</v>
      </c>
      <c r="Q718" s="27">
        <v>0</v>
      </c>
      <c r="R718" s="28">
        <f t="shared" si="101"/>
        <v>0</v>
      </c>
      <c r="S718" s="27"/>
      <c r="T718" s="29"/>
      <c r="V718" s="29" t="s">
        <v>24</v>
      </c>
      <c r="W718" s="27"/>
      <c r="X718" s="30">
        <f t="shared" si="106"/>
        <v>0</v>
      </c>
      <c r="Y718" s="31"/>
      <c r="Z718" s="31">
        <f t="shared" si="107"/>
        <v>0</v>
      </c>
      <c r="AA718" s="29">
        <f t="shared" si="108"/>
        <v>0</v>
      </c>
    </row>
    <row r="719" spans="1:27" s="32" customFormat="1" x14ac:dyDescent="0.25">
      <c r="A719" s="18">
        <v>723</v>
      </c>
      <c r="B719" s="19">
        <v>46041</v>
      </c>
      <c r="C719" s="19">
        <v>46041</v>
      </c>
      <c r="D719" s="86" t="s">
        <v>1392</v>
      </c>
      <c r="E719" s="21"/>
      <c r="F719" s="21"/>
      <c r="G719" s="21"/>
      <c r="H719" s="62"/>
      <c r="I719" s="23" t="s">
        <v>201</v>
      </c>
      <c r="J719" s="24" t="s">
        <v>23</v>
      </c>
      <c r="K719" s="35" t="s">
        <v>31</v>
      </c>
      <c r="L719" s="82" t="s">
        <v>308</v>
      </c>
      <c r="M719" s="21" t="s">
        <v>203</v>
      </c>
      <c r="N719" s="21">
        <v>25.54</v>
      </c>
      <c r="O719" s="21">
        <v>14.28</v>
      </c>
      <c r="P719" s="26">
        <f t="shared" si="102"/>
        <v>11.26</v>
      </c>
      <c r="Q719" s="27">
        <v>0</v>
      </c>
      <c r="R719" s="28">
        <f t="shared" si="101"/>
        <v>0</v>
      </c>
      <c r="S719" s="27"/>
      <c r="T719" s="29"/>
      <c r="V719" s="29" t="s">
        <v>24</v>
      </c>
      <c r="W719" s="27"/>
      <c r="X719" s="30">
        <f t="shared" si="106"/>
        <v>0</v>
      </c>
      <c r="Y719" s="31"/>
      <c r="Z719" s="31">
        <f t="shared" si="107"/>
        <v>0</v>
      </c>
      <c r="AA719" s="29">
        <f t="shared" si="108"/>
        <v>0</v>
      </c>
    </row>
    <row r="720" spans="1:27" s="38" customFormat="1" x14ac:dyDescent="0.25">
      <c r="A720" s="18">
        <v>724</v>
      </c>
      <c r="B720" s="19">
        <v>46041</v>
      </c>
      <c r="C720" s="19">
        <v>46042</v>
      </c>
      <c r="D720" s="46">
        <v>260120001</v>
      </c>
      <c r="E720" s="21" t="s">
        <v>1393</v>
      </c>
      <c r="F720" s="21" t="s">
        <v>1394</v>
      </c>
      <c r="G720" s="21">
        <v>45</v>
      </c>
      <c r="H720" s="48">
        <v>53</v>
      </c>
      <c r="I720" s="52" t="s">
        <v>57</v>
      </c>
      <c r="J720" s="49" t="s">
        <v>23</v>
      </c>
      <c r="K720" s="23" t="s">
        <v>31</v>
      </c>
      <c r="L720" s="25" t="s">
        <v>46</v>
      </c>
      <c r="M720" s="21" t="s">
        <v>63</v>
      </c>
      <c r="N720" s="21">
        <v>61.94</v>
      </c>
      <c r="O720" s="37">
        <v>14.84</v>
      </c>
      <c r="P720" s="26">
        <f t="shared" si="102"/>
        <v>47.099999999999994</v>
      </c>
      <c r="Q720" s="27">
        <v>425</v>
      </c>
      <c r="R720" s="28">
        <f t="shared" si="101"/>
        <v>20017.499999999996</v>
      </c>
      <c r="S720" s="27"/>
      <c r="T720" s="29"/>
      <c r="V720" s="29" t="s">
        <v>24</v>
      </c>
      <c r="W720" s="27">
        <v>145</v>
      </c>
      <c r="X720" s="30">
        <f t="shared" si="106"/>
        <v>6829.4999999999991</v>
      </c>
      <c r="Y720" s="31">
        <v>210</v>
      </c>
      <c r="Z720" s="31">
        <f t="shared" si="107"/>
        <v>9890.9999999999982</v>
      </c>
      <c r="AA720" s="29">
        <f t="shared" si="108"/>
        <v>36737.999999999993</v>
      </c>
    </row>
    <row r="721" spans="1:38" s="32" customFormat="1" x14ac:dyDescent="0.25">
      <c r="A721" s="18">
        <v>725</v>
      </c>
      <c r="B721" s="19">
        <v>46042</v>
      </c>
      <c r="C721" s="19">
        <v>45677</v>
      </c>
      <c r="D721" s="51">
        <v>260120002</v>
      </c>
      <c r="E721" s="21" t="s">
        <v>1395</v>
      </c>
      <c r="F721" s="21" t="s">
        <v>1396</v>
      </c>
      <c r="G721" s="21">
        <v>41</v>
      </c>
      <c r="H721" s="44">
        <v>115</v>
      </c>
      <c r="I721" s="23" t="s">
        <v>33</v>
      </c>
      <c r="J721" s="24" t="s">
        <v>23</v>
      </c>
      <c r="K721" s="35" t="s">
        <v>31</v>
      </c>
      <c r="L721" s="32" t="s">
        <v>42</v>
      </c>
      <c r="M721" s="21" t="s">
        <v>35</v>
      </c>
      <c r="N721" s="21">
        <v>53.14</v>
      </c>
      <c r="O721" s="21">
        <v>11.7</v>
      </c>
      <c r="P721" s="26">
        <f t="shared" si="102"/>
        <v>41.44</v>
      </c>
      <c r="Q721" s="27">
        <v>445</v>
      </c>
      <c r="R721" s="28">
        <f t="shared" si="101"/>
        <v>18440.8</v>
      </c>
      <c r="S721" s="27"/>
      <c r="T721" s="29"/>
      <c r="V721" s="29" t="s">
        <v>24</v>
      </c>
      <c r="W721" s="27">
        <v>145</v>
      </c>
      <c r="X721" s="30">
        <f t="shared" si="106"/>
        <v>6008.7999999999993</v>
      </c>
      <c r="Y721" s="31">
        <v>260</v>
      </c>
      <c r="Z721" s="31">
        <f t="shared" si="107"/>
        <v>10774.4</v>
      </c>
      <c r="AA721" s="29">
        <f t="shared" si="108"/>
        <v>35224</v>
      </c>
    </row>
    <row r="722" spans="1:38" s="32" customFormat="1" x14ac:dyDescent="0.25">
      <c r="A722" s="18">
        <v>726</v>
      </c>
      <c r="B722" s="19">
        <v>46042</v>
      </c>
      <c r="C722" s="19">
        <v>45677</v>
      </c>
      <c r="D722" s="51">
        <v>260120003</v>
      </c>
      <c r="E722" s="21" t="s">
        <v>1397</v>
      </c>
      <c r="F722" s="21" t="s">
        <v>1398</v>
      </c>
      <c r="G722" s="21">
        <v>48</v>
      </c>
      <c r="H722" s="44">
        <v>115</v>
      </c>
      <c r="I722" s="23" t="s">
        <v>33</v>
      </c>
      <c r="J722" s="24" t="s">
        <v>23</v>
      </c>
      <c r="K722" s="35" t="s">
        <v>31</v>
      </c>
      <c r="L722" s="25" t="s">
        <v>1381</v>
      </c>
      <c r="M722" s="21" t="s">
        <v>34</v>
      </c>
      <c r="N722" s="83">
        <v>67.3</v>
      </c>
      <c r="O722" s="87">
        <v>18.66</v>
      </c>
      <c r="P722" s="26">
        <f t="shared" si="102"/>
        <v>48.64</v>
      </c>
      <c r="Q722" s="27">
        <v>545</v>
      </c>
      <c r="R722" s="28">
        <f t="shared" si="101"/>
        <v>26508.799999999999</v>
      </c>
      <c r="S722" s="27"/>
      <c r="T722" s="29"/>
      <c r="V722" s="29" t="s">
        <v>24</v>
      </c>
      <c r="W722" s="27">
        <v>145</v>
      </c>
      <c r="X722" s="30">
        <f t="shared" si="106"/>
        <v>7052.8</v>
      </c>
      <c r="Y722" s="31">
        <v>260</v>
      </c>
      <c r="Z722" s="31">
        <f t="shared" si="107"/>
        <v>12646.4</v>
      </c>
      <c r="AA722" s="29">
        <f t="shared" si="108"/>
        <v>46208</v>
      </c>
    </row>
    <row r="723" spans="1:38" s="32" customFormat="1" x14ac:dyDescent="0.25">
      <c r="A723" s="18">
        <v>727</v>
      </c>
      <c r="B723" s="19">
        <v>46042</v>
      </c>
      <c r="C723" s="19">
        <v>45677</v>
      </c>
      <c r="D723" s="51">
        <v>260120004</v>
      </c>
      <c r="E723" s="21" t="s">
        <v>1399</v>
      </c>
      <c r="F723" s="21" t="s">
        <v>1400</v>
      </c>
      <c r="G723" s="21">
        <v>48</v>
      </c>
      <c r="H723" s="44">
        <v>115</v>
      </c>
      <c r="I723" s="23" t="s">
        <v>33</v>
      </c>
      <c r="J723" s="24" t="s">
        <v>23</v>
      </c>
      <c r="K723" s="35" t="s">
        <v>31</v>
      </c>
      <c r="L723" s="82" t="s">
        <v>140</v>
      </c>
      <c r="M723" s="21" t="s">
        <v>32</v>
      </c>
      <c r="N723" s="21">
        <v>65.599999999999994</v>
      </c>
      <c r="O723" s="21">
        <v>17.5</v>
      </c>
      <c r="P723" s="26">
        <f t="shared" si="102"/>
        <v>48.099999999999994</v>
      </c>
      <c r="Q723" s="27">
        <v>315</v>
      </c>
      <c r="R723" s="28">
        <f t="shared" si="101"/>
        <v>15151.499999999998</v>
      </c>
      <c r="S723" s="27"/>
      <c r="T723" s="29"/>
      <c r="V723" s="29" t="s">
        <v>24</v>
      </c>
      <c r="W723" s="27">
        <v>145</v>
      </c>
      <c r="X723" s="30">
        <f t="shared" si="106"/>
        <v>6974.4999999999991</v>
      </c>
      <c r="Y723" s="31">
        <v>260</v>
      </c>
      <c r="Z723" s="31">
        <f t="shared" si="107"/>
        <v>12505.999999999998</v>
      </c>
      <c r="AA723" s="29">
        <f t="shared" si="108"/>
        <v>34631.999999999993</v>
      </c>
    </row>
    <row r="724" spans="1:38" s="38" customFormat="1" x14ac:dyDescent="0.25">
      <c r="A724" s="18">
        <v>728</v>
      </c>
      <c r="B724" s="19">
        <v>46042</v>
      </c>
      <c r="C724" s="19">
        <v>45677</v>
      </c>
      <c r="D724" s="51">
        <v>260120005</v>
      </c>
      <c r="E724" s="21" t="s">
        <v>1401</v>
      </c>
      <c r="F724" s="21" t="s">
        <v>1402</v>
      </c>
      <c r="G724" s="21">
        <v>46</v>
      </c>
      <c r="H724" s="44">
        <v>115</v>
      </c>
      <c r="I724" s="23" t="s">
        <v>33</v>
      </c>
      <c r="J724" s="24" t="s">
        <v>23</v>
      </c>
      <c r="K724" s="35" t="s">
        <v>31</v>
      </c>
      <c r="L724" s="25" t="s">
        <v>38</v>
      </c>
      <c r="M724" s="21" t="s">
        <v>32</v>
      </c>
      <c r="N724" s="21">
        <v>61.06</v>
      </c>
      <c r="O724" s="37">
        <v>14.88</v>
      </c>
      <c r="P724" s="26">
        <f t="shared" si="102"/>
        <v>46.18</v>
      </c>
      <c r="Q724" s="27">
        <v>315</v>
      </c>
      <c r="R724" s="28">
        <f t="shared" si="101"/>
        <v>14546.7</v>
      </c>
      <c r="S724" s="27"/>
      <c r="T724" s="29"/>
      <c r="V724" s="29" t="s">
        <v>24</v>
      </c>
      <c r="W724" s="27">
        <v>145</v>
      </c>
      <c r="X724" s="30">
        <f t="shared" si="106"/>
        <v>6696.1</v>
      </c>
      <c r="Y724" s="31">
        <v>260</v>
      </c>
      <c r="Z724" s="31">
        <f t="shared" si="107"/>
        <v>12006.8</v>
      </c>
      <c r="AA724" s="29">
        <f t="shared" si="108"/>
        <v>33249.600000000006</v>
      </c>
    </row>
    <row r="725" spans="1:38" s="32" customFormat="1" x14ac:dyDescent="0.25">
      <c r="A725" s="18">
        <v>729</v>
      </c>
      <c r="B725" s="19">
        <v>46042</v>
      </c>
      <c r="C725" s="19">
        <v>45677</v>
      </c>
      <c r="D725" s="51">
        <v>260120006</v>
      </c>
      <c r="E725" s="21" t="s">
        <v>1403</v>
      </c>
      <c r="F725" s="21" t="s">
        <v>1404</v>
      </c>
      <c r="G725" s="21">
        <v>45</v>
      </c>
      <c r="H725" s="44">
        <v>115</v>
      </c>
      <c r="I725" s="23" t="s">
        <v>33</v>
      </c>
      <c r="J725" s="24" t="s">
        <v>23</v>
      </c>
      <c r="K725" s="35" t="s">
        <v>31</v>
      </c>
      <c r="L725" s="25" t="s">
        <v>115</v>
      </c>
      <c r="M725" s="21" t="s">
        <v>34</v>
      </c>
      <c r="N725" s="37">
        <v>61.26</v>
      </c>
      <c r="O725" s="21">
        <v>15.62</v>
      </c>
      <c r="P725" s="26">
        <f t="shared" si="102"/>
        <v>45.64</v>
      </c>
      <c r="Q725" s="27">
        <v>545</v>
      </c>
      <c r="R725" s="28">
        <f t="shared" si="101"/>
        <v>24873.8</v>
      </c>
      <c r="S725" s="27"/>
      <c r="T725" s="29"/>
      <c r="V725" s="29" t="s">
        <v>24</v>
      </c>
      <c r="W725" s="27">
        <v>145</v>
      </c>
      <c r="X725" s="30">
        <f t="shared" si="106"/>
        <v>6617.8</v>
      </c>
      <c r="Y725" s="31">
        <v>260</v>
      </c>
      <c r="Z725" s="31">
        <f t="shared" si="107"/>
        <v>11866.4</v>
      </c>
      <c r="AA725" s="29">
        <f t="shared" si="108"/>
        <v>43358</v>
      </c>
    </row>
    <row r="726" spans="1:38" s="32" customFormat="1" x14ac:dyDescent="0.25">
      <c r="A726" s="18">
        <v>730</v>
      </c>
      <c r="B726" s="19">
        <v>46042</v>
      </c>
      <c r="C726" s="19">
        <v>45677</v>
      </c>
      <c r="D726" s="51">
        <v>260120007</v>
      </c>
      <c r="E726" s="21" t="s">
        <v>1405</v>
      </c>
      <c r="F726" s="21" t="s">
        <v>1406</v>
      </c>
      <c r="G726" s="21">
        <v>39</v>
      </c>
      <c r="H726" s="44">
        <v>115</v>
      </c>
      <c r="I726" s="23" t="s">
        <v>33</v>
      </c>
      <c r="J726" s="24" t="s">
        <v>23</v>
      </c>
      <c r="K726" s="35" t="s">
        <v>31</v>
      </c>
      <c r="L726" s="25" t="s">
        <v>40</v>
      </c>
      <c r="M726" s="21" t="s">
        <v>35</v>
      </c>
      <c r="N726" s="37">
        <v>50.88</v>
      </c>
      <c r="O726" s="37">
        <v>11.48</v>
      </c>
      <c r="P726" s="26">
        <f t="shared" si="102"/>
        <v>39.400000000000006</v>
      </c>
      <c r="Q726" s="27">
        <v>445</v>
      </c>
      <c r="R726" s="28">
        <f t="shared" si="101"/>
        <v>17533.000000000004</v>
      </c>
      <c r="S726" s="27"/>
      <c r="T726" s="29"/>
      <c r="V726" s="29" t="s">
        <v>24</v>
      </c>
      <c r="W726" s="27">
        <v>145</v>
      </c>
      <c r="X726" s="30">
        <f t="shared" si="106"/>
        <v>5713.0000000000009</v>
      </c>
      <c r="Y726" s="31">
        <v>260</v>
      </c>
      <c r="Z726" s="31">
        <f t="shared" si="107"/>
        <v>10244.000000000002</v>
      </c>
      <c r="AA726" s="29">
        <f t="shared" si="108"/>
        <v>33490.000000000007</v>
      </c>
    </row>
    <row r="727" spans="1:38" s="32" customFormat="1" x14ac:dyDescent="0.25">
      <c r="A727" s="18">
        <v>731</v>
      </c>
      <c r="B727" s="19">
        <v>46042</v>
      </c>
      <c r="C727" s="19">
        <v>45677</v>
      </c>
      <c r="D727" s="51">
        <v>260120008</v>
      </c>
      <c r="E727" s="21" t="s">
        <v>1407</v>
      </c>
      <c r="F727" s="21" t="s">
        <v>1408</v>
      </c>
      <c r="G727" s="21">
        <v>45</v>
      </c>
      <c r="H727" s="44">
        <v>115</v>
      </c>
      <c r="I727" s="23" t="s">
        <v>33</v>
      </c>
      <c r="J727" s="24" t="s">
        <v>23</v>
      </c>
      <c r="K727" s="35" t="s">
        <v>31</v>
      </c>
      <c r="L727" s="25" t="s">
        <v>117</v>
      </c>
      <c r="M727" s="21" t="s">
        <v>34</v>
      </c>
      <c r="N727" s="37">
        <v>61.26</v>
      </c>
      <c r="O727" s="37">
        <v>15.76</v>
      </c>
      <c r="P727" s="26">
        <f t="shared" si="102"/>
        <v>45.5</v>
      </c>
      <c r="Q727" s="27">
        <v>545</v>
      </c>
      <c r="R727" s="28">
        <f t="shared" si="101"/>
        <v>24797.5</v>
      </c>
      <c r="S727" s="27"/>
      <c r="T727" s="29"/>
      <c r="V727" s="29" t="s">
        <v>24</v>
      </c>
      <c r="W727" s="27">
        <v>145</v>
      </c>
      <c r="X727" s="30">
        <f t="shared" si="106"/>
        <v>6597.5</v>
      </c>
      <c r="Y727" s="31">
        <v>260</v>
      </c>
      <c r="Z727" s="31">
        <f t="shared" si="107"/>
        <v>11830</v>
      </c>
      <c r="AA727" s="29">
        <f t="shared" si="108"/>
        <v>43225</v>
      </c>
    </row>
    <row r="728" spans="1:38" s="32" customFormat="1" x14ac:dyDescent="0.25">
      <c r="A728" s="18">
        <v>732</v>
      </c>
      <c r="B728" s="19">
        <v>46042</v>
      </c>
      <c r="C728" s="19">
        <v>45677</v>
      </c>
      <c r="D728" s="51">
        <v>260120009</v>
      </c>
      <c r="E728" s="21" t="s">
        <v>1409</v>
      </c>
      <c r="F728" s="21" t="s">
        <v>1410</v>
      </c>
      <c r="G728" s="21">
        <v>36</v>
      </c>
      <c r="H728" s="44">
        <v>115</v>
      </c>
      <c r="I728" s="23" t="s">
        <v>33</v>
      </c>
      <c r="J728" s="24" t="s">
        <v>23</v>
      </c>
      <c r="K728" s="35" t="s">
        <v>31</v>
      </c>
      <c r="L728" s="25" t="s">
        <v>124</v>
      </c>
      <c r="M728" s="21" t="s">
        <v>32</v>
      </c>
      <c r="N728" s="37">
        <v>49.46</v>
      </c>
      <c r="O728" s="37">
        <v>12.72</v>
      </c>
      <c r="P728" s="26">
        <f t="shared" si="102"/>
        <v>36.74</v>
      </c>
      <c r="Q728" s="27">
        <v>315</v>
      </c>
      <c r="R728" s="28">
        <f t="shared" si="101"/>
        <v>11573.1</v>
      </c>
      <c r="S728" s="27"/>
      <c r="T728" s="29"/>
      <c r="V728" s="29" t="s">
        <v>24</v>
      </c>
      <c r="W728" s="27">
        <v>145</v>
      </c>
      <c r="X728" s="30">
        <f t="shared" si="106"/>
        <v>5327.3</v>
      </c>
      <c r="Y728" s="31">
        <v>260</v>
      </c>
      <c r="Z728" s="31">
        <f t="shared" si="107"/>
        <v>9552.4</v>
      </c>
      <c r="AA728" s="29">
        <f t="shared" si="108"/>
        <v>26452.800000000003</v>
      </c>
      <c r="AB728" s="40"/>
      <c r="AC728" s="39"/>
      <c r="AD728" s="41"/>
      <c r="AE728" s="42"/>
      <c r="AF728" s="39"/>
      <c r="AG728" s="42"/>
      <c r="AH728" s="39"/>
      <c r="AI728" s="41"/>
      <c r="AJ728" s="39"/>
      <c r="AK728" s="41"/>
      <c r="AL728" s="41"/>
    </row>
    <row r="729" spans="1:38" s="32" customFormat="1" x14ac:dyDescent="0.25">
      <c r="A729" s="18">
        <v>733</v>
      </c>
      <c r="B729" s="19">
        <v>46042</v>
      </c>
      <c r="C729" s="19">
        <v>45677</v>
      </c>
      <c r="D729" s="51">
        <v>260120010</v>
      </c>
      <c r="E729" s="21" t="s">
        <v>1411</v>
      </c>
      <c r="F729" s="21" t="s">
        <v>1412</v>
      </c>
      <c r="G729" s="21">
        <v>50</v>
      </c>
      <c r="H729" s="44">
        <v>115</v>
      </c>
      <c r="I729" s="23" t="s">
        <v>33</v>
      </c>
      <c r="J729" s="24" t="s">
        <v>23</v>
      </c>
      <c r="K729" s="35" t="s">
        <v>31</v>
      </c>
      <c r="L729" s="25" t="s">
        <v>37</v>
      </c>
      <c r="M729" s="21" t="s">
        <v>35</v>
      </c>
      <c r="N729" s="37">
        <v>66.2</v>
      </c>
      <c r="O729" s="37">
        <v>15.72</v>
      </c>
      <c r="P729" s="26">
        <f t="shared" si="102"/>
        <v>50.480000000000004</v>
      </c>
      <c r="Q729" s="27">
        <v>445</v>
      </c>
      <c r="R729" s="28">
        <f t="shared" si="101"/>
        <v>22463.600000000002</v>
      </c>
      <c r="S729" s="27"/>
      <c r="T729" s="29"/>
      <c r="V729" s="29" t="s">
        <v>24</v>
      </c>
      <c r="W729" s="27">
        <v>145</v>
      </c>
      <c r="X729" s="30">
        <f t="shared" si="106"/>
        <v>7319.6</v>
      </c>
      <c r="Y729" s="31">
        <v>260</v>
      </c>
      <c r="Z729" s="31">
        <f t="shared" si="107"/>
        <v>13124.800000000001</v>
      </c>
      <c r="AA729" s="29">
        <f t="shared" si="108"/>
        <v>42908.000000000007</v>
      </c>
    </row>
    <row r="730" spans="1:38" s="32" customFormat="1" x14ac:dyDescent="0.25">
      <c r="A730" s="18">
        <v>734</v>
      </c>
      <c r="B730" s="19">
        <v>46042</v>
      </c>
      <c r="C730" s="19">
        <v>45677</v>
      </c>
      <c r="D730" s="51">
        <v>260120011</v>
      </c>
      <c r="E730" s="21" t="s">
        <v>1413</v>
      </c>
      <c r="F730" s="21" t="s">
        <v>1414</v>
      </c>
      <c r="G730" s="21">
        <v>49</v>
      </c>
      <c r="H730" s="44">
        <v>115</v>
      </c>
      <c r="I730" s="23" t="s">
        <v>33</v>
      </c>
      <c r="J730" s="24" t="s">
        <v>23</v>
      </c>
      <c r="K730" s="35" t="s">
        <v>31</v>
      </c>
      <c r="L730" s="25" t="s">
        <v>36</v>
      </c>
      <c r="M730" s="21" t="s">
        <v>35</v>
      </c>
      <c r="N730" s="37">
        <v>65.2</v>
      </c>
      <c r="O730" s="37">
        <v>15.8</v>
      </c>
      <c r="P730" s="26">
        <f t="shared" si="102"/>
        <v>49.400000000000006</v>
      </c>
      <c r="Q730" s="27">
        <v>445</v>
      </c>
      <c r="R730" s="28">
        <f t="shared" si="101"/>
        <v>21983.000000000004</v>
      </c>
      <c r="S730" s="27"/>
      <c r="T730" s="29"/>
      <c r="V730" s="29" t="s">
        <v>24</v>
      </c>
      <c r="W730" s="27">
        <v>145</v>
      </c>
      <c r="X730" s="30">
        <f t="shared" si="106"/>
        <v>7163.0000000000009</v>
      </c>
      <c r="Y730" s="31">
        <v>260</v>
      </c>
      <c r="Z730" s="31">
        <f t="shared" si="107"/>
        <v>12844.000000000002</v>
      </c>
      <c r="AA730" s="29">
        <f t="shared" si="108"/>
        <v>41990.000000000007</v>
      </c>
    </row>
    <row r="731" spans="1:38" s="32" customFormat="1" x14ac:dyDescent="0.25">
      <c r="A731" s="18">
        <v>735</v>
      </c>
      <c r="B731" s="19">
        <v>46042</v>
      </c>
      <c r="C731" s="19">
        <v>45677</v>
      </c>
      <c r="D731" s="51">
        <v>260120012</v>
      </c>
      <c r="E731" s="21" t="s">
        <v>1415</v>
      </c>
      <c r="F731" s="21" t="s">
        <v>1416</v>
      </c>
      <c r="G731" s="21">
        <v>60</v>
      </c>
      <c r="H731" s="44">
        <v>115</v>
      </c>
      <c r="I731" s="23" t="s">
        <v>33</v>
      </c>
      <c r="J731" s="24" t="s">
        <v>23</v>
      </c>
      <c r="K731" s="35" t="s">
        <v>31</v>
      </c>
      <c r="L731" s="25" t="s">
        <v>206</v>
      </c>
      <c r="M731" s="21" t="s">
        <v>34</v>
      </c>
      <c r="N731" s="37">
        <v>77.599999999999994</v>
      </c>
      <c r="O731" s="37">
        <v>17.2</v>
      </c>
      <c r="P731" s="26">
        <f t="shared" si="102"/>
        <v>60.399999999999991</v>
      </c>
      <c r="Q731" s="27">
        <v>545</v>
      </c>
      <c r="R731" s="28">
        <f t="shared" si="101"/>
        <v>32917.999999999993</v>
      </c>
      <c r="S731" s="27"/>
      <c r="T731" s="29"/>
      <c r="V731" s="29" t="s">
        <v>24</v>
      </c>
      <c r="W731" s="27">
        <v>145</v>
      </c>
      <c r="X731" s="30">
        <f t="shared" si="106"/>
        <v>8757.9999999999982</v>
      </c>
      <c r="Y731" s="31">
        <v>260</v>
      </c>
      <c r="Z731" s="31">
        <f t="shared" si="107"/>
        <v>15703.999999999998</v>
      </c>
      <c r="AA731" s="29">
        <f t="shared" si="108"/>
        <v>57379.999999999993</v>
      </c>
    </row>
    <row r="732" spans="1:38" s="32" customFormat="1" x14ac:dyDescent="0.25">
      <c r="A732" s="18">
        <v>736</v>
      </c>
      <c r="B732" s="19">
        <v>46042</v>
      </c>
      <c r="C732" s="19">
        <v>45677</v>
      </c>
      <c r="D732" s="51">
        <v>260120013</v>
      </c>
      <c r="E732" s="21" t="s">
        <v>1417</v>
      </c>
      <c r="F732" s="21" t="s">
        <v>1418</v>
      </c>
      <c r="G732" s="21">
        <v>35</v>
      </c>
      <c r="H732" s="44">
        <v>115</v>
      </c>
      <c r="I732" s="23" t="s">
        <v>33</v>
      </c>
      <c r="J732" s="24" t="s">
        <v>23</v>
      </c>
      <c r="K732" s="35" t="s">
        <v>31</v>
      </c>
      <c r="L732" s="82" t="s">
        <v>43</v>
      </c>
      <c r="M732" s="21" t="s">
        <v>32</v>
      </c>
      <c r="N732" s="37">
        <v>46.68</v>
      </c>
      <c r="O732" s="37">
        <v>11.24</v>
      </c>
      <c r="P732" s="26">
        <f t="shared" si="102"/>
        <v>35.44</v>
      </c>
      <c r="Q732" s="27">
        <v>315</v>
      </c>
      <c r="R732" s="28">
        <f t="shared" si="101"/>
        <v>11163.599999999999</v>
      </c>
      <c r="S732" s="27"/>
      <c r="T732" s="29"/>
      <c r="V732" s="29" t="s">
        <v>24</v>
      </c>
      <c r="W732" s="27">
        <v>145</v>
      </c>
      <c r="X732" s="30">
        <f t="shared" si="106"/>
        <v>5138.7999999999993</v>
      </c>
      <c r="Y732" s="31">
        <v>260</v>
      </c>
      <c r="Z732" s="31">
        <f t="shared" si="107"/>
        <v>9214.4</v>
      </c>
      <c r="AA732" s="29">
        <f t="shared" si="108"/>
        <v>25516.799999999996</v>
      </c>
    </row>
    <row r="733" spans="1:38" s="38" customFormat="1" x14ac:dyDescent="0.25">
      <c r="A733" s="18">
        <v>737</v>
      </c>
      <c r="B733" s="19">
        <v>46042</v>
      </c>
      <c r="C733" s="19">
        <v>45677</v>
      </c>
      <c r="D733" s="51">
        <v>260120014</v>
      </c>
      <c r="E733" s="21" t="s">
        <v>1419</v>
      </c>
      <c r="F733" s="21" t="s">
        <v>1420</v>
      </c>
      <c r="G733" s="21">
        <v>45</v>
      </c>
      <c r="H733" s="44">
        <v>115</v>
      </c>
      <c r="I733" s="23" t="s">
        <v>33</v>
      </c>
      <c r="J733" s="24" t="s">
        <v>23</v>
      </c>
      <c r="K733" s="35" t="s">
        <v>31</v>
      </c>
      <c r="L733" s="25" t="s">
        <v>1421</v>
      </c>
      <c r="M733" s="21" t="s">
        <v>34</v>
      </c>
      <c r="N733" s="37">
        <v>64.42</v>
      </c>
      <c r="O733" s="37">
        <v>18.66</v>
      </c>
      <c r="P733" s="26">
        <f t="shared" si="102"/>
        <v>45.760000000000005</v>
      </c>
      <c r="Q733" s="27">
        <v>545</v>
      </c>
      <c r="R733" s="28">
        <f t="shared" si="101"/>
        <v>24939.200000000004</v>
      </c>
      <c r="S733" s="27"/>
      <c r="T733" s="29"/>
      <c r="V733" s="29" t="s">
        <v>24</v>
      </c>
      <c r="W733" s="27">
        <v>145</v>
      </c>
      <c r="X733" s="30">
        <f t="shared" si="106"/>
        <v>6635.2000000000007</v>
      </c>
      <c r="Y733" s="31">
        <v>260</v>
      </c>
      <c r="Z733" s="31">
        <f t="shared" si="107"/>
        <v>11897.600000000002</v>
      </c>
      <c r="AA733" s="29">
        <f t="shared" si="108"/>
        <v>43472.000000000007</v>
      </c>
    </row>
    <row r="734" spans="1:38" s="38" customFormat="1" x14ac:dyDescent="0.25">
      <c r="A734" s="18">
        <v>738</v>
      </c>
      <c r="B734" s="19">
        <v>46042</v>
      </c>
      <c r="C734" s="19">
        <v>45677</v>
      </c>
      <c r="D734" s="51">
        <v>260120015</v>
      </c>
      <c r="E734" s="21" t="s">
        <v>1422</v>
      </c>
      <c r="F734" s="21" t="s">
        <v>1423</v>
      </c>
      <c r="G734" s="21">
        <v>37</v>
      </c>
      <c r="H734" s="44">
        <v>115</v>
      </c>
      <c r="I734" s="23" t="s">
        <v>33</v>
      </c>
      <c r="J734" s="24" t="s">
        <v>23</v>
      </c>
      <c r="K734" s="35" t="s">
        <v>31</v>
      </c>
      <c r="L734" s="25" t="s">
        <v>39</v>
      </c>
      <c r="M734" s="21" t="s">
        <v>35</v>
      </c>
      <c r="N734" s="37">
        <v>49.34</v>
      </c>
      <c r="O734" s="37">
        <v>11.62</v>
      </c>
      <c r="P734" s="26">
        <f t="shared" si="102"/>
        <v>37.720000000000006</v>
      </c>
      <c r="Q734" s="27">
        <v>445</v>
      </c>
      <c r="R734" s="28">
        <f t="shared" si="101"/>
        <v>16785.400000000001</v>
      </c>
      <c r="S734" s="27"/>
      <c r="T734" s="29"/>
      <c r="V734" s="29" t="s">
        <v>24</v>
      </c>
      <c r="W734" s="27">
        <v>145</v>
      </c>
      <c r="X734" s="30">
        <f t="shared" si="106"/>
        <v>5469.4000000000005</v>
      </c>
      <c r="Y734" s="31">
        <v>260</v>
      </c>
      <c r="Z734" s="31">
        <f t="shared" si="107"/>
        <v>9807.2000000000007</v>
      </c>
      <c r="AA734" s="29">
        <f t="shared" si="108"/>
        <v>32062.000000000004</v>
      </c>
    </row>
    <row r="735" spans="1:38" s="32" customFormat="1" x14ac:dyDescent="0.25">
      <c r="A735" s="18">
        <v>739</v>
      </c>
      <c r="B735" s="19">
        <v>46042</v>
      </c>
      <c r="C735" s="19">
        <v>45677</v>
      </c>
      <c r="D735" s="51">
        <v>260120016</v>
      </c>
      <c r="E735" s="21" t="s">
        <v>1424</v>
      </c>
      <c r="F735" s="21" t="s">
        <v>1425</v>
      </c>
      <c r="G735" s="21">
        <v>45</v>
      </c>
      <c r="H735" s="48">
        <v>84</v>
      </c>
      <c r="I735" s="71" t="s">
        <v>941</v>
      </c>
      <c r="J735" s="49" t="s">
        <v>23</v>
      </c>
      <c r="K735" s="23" t="s">
        <v>31</v>
      </c>
      <c r="L735" s="25" t="s">
        <v>46</v>
      </c>
      <c r="M735" s="21" t="s">
        <v>32</v>
      </c>
      <c r="N735" s="37">
        <v>60.66</v>
      </c>
      <c r="O735" s="37">
        <v>14.8</v>
      </c>
      <c r="P735" s="26">
        <f t="shared" si="102"/>
        <v>45.86</v>
      </c>
      <c r="Q735" s="27">
        <v>305</v>
      </c>
      <c r="R735" s="28">
        <f t="shared" si="101"/>
        <v>13987.3</v>
      </c>
      <c r="S735" s="27"/>
      <c r="T735" s="29"/>
      <c r="V735" s="29" t="s">
        <v>24</v>
      </c>
      <c r="W735" s="27">
        <v>145</v>
      </c>
      <c r="X735" s="30">
        <f t="shared" si="106"/>
        <v>6649.7</v>
      </c>
      <c r="Y735" s="31">
        <v>210</v>
      </c>
      <c r="Z735" s="31">
        <f t="shared" si="107"/>
        <v>9630.6</v>
      </c>
      <c r="AA735" s="29">
        <f t="shared" si="108"/>
        <v>30267.599999999999</v>
      </c>
    </row>
    <row r="736" spans="1:38" s="32" customFormat="1" x14ac:dyDescent="0.25">
      <c r="A736" s="18">
        <v>740</v>
      </c>
      <c r="B736" s="19">
        <v>46042</v>
      </c>
      <c r="C736" s="19">
        <v>45677</v>
      </c>
      <c r="D736" s="51">
        <v>260120017</v>
      </c>
      <c r="E736" s="21" t="s">
        <v>1426</v>
      </c>
      <c r="F736" s="21" t="s">
        <v>1427</v>
      </c>
      <c r="G736" s="21">
        <v>45</v>
      </c>
      <c r="H736" s="48">
        <v>84</v>
      </c>
      <c r="I736" s="71" t="s">
        <v>941</v>
      </c>
      <c r="J736" s="49" t="s">
        <v>23</v>
      </c>
      <c r="K736" s="23" t="s">
        <v>31</v>
      </c>
      <c r="L736" s="25" t="s">
        <v>62</v>
      </c>
      <c r="M736" s="21" t="s">
        <v>34</v>
      </c>
      <c r="N736" s="37">
        <v>60.94</v>
      </c>
      <c r="O736" s="37">
        <v>15.4</v>
      </c>
      <c r="P736" s="26">
        <f t="shared" si="102"/>
        <v>45.54</v>
      </c>
      <c r="Q736" s="27">
        <v>515</v>
      </c>
      <c r="R736" s="28">
        <f t="shared" si="101"/>
        <v>23453.1</v>
      </c>
      <c r="S736" s="27"/>
      <c r="T736" s="29"/>
      <c r="V736" s="29" t="s">
        <v>24</v>
      </c>
      <c r="W736" s="27">
        <v>145</v>
      </c>
      <c r="X736" s="30">
        <f t="shared" si="106"/>
        <v>6603.3</v>
      </c>
      <c r="Y736" s="31">
        <v>210</v>
      </c>
      <c r="Z736" s="31">
        <f t="shared" si="107"/>
        <v>9563.4</v>
      </c>
      <c r="AA736" s="29">
        <f t="shared" si="108"/>
        <v>39619.799999999996</v>
      </c>
    </row>
    <row r="737" spans="1:27" s="32" customFormat="1" x14ac:dyDescent="0.25">
      <c r="A737" s="18">
        <v>741</v>
      </c>
      <c r="B737" s="19">
        <v>46042</v>
      </c>
      <c r="C737" s="19">
        <v>45677</v>
      </c>
      <c r="D737" s="51">
        <v>260120018</v>
      </c>
      <c r="E737" s="21" t="s">
        <v>1428</v>
      </c>
      <c r="F737" s="21" t="s">
        <v>1429</v>
      </c>
      <c r="G737" s="21">
        <v>34</v>
      </c>
      <c r="H737" s="44">
        <v>117</v>
      </c>
      <c r="I737" s="45" t="s">
        <v>47</v>
      </c>
      <c r="J737" s="24" t="s">
        <v>23</v>
      </c>
      <c r="K737" s="23" t="s">
        <v>31</v>
      </c>
      <c r="L737" s="25" t="s">
        <v>53</v>
      </c>
      <c r="M737" s="21" t="s">
        <v>32</v>
      </c>
      <c r="N737" s="37">
        <v>45.44</v>
      </c>
      <c r="O737" s="37">
        <v>11.36</v>
      </c>
      <c r="P737" s="26">
        <f t="shared" si="102"/>
        <v>34.08</v>
      </c>
      <c r="Q737" s="27">
        <v>335</v>
      </c>
      <c r="R737" s="28">
        <f t="shared" si="101"/>
        <v>11416.8</v>
      </c>
      <c r="S737" s="27"/>
      <c r="T737" s="29"/>
      <c r="V737" s="29" t="s">
        <v>24</v>
      </c>
      <c r="W737" s="27">
        <v>145</v>
      </c>
      <c r="X737" s="30">
        <f t="shared" si="106"/>
        <v>4941.5999999999995</v>
      </c>
      <c r="Y737" s="31">
        <v>230</v>
      </c>
      <c r="Z737" s="31">
        <f t="shared" si="107"/>
        <v>7838.4</v>
      </c>
      <c r="AA737" s="29">
        <f t="shared" si="108"/>
        <v>24196.799999999996</v>
      </c>
    </row>
    <row r="738" spans="1:27" s="38" customFormat="1" x14ac:dyDescent="0.25">
      <c r="A738" s="18">
        <v>742</v>
      </c>
      <c r="B738" s="19">
        <v>46042</v>
      </c>
      <c r="C738" s="19">
        <v>45677</v>
      </c>
      <c r="D738" s="51">
        <v>260120019</v>
      </c>
      <c r="E738" s="21" t="s">
        <v>1430</v>
      </c>
      <c r="F738" s="21" t="s">
        <v>1431</v>
      </c>
      <c r="G738" s="21">
        <v>36</v>
      </c>
      <c r="H738" s="44">
        <v>117</v>
      </c>
      <c r="I738" s="45" t="s">
        <v>47</v>
      </c>
      <c r="J738" s="24" t="s">
        <v>23</v>
      </c>
      <c r="K738" s="23" t="s">
        <v>31</v>
      </c>
      <c r="L738" s="25" t="s">
        <v>932</v>
      </c>
      <c r="M738" s="21" t="s">
        <v>34</v>
      </c>
      <c r="N738" s="37">
        <v>48.48</v>
      </c>
      <c r="O738" s="37">
        <v>12.06</v>
      </c>
      <c r="P738" s="26">
        <f t="shared" si="102"/>
        <v>36.419999999999995</v>
      </c>
      <c r="Q738" s="27">
        <v>555</v>
      </c>
      <c r="R738" s="28">
        <f t="shared" si="101"/>
        <v>20213.099999999999</v>
      </c>
      <c r="S738" s="27"/>
      <c r="T738" s="29"/>
      <c r="V738" s="29" t="s">
        <v>24</v>
      </c>
      <c r="W738" s="27">
        <v>145</v>
      </c>
      <c r="X738" s="30">
        <f t="shared" si="106"/>
        <v>5280.9</v>
      </c>
      <c r="Y738" s="31">
        <v>230</v>
      </c>
      <c r="Z738" s="31">
        <f t="shared" si="107"/>
        <v>8376.5999999999985</v>
      </c>
      <c r="AA738" s="29">
        <f t="shared" si="108"/>
        <v>33870.6</v>
      </c>
    </row>
    <row r="739" spans="1:27" s="38" customFormat="1" x14ac:dyDescent="0.25">
      <c r="A739" s="18">
        <v>743</v>
      </c>
      <c r="B739" s="19">
        <v>46042</v>
      </c>
      <c r="C739" s="19">
        <v>45677</v>
      </c>
      <c r="D739" s="51">
        <v>260120020</v>
      </c>
      <c r="E739" s="21" t="s">
        <v>1432</v>
      </c>
      <c r="F739" s="21" t="s">
        <v>1433</v>
      </c>
      <c r="G739" s="21">
        <v>33</v>
      </c>
      <c r="H739" s="44">
        <v>117</v>
      </c>
      <c r="I739" s="45" t="s">
        <v>47</v>
      </c>
      <c r="J739" s="24" t="s">
        <v>23</v>
      </c>
      <c r="K739" s="23" t="s">
        <v>31</v>
      </c>
      <c r="L739" s="25" t="s">
        <v>935</v>
      </c>
      <c r="M739" s="21" t="s">
        <v>34</v>
      </c>
      <c r="N739" s="37">
        <v>45.6</v>
      </c>
      <c r="O739" s="37">
        <v>11.78</v>
      </c>
      <c r="P739" s="26">
        <f t="shared" si="102"/>
        <v>33.82</v>
      </c>
      <c r="Q739" s="27">
        <v>555</v>
      </c>
      <c r="R739" s="28">
        <f t="shared" si="101"/>
        <v>18770.099999999999</v>
      </c>
      <c r="S739" s="27"/>
      <c r="T739" s="29"/>
      <c r="V739" s="29" t="s">
        <v>24</v>
      </c>
      <c r="W739" s="27">
        <v>145</v>
      </c>
      <c r="X739" s="30">
        <f t="shared" si="106"/>
        <v>4903.8999999999996</v>
      </c>
      <c r="Y739" s="31">
        <v>230</v>
      </c>
      <c r="Z739" s="31">
        <f t="shared" si="107"/>
        <v>7778.6</v>
      </c>
      <c r="AA739" s="29">
        <f t="shared" si="108"/>
        <v>31452.6</v>
      </c>
    </row>
    <row r="740" spans="1:27" s="32" customFormat="1" x14ac:dyDescent="0.25">
      <c r="A740" s="18">
        <v>744</v>
      </c>
      <c r="B740" s="19">
        <v>46042</v>
      </c>
      <c r="C740" s="19">
        <v>45677</v>
      </c>
      <c r="D740" s="51">
        <v>260120021</v>
      </c>
      <c r="E740" s="21"/>
      <c r="F740" s="21" t="s">
        <v>1434</v>
      </c>
      <c r="G740" s="21">
        <v>50</v>
      </c>
      <c r="H740" s="33">
        <v>285</v>
      </c>
      <c r="I740" s="73" t="s">
        <v>703</v>
      </c>
      <c r="J740" s="24" t="s">
        <v>23</v>
      </c>
      <c r="K740" s="23" t="s">
        <v>31</v>
      </c>
      <c r="L740" s="20" t="s">
        <v>61</v>
      </c>
      <c r="M740" s="21" t="s">
        <v>49</v>
      </c>
      <c r="N740" s="37">
        <v>65.599999999999994</v>
      </c>
      <c r="O740" s="37">
        <v>15.3</v>
      </c>
      <c r="P740" s="26">
        <f t="shared" si="102"/>
        <v>50.3</v>
      </c>
      <c r="Q740" s="27">
        <v>220</v>
      </c>
      <c r="R740" s="28">
        <f t="shared" si="101"/>
        <v>11066</v>
      </c>
      <c r="S740" s="27"/>
      <c r="T740" s="29"/>
      <c r="V740" s="29" t="s">
        <v>45</v>
      </c>
      <c r="W740" s="27"/>
      <c r="X740" s="30">
        <f t="shared" si="106"/>
        <v>0</v>
      </c>
      <c r="Y740" s="31"/>
      <c r="Z740" s="31">
        <f t="shared" si="107"/>
        <v>0</v>
      </c>
      <c r="AA740" s="29">
        <f t="shared" si="108"/>
        <v>11066</v>
      </c>
    </row>
    <row r="741" spans="1:27" s="32" customFormat="1" x14ac:dyDescent="0.25">
      <c r="A741" s="18">
        <v>745</v>
      </c>
      <c r="B741" s="19">
        <v>46042</v>
      </c>
      <c r="C741" s="19">
        <v>45677</v>
      </c>
      <c r="D741" s="51">
        <v>260120022</v>
      </c>
      <c r="E741" s="21"/>
      <c r="F741" s="21" t="s">
        <v>1435</v>
      </c>
      <c r="G741" s="21">
        <v>47</v>
      </c>
      <c r="H741" s="33">
        <v>285</v>
      </c>
      <c r="I741" s="73" t="s">
        <v>703</v>
      </c>
      <c r="J741" s="24" t="s">
        <v>23</v>
      </c>
      <c r="K741" s="23" t="s">
        <v>31</v>
      </c>
      <c r="L741" s="25" t="s">
        <v>60</v>
      </c>
      <c r="M741" s="21" t="s">
        <v>49</v>
      </c>
      <c r="N741" s="37">
        <v>61.92</v>
      </c>
      <c r="O741" s="37">
        <v>14.08</v>
      </c>
      <c r="P741" s="26">
        <f t="shared" si="102"/>
        <v>47.84</v>
      </c>
      <c r="Q741" s="27">
        <v>220</v>
      </c>
      <c r="R741" s="28">
        <f t="shared" si="101"/>
        <v>10524.800000000001</v>
      </c>
      <c r="S741" s="27"/>
      <c r="T741" s="29"/>
      <c r="V741" s="29" t="s">
        <v>45</v>
      </c>
      <c r="W741" s="27"/>
      <c r="X741" s="30">
        <f t="shared" si="106"/>
        <v>0</v>
      </c>
      <c r="Y741" s="31"/>
      <c r="Z741" s="31">
        <f t="shared" si="107"/>
        <v>0</v>
      </c>
      <c r="AA741" s="29">
        <f t="shared" si="108"/>
        <v>10524.800000000001</v>
      </c>
    </row>
    <row r="742" spans="1:27" s="32" customFormat="1" x14ac:dyDescent="0.25">
      <c r="A742" s="18">
        <v>746</v>
      </c>
      <c r="B742" s="19">
        <v>46042</v>
      </c>
      <c r="C742" s="19">
        <v>45677</v>
      </c>
      <c r="D742" s="51">
        <v>260120023</v>
      </c>
      <c r="E742" s="21"/>
      <c r="F742" s="21" t="s">
        <v>1436</v>
      </c>
      <c r="G742" s="21">
        <v>45</v>
      </c>
      <c r="H742" s="33">
        <v>285</v>
      </c>
      <c r="I742" s="73" t="s">
        <v>703</v>
      </c>
      <c r="J742" s="24" t="s">
        <v>23</v>
      </c>
      <c r="K742" s="23" t="s">
        <v>31</v>
      </c>
      <c r="L742" s="25" t="s">
        <v>1437</v>
      </c>
      <c r="M742" s="21" t="s">
        <v>34</v>
      </c>
      <c r="N742" s="37">
        <v>61.06</v>
      </c>
      <c r="O742" s="37">
        <v>15.2</v>
      </c>
      <c r="P742" s="26">
        <f t="shared" si="102"/>
        <v>45.86</v>
      </c>
      <c r="Q742" s="27">
        <v>520</v>
      </c>
      <c r="R742" s="28">
        <f t="shared" si="101"/>
        <v>23847.200000000001</v>
      </c>
      <c r="S742" s="27"/>
      <c r="T742" s="29"/>
      <c r="V742" s="29" t="s">
        <v>45</v>
      </c>
      <c r="W742" s="27"/>
      <c r="X742" s="30">
        <f t="shared" si="106"/>
        <v>0</v>
      </c>
      <c r="Y742" s="31"/>
      <c r="Z742" s="31">
        <f t="shared" si="107"/>
        <v>0</v>
      </c>
      <c r="AA742" s="29">
        <f t="shared" si="108"/>
        <v>23847.200000000001</v>
      </c>
    </row>
    <row r="743" spans="1:27" s="32" customFormat="1" x14ac:dyDescent="0.25">
      <c r="A743" s="18">
        <v>747</v>
      </c>
      <c r="B743" s="19">
        <v>46042</v>
      </c>
      <c r="C743" s="19">
        <v>45677</v>
      </c>
      <c r="D743" s="88">
        <v>260120024</v>
      </c>
      <c r="E743" s="21"/>
      <c r="F743" s="21" t="s">
        <v>1438</v>
      </c>
      <c r="G743" s="21">
        <v>46</v>
      </c>
      <c r="H743" s="33">
        <v>285</v>
      </c>
      <c r="I743" s="73" t="s">
        <v>703</v>
      </c>
      <c r="J743" s="24" t="s">
        <v>23</v>
      </c>
      <c r="K743" s="23" t="s">
        <v>31</v>
      </c>
      <c r="L743" s="25" t="s">
        <v>711</v>
      </c>
      <c r="M743" s="21" t="s">
        <v>34</v>
      </c>
      <c r="N743" s="37">
        <v>61.78</v>
      </c>
      <c r="O743" s="37">
        <v>15.6</v>
      </c>
      <c r="P743" s="26">
        <f t="shared" si="102"/>
        <v>46.18</v>
      </c>
      <c r="Q743" s="27">
        <v>520</v>
      </c>
      <c r="R743" s="28">
        <f t="shared" si="101"/>
        <v>24013.599999999999</v>
      </c>
      <c r="S743" s="27"/>
      <c r="T743" s="29"/>
      <c r="V743" s="29" t="s">
        <v>45</v>
      </c>
      <c r="W743" s="27"/>
      <c r="X743" s="30">
        <f t="shared" si="106"/>
        <v>0</v>
      </c>
      <c r="Y743" s="31"/>
      <c r="Z743" s="31">
        <f t="shared" si="107"/>
        <v>0</v>
      </c>
      <c r="AA743" s="29">
        <f t="shared" si="108"/>
        <v>24013.599999999999</v>
      </c>
    </row>
    <row r="744" spans="1:27" s="38" customFormat="1" x14ac:dyDescent="0.25">
      <c r="A744" s="18">
        <v>748</v>
      </c>
      <c r="B744" s="19">
        <v>46042</v>
      </c>
      <c r="C744" s="19">
        <v>45677</v>
      </c>
      <c r="D744" s="46" t="s">
        <v>1439</v>
      </c>
      <c r="E744" s="21"/>
      <c r="F744" s="21"/>
      <c r="G744" s="21"/>
      <c r="H744" s="33">
        <v>165</v>
      </c>
      <c r="I744" s="23" t="s">
        <v>805</v>
      </c>
      <c r="J744" s="34" t="s">
        <v>23</v>
      </c>
      <c r="K744" s="35" t="s">
        <v>31</v>
      </c>
      <c r="L744" s="20" t="s">
        <v>806</v>
      </c>
      <c r="M744" s="21" t="s">
        <v>289</v>
      </c>
      <c r="N744" s="37">
        <v>48.52</v>
      </c>
      <c r="O744" s="37">
        <v>11.94</v>
      </c>
      <c r="P744" s="26">
        <f t="shared" si="102"/>
        <v>36.580000000000005</v>
      </c>
      <c r="Q744" s="27">
        <v>130</v>
      </c>
      <c r="R744" s="28">
        <f t="shared" si="101"/>
        <v>4755.4000000000005</v>
      </c>
      <c r="S744" s="21"/>
      <c r="T744" s="29"/>
      <c r="V744" s="29" t="s">
        <v>45</v>
      </c>
      <c r="W744" s="27"/>
      <c r="X744" s="30">
        <f t="shared" si="106"/>
        <v>0</v>
      </c>
      <c r="Y744" s="31"/>
      <c r="Z744" s="31">
        <f t="shared" si="107"/>
        <v>0</v>
      </c>
      <c r="AA744" s="29">
        <f t="shared" si="108"/>
        <v>4755.4000000000005</v>
      </c>
    </row>
    <row r="745" spans="1:27" s="32" customFormat="1" x14ac:dyDescent="0.25">
      <c r="A745" s="18">
        <v>749</v>
      </c>
      <c r="B745" s="19">
        <v>46042</v>
      </c>
      <c r="C745" s="19">
        <v>45677</v>
      </c>
      <c r="D745" s="51">
        <v>260120025</v>
      </c>
      <c r="E745" s="21" t="s">
        <v>1440</v>
      </c>
      <c r="F745" s="21" t="s">
        <v>1441</v>
      </c>
      <c r="G745" s="21">
        <v>49</v>
      </c>
      <c r="H745" s="44">
        <v>115</v>
      </c>
      <c r="I745" s="23" t="s">
        <v>33</v>
      </c>
      <c r="J745" s="24" t="s">
        <v>23</v>
      </c>
      <c r="K745" s="35" t="s">
        <v>31</v>
      </c>
      <c r="L745" s="20" t="s">
        <v>66</v>
      </c>
      <c r="M745" s="21" t="s">
        <v>32</v>
      </c>
      <c r="N745" s="37">
        <v>64.94</v>
      </c>
      <c r="O745" s="37">
        <v>15.52</v>
      </c>
      <c r="P745" s="26">
        <f t="shared" si="102"/>
        <v>49.42</v>
      </c>
      <c r="Q745" s="27">
        <v>315</v>
      </c>
      <c r="R745" s="28">
        <f t="shared" si="101"/>
        <v>15567.300000000001</v>
      </c>
      <c r="S745" s="27"/>
      <c r="T745" s="29"/>
      <c r="V745" s="29" t="s">
        <v>24</v>
      </c>
      <c r="W745" s="27">
        <v>145</v>
      </c>
      <c r="X745" s="30">
        <f t="shared" si="106"/>
        <v>7165.9000000000005</v>
      </c>
      <c r="Y745" s="31">
        <v>260</v>
      </c>
      <c r="Z745" s="31">
        <f t="shared" si="107"/>
        <v>12849.2</v>
      </c>
      <c r="AA745" s="29">
        <f t="shared" si="108"/>
        <v>35582.400000000001</v>
      </c>
    </row>
    <row r="746" spans="1:27" s="32" customFormat="1" x14ac:dyDescent="0.25">
      <c r="A746" s="18">
        <v>750</v>
      </c>
      <c r="B746" s="19">
        <v>46042</v>
      </c>
      <c r="C746" s="19">
        <v>45677</v>
      </c>
      <c r="D746" s="51">
        <v>260120026</v>
      </c>
      <c r="E746" s="21" t="s">
        <v>1442</v>
      </c>
      <c r="F746" s="21" t="s">
        <v>1443</v>
      </c>
      <c r="G746" s="21">
        <v>45</v>
      </c>
      <c r="H746" s="44">
        <v>115</v>
      </c>
      <c r="I746" s="23" t="s">
        <v>33</v>
      </c>
      <c r="J746" s="24" t="s">
        <v>23</v>
      </c>
      <c r="K746" s="35" t="s">
        <v>31</v>
      </c>
      <c r="L746" s="50" t="s">
        <v>41</v>
      </c>
      <c r="M746" s="21" t="s">
        <v>34</v>
      </c>
      <c r="N746" s="37">
        <v>61.58</v>
      </c>
      <c r="O746" s="37">
        <v>15.82</v>
      </c>
      <c r="P746" s="26">
        <f t="shared" si="102"/>
        <v>45.76</v>
      </c>
      <c r="Q746" s="27">
        <v>545</v>
      </c>
      <c r="R746" s="28">
        <f t="shared" si="101"/>
        <v>24939.200000000001</v>
      </c>
      <c r="S746" s="27"/>
      <c r="T746" s="29"/>
      <c r="V746" s="29" t="s">
        <v>24</v>
      </c>
      <c r="W746" s="27">
        <v>145</v>
      </c>
      <c r="X746" s="30">
        <f t="shared" si="106"/>
        <v>6635.2</v>
      </c>
      <c r="Y746" s="31">
        <v>260</v>
      </c>
      <c r="Z746" s="31">
        <f t="shared" si="107"/>
        <v>11897.6</v>
      </c>
      <c r="AA746" s="29">
        <f t="shared" si="108"/>
        <v>43472</v>
      </c>
    </row>
    <row r="747" spans="1:27" s="38" customFormat="1" x14ac:dyDescent="0.25">
      <c r="A747" s="18">
        <v>751</v>
      </c>
      <c r="B747" s="19">
        <v>46042</v>
      </c>
      <c r="C747" s="19">
        <v>45677</v>
      </c>
      <c r="D747" s="51">
        <v>260120027</v>
      </c>
      <c r="E747" s="21" t="s">
        <v>1444</v>
      </c>
      <c r="F747" s="21" t="s">
        <v>1445</v>
      </c>
      <c r="G747" s="21">
        <v>45</v>
      </c>
      <c r="H747" s="44">
        <v>115</v>
      </c>
      <c r="I747" s="23" t="s">
        <v>33</v>
      </c>
      <c r="J747" s="24" t="s">
        <v>23</v>
      </c>
      <c r="K747" s="35" t="s">
        <v>31</v>
      </c>
      <c r="L747" s="25" t="s">
        <v>120</v>
      </c>
      <c r="M747" s="21" t="s">
        <v>34</v>
      </c>
      <c r="N747" s="37">
        <v>63.2</v>
      </c>
      <c r="O747" s="37">
        <v>18.14</v>
      </c>
      <c r="P747" s="26">
        <f t="shared" si="102"/>
        <v>45.06</v>
      </c>
      <c r="Q747" s="27">
        <v>545</v>
      </c>
      <c r="R747" s="28">
        <f t="shared" si="101"/>
        <v>24557.7</v>
      </c>
      <c r="S747" s="27"/>
      <c r="T747" s="29"/>
      <c r="V747" s="29" t="s">
        <v>24</v>
      </c>
      <c r="W747" s="27">
        <v>145</v>
      </c>
      <c r="X747" s="30">
        <f t="shared" si="106"/>
        <v>6533.7000000000007</v>
      </c>
      <c r="Y747" s="31">
        <v>260</v>
      </c>
      <c r="Z747" s="31">
        <f t="shared" si="107"/>
        <v>11715.6</v>
      </c>
      <c r="AA747" s="29">
        <f t="shared" si="108"/>
        <v>42807</v>
      </c>
    </row>
    <row r="748" spans="1:27" s="32" customFormat="1" x14ac:dyDescent="0.25">
      <c r="A748" s="18">
        <v>752</v>
      </c>
      <c r="B748" s="19">
        <v>46042</v>
      </c>
      <c r="C748" s="19">
        <v>45677</v>
      </c>
      <c r="D748" s="51">
        <v>260120028</v>
      </c>
      <c r="E748" s="21" t="s">
        <v>1446</v>
      </c>
      <c r="F748" s="21" t="s">
        <v>1447</v>
      </c>
      <c r="G748" s="21">
        <v>47</v>
      </c>
      <c r="H748" s="44">
        <v>115</v>
      </c>
      <c r="I748" s="23" t="s">
        <v>33</v>
      </c>
      <c r="J748" s="24" t="s">
        <v>23</v>
      </c>
      <c r="K748" s="35" t="s">
        <v>31</v>
      </c>
      <c r="L748" s="25" t="s">
        <v>122</v>
      </c>
      <c r="M748" s="21" t="s">
        <v>35</v>
      </c>
      <c r="N748" s="37">
        <v>65.739999999999995</v>
      </c>
      <c r="O748" s="37">
        <v>18.04</v>
      </c>
      <c r="P748" s="26">
        <f t="shared" si="102"/>
        <v>47.699999999999996</v>
      </c>
      <c r="Q748" s="27">
        <v>445</v>
      </c>
      <c r="R748" s="28">
        <f t="shared" si="101"/>
        <v>21226.499999999996</v>
      </c>
      <c r="S748" s="27"/>
      <c r="T748" s="29"/>
      <c r="V748" s="29" t="s">
        <v>24</v>
      </c>
      <c r="W748" s="27">
        <v>145</v>
      </c>
      <c r="X748" s="30">
        <f t="shared" si="106"/>
        <v>6916.4999999999991</v>
      </c>
      <c r="Y748" s="31">
        <v>260</v>
      </c>
      <c r="Z748" s="31">
        <f t="shared" si="107"/>
        <v>12401.999999999998</v>
      </c>
      <c r="AA748" s="29">
        <f t="shared" si="108"/>
        <v>40544.999999999993</v>
      </c>
    </row>
    <row r="749" spans="1:27" s="38" customFormat="1" x14ac:dyDescent="0.25">
      <c r="A749" s="18">
        <v>753</v>
      </c>
      <c r="B749" s="19">
        <v>46042</v>
      </c>
      <c r="C749" s="19">
        <v>45677</v>
      </c>
      <c r="D749" s="46" t="s">
        <v>1448</v>
      </c>
      <c r="E749" s="21"/>
      <c r="F749" s="21"/>
      <c r="G749" s="21"/>
      <c r="H749" s="33">
        <v>165</v>
      </c>
      <c r="I749" s="23" t="s">
        <v>805</v>
      </c>
      <c r="J749" s="34" t="s">
        <v>23</v>
      </c>
      <c r="K749" s="35" t="s">
        <v>31</v>
      </c>
      <c r="L749" s="20" t="s">
        <v>809</v>
      </c>
      <c r="M749" s="21" t="s">
        <v>289</v>
      </c>
      <c r="N749" s="37">
        <v>46.24</v>
      </c>
      <c r="O749" s="37">
        <v>11.68</v>
      </c>
      <c r="P749" s="26">
        <f t="shared" si="102"/>
        <v>34.56</v>
      </c>
      <c r="Q749" s="27">
        <v>130</v>
      </c>
      <c r="R749" s="28">
        <f t="shared" si="101"/>
        <v>4492.8</v>
      </c>
      <c r="S749" s="21"/>
      <c r="T749" s="29"/>
      <c r="V749" s="29" t="s">
        <v>45</v>
      </c>
      <c r="W749" s="27"/>
      <c r="X749" s="30">
        <f t="shared" si="106"/>
        <v>0</v>
      </c>
      <c r="Y749" s="31"/>
      <c r="Z749" s="31">
        <f t="shared" si="107"/>
        <v>0</v>
      </c>
      <c r="AA749" s="29">
        <f t="shared" si="108"/>
        <v>4492.8</v>
      </c>
    </row>
    <row r="750" spans="1:27" s="32" customFormat="1" x14ac:dyDescent="0.25">
      <c r="A750" s="18">
        <v>754</v>
      </c>
      <c r="B750" s="19">
        <v>46042</v>
      </c>
      <c r="C750" s="19">
        <v>45678</v>
      </c>
      <c r="D750" s="46" t="s">
        <v>1449</v>
      </c>
      <c r="E750" s="21"/>
      <c r="F750" s="21"/>
      <c r="G750" s="21"/>
      <c r="H750" s="33">
        <v>165</v>
      </c>
      <c r="I750" s="23" t="s">
        <v>805</v>
      </c>
      <c r="J750" s="34" t="s">
        <v>23</v>
      </c>
      <c r="K750" s="35" t="s">
        <v>31</v>
      </c>
      <c r="L750" s="20" t="s">
        <v>813</v>
      </c>
      <c r="M750" s="21" t="s">
        <v>289</v>
      </c>
      <c r="N750" s="37">
        <v>46.8</v>
      </c>
      <c r="O750" s="37">
        <v>11.66</v>
      </c>
      <c r="P750" s="26">
        <f t="shared" si="102"/>
        <v>35.14</v>
      </c>
      <c r="Q750" s="27">
        <v>130</v>
      </c>
      <c r="R750" s="28">
        <f t="shared" si="101"/>
        <v>4568.2</v>
      </c>
      <c r="S750" s="27"/>
      <c r="T750" s="29"/>
      <c r="V750" s="29" t="s">
        <v>45</v>
      </c>
      <c r="W750" s="27"/>
      <c r="X750" s="30">
        <f t="shared" si="106"/>
        <v>0</v>
      </c>
      <c r="Y750" s="31"/>
      <c r="Z750" s="31">
        <f t="shared" si="107"/>
        <v>0</v>
      </c>
      <c r="AA750" s="29">
        <f t="shared" si="108"/>
        <v>4568.2</v>
      </c>
    </row>
    <row r="751" spans="1:27" s="32" customFormat="1" x14ac:dyDescent="0.25">
      <c r="A751" s="18">
        <v>755</v>
      </c>
      <c r="B751" s="19">
        <v>46042</v>
      </c>
      <c r="C751" s="19">
        <v>45678</v>
      </c>
      <c r="D751" s="20">
        <v>260120029</v>
      </c>
      <c r="E751" s="21" t="s">
        <v>1450</v>
      </c>
      <c r="F751" s="21" t="s">
        <v>1451</v>
      </c>
      <c r="G751" s="21">
        <v>45</v>
      </c>
      <c r="H751" s="44">
        <v>115</v>
      </c>
      <c r="I751" s="23" t="s">
        <v>33</v>
      </c>
      <c r="J751" s="24" t="s">
        <v>23</v>
      </c>
      <c r="K751" s="35" t="s">
        <v>31</v>
      </c>
      <c r="L751" s="20" t="s">
        <v>62</v>
      </c>
      <c r="M751" s="21" t="s">
        <v>32</v>
      </c>
      <c r="N751" s="37">
        <v>60.42</v>
      </c>
      <c r="O751" s="37">
        <v>15.36</v>
      </c>
      <c r="P751" s="26">
        <f t="shared" si="102"/>
        <v>45.06</v>
      </c>
      <c r="Q751" s="27">
        <v>315</v>
      </c>
      <c r="R751" s="28">
        <f t="shared" si="101"/>
        <v>14193.900000000001</v>
      </c>
      <c r="S751" s="27"/>
      <c r="T751" s="29"/>
      <c r="V751" s="29" t="s">
        <v>24</v>
      </c>
      <c r="W751" s="27">
        <v>145</v>
      </c>
      <c r="X751" s="30">
        <f t="shared" si="106"/>
        <v>6533.7000000000007</v>
      </c>
      <c r="Y751" s="31">
        <v>260</v>
      </c>
      <c r="Z751" s="31">
        <f t="shared" si="107"/>
        <v>11715.6</v>
      </c>
      <c r="AA751" s="29">
        <f t="shared" si="108"/>
        <v>32443.200000000004</v>
      </c>
    </row>
    <row r="752" spans="1:27" s="32" customFormat="1" x14ac:dyDescent="0.25">
      <c r="A752" s="18">
        <v>756</v>
      </c>
      <c r="B752" s="19">
        <v>46042</v>
      </c>
      <c r="C752" s="19">
        <v>45678</v>
      </c>
      <c r="D752" s="46">
        <v>260121001</v>
      </c>
      <c r="E752" s="21" t="s">
        <v>1452</v>
      </c>
      <c r="F752" s="21" t="s">
        <v>1453</v>
      </c>
      <c r="G752" s="21">
        <v>34</v>
      </c>
      <c r="H752" s="44">
        <v>117</v>
      </c>
      <c r="I752" s="45" t="s">
        <v>47</v>
      </c>
      <c r="J752" s="24" t="s">
        <v>23</v>
      </c>
      <c r="K752" s="23" t="s">
        <v>31</v>
      </c>
      <c r="L752" s="25" t="s">
        <v>53</v>
      </c>
      <c r="M752" s="21" t="s">
        <v>32</v>
      </c>
      <c r="N752" s="37">
        <v>45.9</v>
      </c>
      <c r="O752" s="37">
        <v>11.34</v>
      </c>
      <c r="P752" s="26">
        <f t="shared" si="102"/>
        <v>34.56</v>
      </c>
      <c r="Q752" s="27">
        <v>335</v>
      </c>
      <c r="R752" s="28">
        <f t="shared" si="101"/>
        <v>11577.6</v>
      </c>
      <c r="S752" s="27"/>
      <c r="T752" s="29"/>
      <c r="V752" s="29" t="s">
        <v>24</v>
      </c>
      <c r="W752" s="27">
        <v>145</v>
      </c>
      <c r="X752" s="30">
        <f t="shared" si="106"/>
        <v>5011.2000000000007</v>
      </c>
      <c r="Y752" s="31">
        <v>230</v>
      </c>
      <c r="Z752" s="31">
        <f t="shared" si="107"/>
        <v>7948.8</v>
      </c>
      <c r="AA752" s="29">
        <f t="shared" si="108"/>
        <v>24537.600000000002</v>
      </c>
    </row>
    <row r="753" spans="1:38" s="32" customFormat="1" x14ac:dyDescent="0.25">
      <c r="A753" s="18">
        <v>757</v>
      </c>
      <c r="B753" s="19">
        <v>46042</v>
      </c>
      <c r="C753" s="19">
        <v>45678</v>
      </c>
      <c r="D753" s="46" t="s">
        <v>1454</v>
      </c>
      <c r="E753" s="21"/>
      <c r="F753" s="21"/>
      <c r="G753" s="21"/>
      <c r="H753" s="33">
        <v>165</v>
      </c>
      <c r="I753" s="23" t="s">
        <v>805</v>
      </c>
      <c r="J753" s="34" t="s">
        <v>23</v>
      </c>
      <c r="K753" s="35" t="s">
        <v>31</v>
      </c>
      <c r="L753" s="20" t="s">
        <v>806</v>
      </c>
      <c r="M753" s="21" t="s">
        <v>289</v>
      </c>
      <c r="N753" s="37">
        <v>47.02</v>
      </c>
      <c r="O753" s="37">
        <v>11.9</v>
      </c>
      <c r="P753" s="26">
        <f t="shared" si="102"/>
        <v>35.120000000000005</v>
      </c>
      <c r="Q753" s="27">
        <v>130</v>
      </c>
      <c r="R753" s="28">
        <f t="shared" ref="R753:R773" si="109">P753*Q753</f>
        <v>4565.6000000000004</v>
      </c>
      <c r="S753" s="27"/>
      <c r="T753" s="29"/>
      <c r="V753" s="29" t="s">
        <v>45</v>
      </c>
      <c r="W753" s="27"/>
      <c r="X753" s="30">
        <f t="shared" si="106"/>
        <v>0</v>
      </c>
      <c r="Y753" s="31"/>
      <c r="Z753" s="31">
        <f t="shared" si="107"/>
        <v>0</v>
      </c>
      <c r="AA753" s="29">
        <f t="shared" si="108"/>
        <v>4565.6000000000004</v>
      </c>
    </row>
    <row r="754" spans="1:38" s="32" customFormat="1" x14ac:dyDescent="0.25">
      <c r="A754" s="18">
        <v>758</v>
      </c>
      <c r="B754" s="19">
        <v>46042</v>
      </c>
      <c r="C754" s="19">
        <v>45678</v>
      </c>
      <c r="D754" s="20" t="s">
        <v>1455</v>
      </c>
      <c r="E754" s="21"/>
      <c r="F754" s="21"/>
      <c r="G754" s="21"/>
      <c r="H754" s="33">
        <v>136</v>
      </c>
      <c r="I754" s="23" t="s">
        <v>865</v>
      </c>
      <c r="J754" s="34" t="s">
        <v>23</v>
      </c>
      <c r="K754" s="35" t="s">
        <v>31</v>
      </c>
      <c r="L754" s="21" t="s">
        <v>1456</v>
      </c>
      <c r="M754" s="21" t="s">
        <v>289</v>
      </c>
      <c r="N754" s="37">
        <v>42.36</v>
      </c>
      <c r="O754" s="37">
        <v>11.84</v>
      </c>
      <c r="P754" s="26">
        <f t="shared" si="102"/>
        <v>30.52</v>
      </c>
      <c r="Q754" s="27">
        <v>130</v>
      </c>
      <c r="R754" s="28">
        <f t="shared" si="109"/>
        <v>3967.6</v>
      </c>
      <c r="S754" s="27"/>
      <c r="T754" s="29"/>
      <c r="V754" s="29" t="s">
        <v>45</v>
      </c>
      <c r="W754" s="27"/>
      <c r="X754" s="30">
        <f t="shared" si="106"/>
        <v>0</v>
      </c>
      <c r="Y754" s="31"/>
      <c r="Z754" s="31">
        <f t="shared" si="107"/>
        <v>0</v>
      </c>
      <c r="AA754" s="29">
        <f t="shared" si="108"/>
        <v>3967.6</v>
      </c>
    </row>
    <row r="755" spans="1:38" s="38" customFormat="1" x14ac:dyDescent="0.25">
      <c r="A755" s="18">
        <v>759</v>
      </c>
      <c r="B755" s="19">
        <v>46042</v>
      </c>
      <c r="C755" s="19">
        <v>45678</v>
      </c>
      <c r="D755" s="20" t="s">
        <v>1457</v>
      </c>
      <c r="E755" s="21"/>
      <c r="F755" s="21"/>
      <c r="G755" s="21"/>
      <c r="H755" s="33">
        <v>165</v>
      </c>
      <c r="I755" s="23" t="s">
        <v>805</v>
      </c>
      <c r="J755" s="34" t="s">
        <v>23</v>
      </c>
      <c r="K755" s="35" t="s">
        <v>31</v>
      </c>
      <c r="L755" s="21" t="s">
        <v>809</v>
      </c>
      <c r="M755" s="21" t="s">
        <v>289</v>
      </c>
      <c r="N755" s="37">
        <v>47.84</v>
      </c>
      <c r="O755" s="37">
        <v>11.68</v>
      </c>
      <c r="P755" s="26">
        <f t="shared" si="102"/>
        <v>36.160000000000004</v>
      </c>
      <c r="Q755" s="27">
        <v>130</v>
      </c>
      <c r="R755" s="28">
        <f t="shared" si="109"/>
        <v>4700.8</v>
      </c>
      <c r="S755" s="27"/>
      <c r="T755" s="29"/>
      <c r="V755" s="29" t="s">
        <v>45</v>
      </c>
      <c r="W755" s="27"/>
      <c r="X755" s="30">
        <f t="shared" si="106"/>
        <v>0</v>
      </c>
      <c r="Y755" s="31"/>
      <c r="Z755" s="31">
        <f t="shared" si="107"/>
        <v>0</v>
      </c>
      <c r="AA755" s="29">
        <f t="shared" si="108"/>
        <v>4700.8</v>
      </c>
    </row>
    <row r="756" spans="1:38" s="32" customFormat="1" x14ac:dyDescent="0.25">
      <c r="A756" s="18">
        <v>760</v>
      </c>
      <c r="B756" s="19">
        <v>46042</v>
      </c>
      <c r="C756" s="19">
        <v>45678</v>
      </c>
      <c r="D756" s="20">
        <v>260121002</v>
      </c>
      <c r="E756" s="21" t="s">
        <v>1458</v>
      </c>
      <c r="F756" s="21" t="s">
        <v>1459</v>
      </c>
      <c r="G756" s="21">
        <v>44</v>
      </c>
      <c r="H756" s="48">
        <v>84</v>
      </c>
      <c r="I756" s="71" t="s">
        <v>941</v>
      </c>
      <c r="J756" s="49" t="s">
        <v>23</v>
      </c>
      <c r="K756" s="23" t="s">
        <v>31</v>
      </c>
      <c r="L756" s="21" t="s">
        <v>37</v>
      </c>
      <c r="M756" s="21" t="s">
        <v>34</v>
      </c>
      <c r="N756" s="37">
        <v>60.5</v>
      </c>
      <c r="O756" s="37">
        <v>15.7</v>
      </c>
      <c r="P756" s="26">
        <f t="shared" ref="P756:P819" si="110">N756-O756</f>
        <v>44.8</v>
      </c>
      <c r="Q756" s="27">
        <v>515</v>
      </c>
      <c r="R756" s="28">
        <f t="shared" si="109"/>
        <v>23072</v>
      </c>
      <c r="S756" s="27"/>
      <c r="T756" s="29"/>
      <c r="V756" s="29" t="s">
        <v>24</v>
      </c>
      <c r="W756" s="27">
        <v>145</v>
      </c>
      <c r="X756" s="30">
        <f t="shared" si="106"/>
        <v>6496</v>
      </c>
      <c r="Y756" s="31">
        <v>210</v>
      </c>
      <c r="Z756" s="31">
        <f t="shared" si="107"/>
        <v>9408</v>
      </c>
      <c r="AA756" s="29">
        <f t="shared" si="108"/>
        <v>38976</v>
      </c>
    </row>
    <row r="757" spans="1:38" s="32" customFormat="1" x14ac:dyDescent="0.25">
      <c r="A757" s="18">
        <v>761</v>
      </c>
      <c r="B757" s="19">
        <v>46042</v>
      </c>
      <c r="C757" s="19">
        <v>45678</v>
      </c>
      <c r="D757" s="20">
        <v>260121003</v>
      </c>
      <c r="E757" s="21" t="s">
        <v>1460</v>
      </c>
      <c r="F757" s="21" t="s">
        <v>1461</v>
      </c>
      <c r="G757" s="21">
        <v>46</v>
      </c>
      <c r="H757" s="48">
        <v>84</v>
      </c>
      <c r="I757" s="71" t="s">
        <v>941</v>
      </c>
      <c r="J757" s="49" t="s">
        <v>23</v>
      </c>
      <c r="K757" s="23" t="s">
        <v>31</v>
      </c>
      <c r="L757" s="25" t="s">
        <v>46</v>
      </c>
      <c r="M757" s="21" t="s">
        <v>32</v>
      </c>
      <c r="N757" s="37">
        <v>60.98</v>
      </c>
      <c r="O757" s="37">
        <v>14.8</v>
      </c>
      <c r="P757" s="26">
        <f t="shared" si="110"/>
        <v>46.179999999999993</v>
      </c>
      <c r="Q757" s="27">
        <v>295</v>
      </c>
      <c r="R757" s="28">
        <f t="shared" si="109"/>
        <v>13623.099999999999</v>
      </c>
      <c r="S757" s="27"/>
      <c r="T757" s="29"/>
      <c r="V757" s="29" t="s">
        <v>24</v>
      </c>
      <c r="W757" s="27">
        <v>145</v>
      </c>
      <c r="X757" s="30">
        <f t="shared" si="106"/>
        <v>6696.0999999999985</v>
      </c>
      <c r="Y757" s="31">
        <v>210</v>
      </c>
      <c r="Z757" s="31">
        <f t="shared" si="107"/>
        <v>9697.7999999999993</v>
      </c>
      <c r="AA757" s="29">
        <f t="shared" si="108"/>
        <v>30016.999999999996</v>
      </c>
    </row>
    <row r="758" spans="1:38" s="32" customFormat="1" x14ac:dyDescent="0.25">
      <c r="A758" s="18">
        <v>762</v>
      </c>
      <c r="B758" s="19">
        <v>46042</v>
      </c>
      <c r="C758" s="19">
        <v>45678</v>
      </c>
      <c r="D758" s="46">
        <v>260121004</v>
      </c>
      <c r="E758" s="21" t="s">
        <v>1462</v>
      </c>
      <c r="F758" s="21" t="s">
        <v>1463</v>
      </c>
      <c r="G758" s="21">
        <v>47</v>
      </c>
      <c r="H758" s="48">
        <v>84</v>
      </c>
      <c r="I758" s="71" t="s">
        <v>941</v>
      </c>
      <c r="J758" s="49" t="s">
        <v>23</v>
      </c>
      <c r="K758" s="23" t="s">
        <v>31</v>
      </c>
      <c r="L758" s="21" t="s">
        <v>38</v>
      </c>
      <c r="M758" s="21" t="s">
        <v>34</v>
      </c>
      <c r="N758" s="37">
        <v>61.96</v>
      </c>
      <c r="O758" s="37">
        <v>14.9</v>
      </c>
      <c r="P758" s="26">
        <f t="shared" si="110"/>
        <v>47.06</v>
      </c>
      <c r="Q758" s="27">
        <v>515</v>
      </c>
      <c r="R758" s="28">
        <f t="shared" si="109"/>
        <v>24235.9</v>
      </c>
      <c r="S758" s="27"/>
      <c r="T758" s="29"/>
      <c r="V758" s="29" t="s">
        <v>24</v>
      </c>
      <c r="W758" s="27">
        <v>145</v>
      </c>
      <c r="X758" s="30">
        <f t="shared" si="106"/>
        <v>6823.7000000000007</v>
      </c>
      <c r="Y758" s="31">
        <v>210</v>
      </c>
      <c r="Z758" s="31">
        <f t="shared" si="107"/>
        <v>9882.6</v>
      </c>
      <c r="AA758" s="29">
        <f t="shared" si="108"/>
        <v>40942.200000000004</v>
      </c>
    </row>
    <row r="759" spans="1:38" s="32" customFormat="1" x14ac:dyDescent="0.25">
      <c r="A759" s="18">
        <v>763</v>
      </c>
      <c r="B759" s="19">
        <v>46042</v>
      </c>
      <c r="C759" s="19">
        <v>45678</v>
      </c>
      <c r="D759" s="20">
        <v>260121005</v>
      </c>
      <c r="E759" s="21" t="s">
        <v>1464</v>
      </c>
      <c r="F759" s="21" t="s">
        <v>1465</v>
      </c>
      <c r="G759" s="21">
        <v>44</v>
      </c>
      <c r="H759" s="48">
        <v>84</v>
      </c>
      <c r="I759" s="71" t="s">
        <v>941</v>
      </c>
      <c r="J759" s="49" t="s">
        <v>23</v>
      </c>
      <c r="K759" s="23" t="s">
        <v>31</v>
      </c>
      <c r="L759" s="21" t="s">
        <v>36</v>
      </c>
      <c r="M759" s="21" t="s">
        <v>32</v>
      </c>
      <c r="N759" s="37">
        <v>59.92</v>
      </c>
      <c r="O759" s="37">
        <v>15.78</v>
      </c>
      <c r="P759" s="26">
        <f t="shared" si="110"/>
        <v>44.14</v>
      </c>
      <c r="Q759" s="27">
        <v>295</v>
      </c>
      <c r="R759" s="28">
        <f t="shared" si="109"/>
        <v>13021.3</v>
      </c>
      <c r="S759" s="27"/>
      <c r="T759" s="29"/>
      <c r="V759" s="29" t="s">
        <v>24</v>
      </c>
      <c r="W759" s="27">
        <v>145</v>
      </c>
      <c r="X759" s="30">
        <f t="shared" si="106"/>
        <v>6400.3</v>
      </c>
      <c r="Y759" s="31">
        <v>210</v>
      </c>
      <c r="Z759" s="31">
        <f t="shared" si="107"/>
        <v>9269.4</v>
      </c>
      <c r="AA759" s="29">
        <f t="shared" si="108"/>
        <v>28691</v>
      </c>
    </row>
    <row r="760" spans="1:38" s="32" customFormat="1" x14ac:dyDescent="0.25">
      <c r="A760" s="18">
        <v>764</v>
      </c>
      <c r="B760" s="19">
        <v>46043</v>
      </c>
      <c r="C760" s="19">
        <v>46043</v>
      </c>
      <c r="D760" s="51">
        <v>260121006</v>
      </c>
      <c r="E760" s="21" t="s">
        <v>1466</v>
      </c>
      <c r="F760" s="21" t="s">
        <v>1467</v>
      </c>
      <c r="G760" s="21">
        <v>46</v>
      </c>
      <c r="H760" s="44">
        <v>117</v>
      </c>
      <c r="I760" s="45" t="s">
        <v>47</v>
      </c>
      <c r="J760" s="24" t="s">
        <v>23</v>
      </c>
      <c r="K760" s="23" t="s">
        <v>31</v>
      </c>
      <c r="L760" s="25" t="s">
        <v>61</v>
      </c>
      <c r="M760" s="21" t="s">
        <v>34</v>
      </c>
      <c r="N760" s="21">
        <v>61.46</v>
      </c>
      <c r="O760" s="21">
        <v>15.42</v>
      </c>
      <c r="P760" s="26">
        <f t="shared" si="110"/>
        <v>46.04</v>
      </c>
      <c r="Q760" s="27">
        <v>555</v>
      </c>
      <c r="R760" s="28">
        <f t="shared" si="109"/>
        <v>25552.2</v>
      </c>
      <c r="S760" s="27"/>
      <c r="T760" s="29"/>
      <c r="V760" s="29" t="s">
        <v>24</v>
      </c>
      <c r="W760" s="27">
        <v>145</v>
      </c>
      <c r="X760" s="30">
        <f t="shared" ref="X760:X773" si="111">P760*W760</f>
        <v>6675.8</v>
      </c>
      <c r="Y760" s="31">
        <v>230</v>
      </c>
      <c r="Z760" s="31">
        <f t="shared" ref="Z760:Z773" si="112">P760*Y760</f>
        <v>10589.199999999999</v>
      </c>
      <c r="AA760" s="29">
        <f t="shared" ref="AA760:AA773" si="113">R760+X760+Z760</f>
        <v>42817.2</v>
      </c>
    </row>
    <row r="761" spans="1:38" s="32" customFormat="1" x14ac:dyDescent="0.25">
      <c r="A761" s="18">
        <v>765</v>
      </c>
      <c r="B761" s="19">
        <v>46043</v>
      </c>
      <c r="C761" s="19">
        <v>46043</v>
      </c>
      <c r="D761" s="51">
        <v>260121007</v>
      </c>
      <c r="E761" s="21" t="s">
        <v>1468</v>
      </c>
      <c r="F761" s="21" t="s">
        <v>1469</v>
      </c>
      <c r="G761" s="21">
        <v>43</v>
      </c>
      <c r="H761" s="44">
        <v>117</v>
      </c>
      <c r="I761" s="45" t="s">
        <v>47</v>
      </c>
      <c r="J761" s="24" t="s">
        <v>23</v>
      </c>
      <c r="K761" s="23" t="s">
        <v>31</v>
      </c>
      <c r="L761" s="25" t="s">
        <v>711</v>
      </c>
      <c r="M761" s="21" t="s">
        <v>32</v>
      </c>
      <c r="N761" s="83">
        <v>58.76</v>
      </c>
      <c r="O761" s="21">
        <v>15.54</v>
      </c>
      <c r="P761" s="26">
        <f t="shared" si="110"/>
        <v>43.22</v>
      </c>
      <c r="Q761" s="27">
        <v>335</v>
      </c>
      <c r="R761" s="28">
        <f t="shared" si="109"/>
        <v>14478.699999999999</v>
      </c>
      <c r="S761" s="27"/>
      <c r="T761" s="29"/>
      <c r="V761" s="29" t="s">
        <v>24</v>
      </c>
      <c r="W761" s="27">
        <v>145</v>
      </c>
      <c r="X761" s="30">
        <f t="shared" si="111"/>
        <v>6266.9</v>
      </c>
      <c r="Y761" s="31">
        <v>230</v>
      </c>
      <c r="Z761" s="31">
        <f t="shared" si="112"/>
        <v>9940.6</v>
      </c>
      <c r="AA761" s="29">
        <f t="shared" si="113"/>
        <v>30686.199999999997</v>
      </c>
    </row>
    <row r="762" spans="1:38" s="32" customFormat="1" x14ac:dyDescent="0.25">
      <c r="A762" s="18">
        <v>766</v>
      </c>
      <c r="B762" s="19">
        <v>46043</v>
      </c>
      <c r="C762" s="19">
        <v>46043</v>
      </c>
      <c r="D762" s="51" t="s">
        <v>1470</v>
      </c>
      <c r="E762" s="21"/>
      <c r="F762" s="21"/>
      <c r="G762" s="21"/>
      <c r="H762" s="62"/>
      <c r="I762" s="74" t="s">
        <v>1471</v>
      </c>
      <c r="J762" s="24" t="s">
        <v>23</v>
      </c>
      <c r="K762" s="23" t="s">
        <v>31</v>
      </c>
      <c r="L762" s="82" t="s">
        <v>202</v>
      </c>
      <c r="M762" s="21" t="s">
        <v>1472</v>
      </c>
      <c r="N762" s="21">
        <v>33.4</v>
      </c>
      <c r="O762" s="21">
        <v>14.33</v>
      </c>
      <c r="P762" s="26">
        <f t="shared" si="110"/>
        <v>19.07</v>
      </c>
      <c r="Q762" s="27">
        <v>0</v>
      </c>
      <c r="R762" s="28">
        <f t="shared" si="109"/>
        <v>0</v>
      </c>
      <c r="S762" s="27"/>
      <c r="T762" s="29"/>
      <c r="V762" s="29" t="s">
        <v>24</v>
      </c>
      <c r="W762" s="27"/>
      <c r="X762" s="30">
        <f t="shared" si="111"/>
        <v>0</v>
      </c>
      <c r="Y762" s="31"/>
      <c r="Z762" s="31">
        <f t="shared" si="112"/>
        <v>0</v>
      </c>
      <c r="AA762" s="29">
        <f t="shared" si="113"/>
        <v>0</v>
      </c>
    </row>
    <row r="763" spans="1:38" s="38" customFormat="1" x14ac:dyDescent="0.25">
      <c r="A763" s="18">
        <v>767</v>
      </c>
      <c r="B763" s="19">
        <v>46043</v>
      </c>
      <c r="C763" s="19">
        <v>46043</v>
      </c>
      <c r="D763" s="51">
        <v>260121008</v>
      </c>
      <c r="E763" s="21" t="s">
        <v>1473</v>
      </c>
      <c r="F763" s="21" t="s">
        <v>1474</v>
      </c>
      <c r="G763" s="21">
        <v>34</v>
      </c>
      <c r="H763" s="48">
        <v>53</v>
      </c>
      <c r="I763" s="52" t="s">
        <v>57</v>
      </c>
      <c r="J763" s="49" t="s">
        <v>23</v>
      </c>
      <c r="K763" s="23" t="s">
        <v>31</v>
      </c>
      <c r="L763" s="25" t="s">
        <v>51</v>
      </c>
      <c r="M763" s="21" t="s">
        <v>63</v>
      </c>
      <c r="N763" s="21">
        <v>46.08</v>
      </c>
      <c r="O763" s="37">
        <v>11.38</v>
      </c>
      <c r="P763" s="26">
        <f t="shared" si="110"/>
        <v>34.699999999999996</v>
      </c>
      <c r="Q763" s="27">
        <v>425</v>
      </c>
      <c r="R763" s="28">
        <f t="shared" si="109"/>
        <v>14747.499999999998</v>
      </c>
      <c r="S763" s="27"/>
      <c r="T763" s="29"/>
      <c r="V763" s="29" t="s">
        <v>24</v>
      </c>
      <c r="W763" s="27">
        <v>145</v>
      </c>
      <c r="X763" s="30">
        <f t="shared" si="111"/>
        <v>5031.4999999999991</v>
      </c>
      <c r="Y763" s="31">
        <v>210</v>
      </c>
      <c r="Z763" s="31">
        <f t="shared" si="112"/>
        <v>7286.9999999999991</v>
      </c>
      <c r="AA763" s="29">
        <f t="shared" si="113"/>
        <v>27065.999999999996</v>
      </c>
    </row>
    <row r="764" spans="1:38" s="32" customFormat="1" x14ac:dyDescent="0.25">
      <c r="A764" s="18">
        <v>768</v>
      </c>
      <c r="B764" s="19">
        <v>46043</v>
      </c>
      <c r="C764" s="19">
        <v>46043</v>
      </c>
      <c r="D764" s="51">
        <v>260121009</v>
      </c>
      <c r="E764" s="21" t="s">
        <v>1475</v>
      </c>
      <c r="F764" s="21" t="s">
        <v>1476</v>
      </c>
      <c r="G764" s="21">
        <v>46</v>
      </c>
      <c r="H764" s="48">
        <v>53</v>
      </c>
      <c r="I764" s="52" t="s">
        <v>57</v>
      </c>
      <c r="J764" s="49" t="s">
        <v>23</v>
      </c>
      <c r="K764" s="23" t="s">
        <v>31</v>
      </c>
      <c r="L764" s="25" t="s">
        <v>38</v>
      </c>
      <c r="M764" s="21" t="s">
        <v>63</v>
      </c>
      <c r="N764" s="37">
        <v>61.86</v>
      </c>
      <c r="O764" s="21">
        <v>14.88</v>
      </c>
      <c r="P764" s="26">
        <f t="shared" si="110"/>
        <v>46.98</v>
      </c>
      <c r="Q764" s="27">
        <v>425</v>
      </c>
      <c r="R764" s="28">
        <f t="shared" si="109"/>
        <v>19966.5</v>
      </c>
      <c r="S764" s="27"/>
      <c r="T764" s="29"/>
      <c r="V764" s="29" t="s">
        <v>24</v>
      </c>
      <c r="W764" s="27">
        <v>145</v>
      </c>
      <c r="X764" s="30">
        <f t="shared" si="111"/>
        <v>6812.0999999999995</v>
      </c>
      <c r="Y764" s="31">
        <v>210</v>
      </c>
      <c r="Z764" s="31">
        <f t="shared" si="112"/>
        <v>9865.7999999999993</v>
      </c>
      <c r="AA764" s="29">
        <f t="shared" si="113"/>
        <v>36644.399999999994</v>
      </c>
    </row>
    <row r="765" spans="1:38" s="32" customFormat="1" x14ac:dyDescent="0.25">
      <c r="A765" s="18">
        <v>769</v>
      </c>
      <c r="B765" s="19">
        <v>46043</v>
      </c>
      <c r="C765" s="19">
        <v>46043</v>
      </c>
      <c r="D765" s="51">
        <v>260121010</v>
      </c>
      <c r="E765" s="21" t="s">
        <v>1477</v>
      </c>
      <c r="F765" s="21" t="s">
        <v>1478</v>
      </c>
      <c r="G765" s="21">
        <v>33</v>
      </c>
      <c r="H765" s="48">
        <v>53</v>
      </c>
      <c r="I765" s="52" t="s">
        <v>57</v>
      </c>
      <c r="J765" s="49" t="s">
        <v>23</v>
      </c>
      <c r="K765" s="23" t="s">
        <v>31</v>
      </c>
      <c r="L765" s="25" t="s">
        <v>39</v>
      </c>
      <c r="M765" s="21" t="s">
        <v>63</v>
      </c>
      <c r="N765" s="37">
        <v>45.64</v>
      </c>
      <c r="O765" s="37">
        <v>11.66</v>
      </c>
      <c r="P765" s="26">
        <f t="shared" si="110"/>
        <v>33.980000000000004</v>
      </c>
      <c r="Q765" s="27">
        <v>425</v>
      </c>
      <c r="R765" s="28">
        <f t="shared" si="109"/>
        <v>14441.500000000002</v>
      </c>
      <c r="S765" s="27"/>
      <c r="T765" s="29"/>
      <c r="V765" s="29" t="s">
        <v>24</v>
      </c>
      <c r="W765" s="27">
        <v>145</v>
      </c>
      <c r="X765" s="30">
        <f t="shared" si="111"/>
        <v>4927.1000000000004</v>
      </c>
      <c r="Y765" s="31">
        <v>210</v>
      </c>
      <c r="Z765" s="31">
        <f t="shared" si="112"/>
        <v>7135.8000000000011</v>
      </c>
      <c r="AA765" s="29">
        <f t="shared" si="113"/>
        <v>26504.400000000001</v>
      </c>
    </row>
    <row r="766" spans="1:38" s="32" customFormat="1" x14ac:dyDescent="0.25">
      <c r="A766" s="18">
        <v>770</v>
      </c>
      <c r="B766" s="19">
        <v>46043</v>
      </c>
      <c r="C766" s="19">
        <v>46043</v>
      </c>
      <c r="D766" s="51">
        <v>260121011</v>
      </c>
      <c r="E766" s="21" t="s">
        <v>1479</v>
      </c>
      <c r="F766" s="21" t="s">
        <v>1480</v>
      </c>
      <c r="G766" s="21">
        <v>46</v>
      </c>
      <c r="H766" s="48">
        <v>53</v>
      </c>
      <c r="I766" s="52" t="s">
        <v>57</v>
      </c>
      <c r="J766" s="49" t="s">
        <v>23</v>
      </c>
      <c r="K766" s="23" t="s">
        <v>31</v>
      </c>
      <c r="L766" s="25" t="s">
        <v>46</v>
      </c>
      <c r="M766" s="21" t="s">
        <v>63</v>
      </c>
      <c r="N766" s="37">
        <v>61.34</v>
      </c>
      <c r="O766" s="37">
        <v>14.76</v>
      </c>
      <c r="P766" s="26">
        <f t="shared" si="110"/>
        <v>46.580000000000005</v>
      </c>
      <c r="Q766" s="27">
        <v>425</v>
      </c>
      <c r="R766" s="28">
        <f t="shared" si="109"/>
        <v>19796.500000000004</v>
      </c>
      <c r="S766" s="27"/>
      <c r="T766" s="29"/>
      <c r="V766" s="29" t="s">
        <v>24</v>
      </c>
      <c r="W766" s="27">
        <v>145</v>
      </c>
      <c r="X766" s="30">
        <f t="shared" si="111"/>
        <v>6754.1</v>
      </c>
      <c r="Y766" s="31">
        <v>210</v>
      </c>
      <c r="Z766" s="31">
        <f t="shared" si="112"/>
        <v>9781.8000000000011</v>
      </c>
      <c r="AA766" s="29">
        <f t="shared" si="113"/>
        <v>36332.400000000009</v>
      </c>
    </row>
    <row r="767" spans="1:38" s="32" customFormat="1" x14ac:dyDescent="0.25">
      <c r="A767" s="18">
        <v>771</v>
      </c>
      <c r="B767" s="19">
        <v>46043</v>
      </c>
      <c r="C767" s="19">
        <v>46043</v>
      </c>
      <c r="D767" s="51">
        <v>260121012</v>
      </c>
      <c r="E767" s="21" t="s">
        <v>1481</v>
      </c>
      <c r="F767" s="21" t="s">
        <v>1482</v>
      </c>
      <c r="G767" s="21">
        <v>45</v>
      </c>
      <c r="H767" s="48">
        <v>53</v>
      </c>
      <c r="I767" s="52" t="s">
        <v>57</v>
      </c>
      <c r="J767" s="49" t="s">
        <v>23</v>
      </c>
      <c r="K767" s="23" t="s">
        <v>31</v>
      </c>
      <c r="L767" s="25" t="s">
        <v>37</v>
      </c>
      <c r="M767" s="21" t="s">
        <v>63</v>
      </c>
      <c r="N767" s="37">
        <v>61.32</v>
      </c>
      <c r="O767" s="37">
        <v>15.82</v>
      </c>
      <c r="P767" s="26">
        <f t="shared" si="110"/>
        <v>45.5</v>
      </c>
      <c r="Q767" s="27">
        <v>425</v>
      </c>
      <c r="R767" s="28">
        <f t="shared" si="109"/>
        <v>19337.5</v>
      </c>
      <c r="S767" s="27"/>
      <c r="T767" s="29"/>
      <c r="V767" s="29" t="s">
        <v>24</v>
      </c>
      <c r="W767" s="27">
        <v>145</v>
      </c>
      <c r="X767" s="30">
        <f t="shared" si="111"/>
        <v>6597.5</v>
      </c>
      <c r="Y767" s="31">
        <v>210</v>
      </c>
      <c r="Z767" s="31">
        <f t="shared" si="112"/>
        <v>9555</v>
      </c>
      <c r="AA767" s="29">
        <f t="shared" si="113"/>
        <v>35490</v>
      </c>
      <c r="AB767" s="40"/>
      <c r="AC767" s="39"/>
      <c r="AD767" s="41"/>
      <c r="AE767" s="42"/>
      <c r="AF767" s="39"/>
      <c r="AG767" s="42"/>
      <c r="AH767" s="39"/>
      <c r="AI767" s="41"/>
      <c r="AJ767" s="39"/>
      <c r="AK767" s="41"/>
      <c r="AL767" s="41"/>
    </row>
    <row r="768" spans="1:38" s="32" customFormat="1" x14ac:dyDescent="0.25">
      <c r="A768" s="18">
        <v>772</v>
      </c>
      <c r="B768" s="19">
        <v>46043</v>
      </c>
      <c r="C768" s="19">
        <v>46043</v>
      </c>
      <c r="D768" s="51">
        <v>260121013</v>
      </c>
      <c r="E768" s="21" t="s">
        <v>1483</v>
      </c>
      <c r="F768" s="21" t="s">
        <v>1484</v>
      </c>
      <c r="G768" s="21">
        <v>35</v>
      </c>
      <c r="H768" s="44">
        <v>117</v>
      </c>
      <c r="I768" s="45" t="s">
        <v>47</v>
      </c>
      <c r="J768" s="24" t="s">
        <v>23</v>
      </c>
      <c r="K768" s="23" t="s">
        <v>31</v>
      </c>
      <c r="L768" s="25" t="s">
        <v>43</v>
      </c>
      <c r="M768" s="21" t="s">
        <v>34</v>
      </c>
      <c r="N768" s="37">
        <v>46.64</v>
      </c>
      <c r="O768" s="37">
        <v>11.36</v>
      </c>
      <c r="P768" s="26">
        <f t="shared" si="110"/>
        <v>35.28</v>
      </c>
      <c r="Q768" s="27">
        <v>555</v>
      </c>
      <c r="R768" s="28">
        <f t="shared" si="109"/>
        <v>19580.400000000001</v>
      </c>
      <c r="S768" s="27"/>
      <c r="T768" s="29"/>
      <c r="V768" s="29" t="s">
        <v>24</v>
      </c>
      <c r="W768" s="27">
        <v>145</v>
      </c>
      <c r="X768" s="30">
        <f t="shared" si="111"/>
        <v>5115.6000000000004</v>
      </c>
      <c r="Y768" s="31">
        <v>230</v>
      </c>
      <c r="Z768" s="31">
        <f t="shared" si="112"/>
        <v>8114.4000000000005</v>
      </c>
      <c r="AA768" s="29">
        <f t="shared" si="113"/>
        <v>32810.400000000001</v>
      </c>
    </row>
    <row r="769" spans="1:27" s="32" customFormat="1" x14ac:dyDescent="0.25">
      <c r="A769" s="18">
        <v>773</v>
      </c>
      <c r="B769" s="19">
        <v>46043</v>
      </c>
      <c r="C769" s="19">
        <v>46043</v>
      </c>
      <c r="D769" s="51">
        <v>260121014</v>
      </c>
      <c r="E769" s="21" t="s">
        <v>1485</v>
      </c>
      <c r="F769" s="21" t="s">
        <v>1486</v>
      </c>
      <c r="G769" s="21">
        <v>44</v>
      </c>
      <c r="H769" s="44">
        <v>117</v>
      </c>
      <c r="I769" s="45" t="s">
        <v>47</v>
      </c>
      <c r="J769" s="24" t="s">
        <v>23</v>
      </c>
      <c r="K769" s="23" t="s">
        <v>31</v>
      </c>
      <c r="L769" s="25" t="s">
        <v>61</v>
      </c>
      <c r="M769" s="21" t="s">
        <v>32</v>
      </c>
      <c r="N769" s="37">
        <v>59.84</v>
      </c>
      <c r="O769" s="37">
        <v>15.36</v>
      </c>
      <c r="P769" s="26">
        <f t="shared" si="110"/>
        <v>44.480000000000004</v>
      </c>
      <c r="Q769" s="27">
        <v>335</v>
      </c>
      <c r="R769" s="28">
        <f t="shared" si="109"/>
        <v>14900.800000000001</v>
      </c>
      <c r="S769" s="27"/>
      <c r="T769" s="29"/>
      <c r="V769" s="29" t="s">
        <v>24</v>
      </c>
      <c r="W769" s="27">
        <v>145</v>
      </c>
      <c r="X769" s="30">
        <f t="shared" si="111"/>
        <v>6449.6</v>
      </c>
      <c r="Y769" s="31">
        <v>230</v>
      </c>
      <c r="Z769" s="31">
        <f t="shared" si="112"/>
        <v>10230.400000000001</v>
      </c>
      <c r="AA769" s="29">
        <f t="shared" si="113"/>
        <v>31580.800000000003</v>
      </c>
    </row>
    <row r="770" spans="1:27" s="32" customFormat="1" x14ac:dyDescent="0.25">
      <c r="A770" s="18">
        <v>774</v>
      </c>
      <c r="B770" s="19">
        <v>46043</v>
      </c>
      <c r="C770" s="19">
        <v>46043</v>
      </c>
      <c r="D770" s="51">
        <v>260121015</v>
      </c>
      <c r="E770" s="21" t="s">
        <v>1487</v>
      </c>
      <c r="F770" s="21" t="s">
        <v>1488</v>
      </c>
      <c r="G770" s="21">
        <v>42</v>
      </c>
      <c r="H770" s="44">
        <v>117</v>
      </c>
      <c r="I770" s="45" t="s">
        <v>47</v>
      </c>
      <c r="J770" s="24" t="s">
        <v>23</v>
      </c>
      <c r="K770" s="23" t="s">
        <v>31</v>
      </c>
      <c r="L770" s="82" t="s">
        <v>60</v>
      </c>
      <c r="M770" s="21" t="s">
        <v>34</v>
      </c>
      <c r="N770" s="37">
        <v>56.72</v>
      </c>
      <c r="O770" s="37">
        <v>14.1</v>
      </c>
      <c r="P770" s="26">
        <f t="shared" si="110"/>
        <v>42.62</v>
      </c>
      <c r="Q770" s="27">
        <v>555</v>
      </c>
      <c r="R770" s="28">
        <f t="shared" si="109"/>
        <v>23654.1</v>
      </c>
      <c r="S770" s="27"/>
      <c r="T770" s="29"/>
      <c r="V770" s="29" t="s">
        <v>24</v>
      </c>
      <c r="W770" s="27">
        <v>145</v>
      </c>
      <c r="X770" s="30">
        <f t="shared" si="111"/>
        <v>6179.9</v>
      </c>
      <c r="Y770" s="31">
        <v>230</v>
      </c>
      <c r="Z770" s="31">
        <f t="shared" si="112"/>
        <v>9802.5999999999985</v>
      </c>
      <c r="AA770" s="29">
        <f t="shared" si="113"/>
        <v>39636.6</v>
      </c>
    </row>
    <row r="771" spans="1:27" s="32" customFormat="1" x14ac:dyDescent="0.25">
      <c r="A771" s="18">
        <v>775</v>
      </c>
      <c r="B771" s="19">
        <v>46043</v>
      </c>
      <c r="C771" s="19">
        <v>46043</v>
      </c>
      <c r="D771" s="51" t="s">
        <v>1489</v>
      </c>
      <c r="E771" s="21"/>
      <c r="F771" s="21"/>
      <c r="G771" s="21"/>
      <c r="H771" s="62"/>
      <c r="I771" s="51" t="s">
        <v>201</v>
      </c>
      <c r="J771" s="89" t="s">
        <v>23</v>
      </c>
      <c r="K771" s="90" t="s">
        <v>31</v>
      </c>
      <c r="L771" s="25" t="s">
        <v>308</v>
      </c>
      <c r="M771" s="25" t="s">
        <v>1490</v>
      </c>
      <c r="N771" s="37">
        <v>25.04</v>
      </c>
      <c r="O771" s="37">
        <v>14.56</v>
      </c>
      <c r="P771" s="26">
        <f t="shared" si="110"/>
        <v>10.479999999999999</v>
      </c>
      <c r="Q771" s="27">
        <v>0</v>
      </c>
      <c r="R771" s="28">
        <f t="shared" si="109"/>
        <v>0</v>
      </c>
      <c r="S771" s="27"/>
      <c r="T771" s="29"/>
      <c r="V771" s="29" t="s">
        <v>24</v>
      </c>
      <c r="W771" s="27"/>
      <c r="X771" s="30">
        <f t="shared" si="111"/>
        <v>0</v>
      </c>
      <c r="Y771" s="31"/>
      <c r="Z771" s="31">
        <f t="shared" si="112"/>
        <v>0</v>
      </c>
      <c r="AA771" s="29">
        <f t="shared" si="113"/>
        <v>0</v>
      </c>
    </row>
    <row r="772" spans="1:27" s="38" customFormat="1" x14ac:dyDescent="0.25">
      <c r="A772" s="18">
        <v>776</v>
      </c>
      <c r="B772" s="19">
        <v>46043</v>
      </c>
      <c r="C772" s="19">
        <v>46043</v>
      </c>
      <c r="D772" s="51" t="s">
        <v>1491</v>
      </c>
      <c r="E772" s="21"/>
      <c r="F772" s="21"/>
      <c r="G772" s="21"/>
      <c r="H772" s="62"/>
      <c r="I772" s="51" t="s">
        <v>201</v>
      </c>
      <c r="J772" s="89" t="s">
        <v>23</v>
      </c>
      <c r="K772" s="90" t="s">
        <v>31</v>
      </c>
      <c r="L772" s="25" t="s">
        <v>335</v>
      </c>
      <c r="M772" s="25" t="s">
        <v>203</v>
      </c>
      <c r="N772" s="37">
        <v>27.02</v>
      </c>
      <c r="O772" s="37">
        <v>13.96</v>
      </c>
      <c r="P772" s="26">
        <f t="shared" si="110"/>
        <v>13.059999999999999</v>
      </c>
      <c r="Q772" s="27">
        <v>0</v>
      </c>
      <c r="R772" s="28">
        <f t="shared" si="109"/>
        <v>0</v>
      </c>
      <c r="S772" s="27"/>
      <c r="T772" s="29"/>
      <c r="V772" s="29" t="s">
        <v>24</v>
      </c>
      <c r="W772" s="27"/>
      <c r="X772" s="30">
        <f t="shared" si="111"/>
        <v>0</v>
      </c>
      <c r="Y772" s="31"/>
      <c r="Z772" s="31">
        <f t="shared" si="112"/>
        <v>0</v>
      </c>
      <c r="AA772" s="29">
        <f t="shared" si="113"/>
        <v>0</v>
      </c>
    </row>
    <row r="773" spans="1:27" s="38" customFormat="1" x14ac:dyDescent="0.25">
      <c r="A773" s="18">
        <v>777</v>
      </c>
      <c r="B773" s="19">
        <v>46043</v>
      </c>
      <c r="C773" s="19">
        <v>46043</v>
      </c>
      <c r="D773" s="51">
        <v>260121016</v>
      </c>
      <c r="E773" s="21" t="s">
        <v>1492</v>
      </c>
      <c r="F773" s="21" t="s">
        <v>1493</v>
      </c>
      <c r="G773" s="21">
        <v>43</v>
      </c>
      <c r="H773" s="44">
        <v>117</v>
      </c>
      <c r="I773" s="45" t="s">
        <v>47</v>
      </c>
      <c r="J773" s="24" t="s">
        <v>23</v>
      </c>
      <c r="K773" s="23" t="s">
        <v>31</v>
      </c>
      <c r="L773" s="25" t="s">
        <v>711</v>
      </c>
      <c r="M773" s="21" t="s">
        <v>32</v>
      </c>
      <c r="N773" s="37">
        <v>59.3</v>
      </c>
      <c r="O773" s="37">
        <v>15.74</v>
      </c>
      <c r="P773" s="26">
        <f t="shared" si="110"/>
        <v>43.559999999999995</v>
      </c>
      <c r="Q773" s="27">
        <v>335</v>
      </c>
      <c r="R773" s="28">
        <f t="shared" si="109"/>
        <v>14592.599999999999</v>
      </c>
      <c r="S773" s="27"/>
      <c r="T773" s="29"/>
      <c r="V773" s="29" t="s">
        <v>24</v>
      </c>
      <c r="W773" s="27">
        <v>145</v>
      </c>
      <c r="X773" s="30">
        <f t="shared" si="111"/>
        <v>6316.1999999999989</v>
      </c>
      <c r="Y773" s="31">
        <v>230</v>
      </c>
      <c r="Z773" s="31">
        <f t="shared" si="112"/>
        <v>10018.799999999999</v>
      </c>
      <c r="AA773" s="29">
        <f t="shared" si="113"/>
        <v>30927.599999999995</v>
      </c>
    </row>
    <row r="774" spans="1:27" s="38" customFormat="1" x14ac:dyDescent="0.25">
      <c r="A774" s="18">
        <v>778</v>
      </c>
      <c r="B774" s="19">
        <v>46043</v>
      </c>
      <c r="C774" s="19">
        <v>46043</v>
      </c>
      <c r="D774" s="51">
        <v>260121017</v>
      </c>
      <c r="E774" s="21" t="s">
        <v>1494</v>
      </c>
      <c r="F774" s="21" t="s">
        <v>1495</v>
      </c>
      <c r="G774" s="21">
        <v>28</v>
      </c>
      <c r="H774" s="62"/>
      <c r="I774" s="45" t="s">
        <v>1496</v>
      </c>
      <c r="J774" s="24" t="s">
        <v>23</v>
      </c>
      <c r="K774" s="23" t="s">
        <v>31</v>
      </c>
      <c r="L774" s="25" t="s">
        <v>53</v>
      </c>
      <c r="M774" s="21" t="s">
        <v>203</v>
      </c>
      <c r="N774" s="37">
        <v>39.979999999999997</v>
      </c>
      <c r="O774" s="37">
        <v>11.38</v>
      </c>
      <c r="P774" s="26">
        <f t="shared" si="110"/>
        <v>28.599999999999994</v>
      </c>
      <c r="Q774" s="27">
        <v>0</v>
      </c>
      <c r="R774" s="28"/>
      <c r="S774" s="27"/>
      <c r="T774" s="29"/>
      <c r="V774" s="29" t="s">
        <v>24</v>
      </c>
      <c r="W774" s="27"/>
      <c r="X774" s="30"/>
      <c r="Y774" s="31"/>
      <c r="Z774" s="31"/>
      <c r="AA774" s="29"/>
    </row>
    <row r="775" spans="1:27" s="32" customFormat="1" x14ac:dyDescent="0.25">
      <c r="A775" s="18">
        <v>779</v>
      </c>
      <c r="B775" s="19">
        <v>46043</v>
      </c>
      <c r="C775" s="19">
        <v>46043</v>
      </c>
      <c r="D775" s="51">
        <v>260121018</v>
      </c>
      <c r="E775" s="21" t="s">
        <v>1497</v>
      </c>
      <c r="F775" s="21" t="s">
        <v>1498</v>
      </c>
      <c r="G775" s="21">
        <v>43</v>
      </c>
      <c r="H775" s="36">
        <v>130</v>
      </c>
      <c r="I775" s="23" t="s">
        <v>1499</v>
      </c>
      <c r="J775" s="24" t="s">
        <v>23</v>
      </c>
      <c r="K775" s="23" t="s">
        <v>31</v>
      </c>
      <c r="L775" s="25" t="s">
        <v>1500</v>
      </c>
      <c r="M775" s="21" t="s">
        <v>32</v>
      </c>
      <c r="N775" s="37">
        <v>58.8</v>
      </c>
      <c r="O775" s="37">
        <v>15.44</v>
      </c>
      <c r="P775" s="26">
        <f t="shared" si="110"/>
        <v>43.36</v>
      </c>
      <c r="Q775" s="27">
        <v>305</v>
      </c>
      <c r="R775" s="28">
        <f t="shared" ref="R775:R838" si="114">P775*Q775</f>
        <v>13224.8</v>
      </c>
      <c r="S775" s="27"/>
      <c r="T775" s="29"/>
      <c r="V775" s="29" t="s">
        <v>24</v>
      </c>
      <c r="W775" s="27">
        <v>145</v>
      </c>
      <c r="X775" s="30">
        <f t="shared" ref="X775:X796" si="115">P775*W775</f>
        <v>6287.2</v>
      </c>
      <c r="Y775" s="31"/>
      <c r="Z775" s="31">
        <f t="shared" ref="Z775:Z796" si="116">P775*Y775</f>
        <v>0</v>
      </c>
      <c r="AA775" s="29">
        <f t="shared" ref="AA775:AA796" si="117">R775+X775+Z775</f>
        <v>19512</v>
      </c>
    </row>
    <row r="776" spans="1:27" s="32" customFormat="1" x14ac:dyDescent="0.25">
      <c r="A776" s="18">
        <v>780</v>
      </c>
      <c r="B776" s="19">
        <v>46043</v>
      </c>
      <c r="C776" s="19">
        <v>46043</v>
      </c>
      <c r="D776" s="51">
        <v>260121019</v>
      </c>
      <c r="E776" s="21" t="s">
        <v>1501</v>
      </c>
      <c r="F776" s="21" t="s">
        <v>1502</v>
      </c>
      <c r="G776" s="21">
        <v>44</v>
      </c>
      <c r="H776" s="36">
        <v>131</v>
      </c>
      <c r="I776" s="90" t="s">
        <v>1503</v>
      </c>
      <c r="J776" s="24" t="s">
        <v>23</v>
      </c>
      <c r="K776" s="23" t="s">
        <v>31</v>
      </c>
      <c r="L776" s="25" t="s">
        <v>37</v>
      </c>
      <c r="M776" s="21" t="s">
        <v>34</v>
      </c>
      <c r="N776" s="37">
        <v>60.38</v>
      </c>
      <c r="O776" s="37">
        <v>15.86</v>
      </c>
      <c r="P776" s="26">
        <f t="shared" si="110"/>
        <v>44.52</v>
      </c>
      <c r="Q776" s="27">
        <v>535</v>
      </c>
      <c r="R776" s="28">
        <f t="shared" si="114"/>
        <v>23818.2</v>
      </c>
      <c r="S776" s="27"/>
      <c r="T776" s="29"/>
      <c r="V776" s="29" t="s">
        <v>24</v>
      </c>
      <c r="W776" s="27">
        <v>145</v>
      </c>
      <c r="X776" s="30">
        <f t="shared" si="115"/>
        <v>6455.4000000000005</v>
      </c>
      <c r="Y776" s="31">
        <v>200</v>
      </c>
      <c r="Z776" s="31">
        <f t="shared" si="116"/>
        <v>8904</v>
      </c>
      <c r="AA776" s="29">
        <f t="shared" si="117"/>
        <v>39177.600000000006</v>
      </c>
    </row>
    <row r="777" spans="1:27" s="32" customFormat="1" x14ac:dyDescent="0.25">
      <c r="A777" s="18">
        <v>781</v>
      </c>
      <c r="B777" s="19">
        <v>46043</v>
      </c>
      <c r="C777" s="19">
        <v>46043</v>
      </c>
      <c r="D777" s="51">
        <v>260121020</v>
      </c>
      <c r="E777" s="21" t="s">
        <v>1504</v>
      </c>
      <c r="F777" s="21" t="s">
        <v>1505</v>
      </c>
      <c r="G777" s="21">
        <v>33</v>
      </c>
      <c r="H777" s="36">
        <v>131</v>
      </c>
      <c r="I777" s="90" t="s">
        <v>1503</v>
      </c>
      <c r="J777" s="24" t="s">
        <v>23</v>
      </c>
      <c r="K777" s="23" t="s">
        <v>31</v>
      </c>
      <c r="L777" s="25" t="s">
        <v>39</v>
      </c>
      <c r="M777" s="21" t="s">
        <v>34</v>
      </c>
      <c r="N777" s="37">
        <v>44.98</v>
      </c>
      <c r="O777" s="37">
        <v>11.72</v>
      </c>
      <c r="P777" s="26">
        <f t="shared" si="110"/>
        <v>33.26</v>
      </c>
      <c r="Q777" s="27">
        <v>535</v>
      </c>
      <c r="R777" s="28">
        <f t="shared" si="114"/>
        <v>17794.099999999999</v>
      </c>
      <c r="S777" s="27"/>
      <c r="T777" s="29"/>
      <c r="V777" s="29" t="s">
        <v>24</v>
      </c>
      <c r="W777" s="27">
        <v>145</v>
      </c>
      <c r="X777" s="30">
        <f t="shared" si="115"/>
        <v>4822.7</v>
      </c>
      <c r="Y777" s="31">
        <v>200</v>
      </c>
      <c r="Z777" s="31">
        <f t="shared" si="116"/>
        <v>6652</v>
      </c>
      <c r="AA777" s="29">
        <f t="shared" si="117"/>
        <v>29268.799999999999</v>
      </c>
    </row>
    <row r="778" spans="1:27" s="38" customFormat="1" x14ac:dyDescent="0.25">
      <c r="A778" s="18">
        <v>782</v>
      </c>
      <c r="B778" s="19">
        <v>46043</v>
      </c>
      <c r="C778" s="19">
        <v>46043</v>
      </c>
      <c r="D778" s="51">
        <v>260121021</v>
      </c>
      <c r="E778" s="21" t="s">
        <v>1506</v>
      </c>
      <c r="F778" s="21" t="s">
        <v>1507</v>
      </c>
      <c r="G778" s="21">
        <v>45</v>
      </c>
      <c r="H778" s="36">
        <v>131</v>
      </c>
      <c r="I778" s="90" t="s">
        <v>1503</v>
      </c>
      <c r="J778" s="24" t="s">
        <v>23</v>
      </c>
      <c r="K778" s="23" t="s">
        <v>31</v>
      </c>
      <c r="L778" s="25" t="s">
        <v>38</v>
      </c>
      <c r="M778" s="21" t="s">
        <v>32</v>
      </c>
      <c r="N778" s="37">
        <v>59.96</v>
      </c>
      <c r="O778" s="37">
        <v>14.92</v>
      </c>
      <c r="P778" s="26">
        <f t="shared" si="110"/>
        <v>45.04</v>
      </c>
      <c r="Q778" s="27">
        <v>285</v>
      </c>
      <c r="R778" s="28">
        <f t="shared" si="114"/>
        <v>12836.4</v>
      </c>
      <c r="S778" s="27"/>
      <c r="T778" s="29"/>
      <c r="V778" s="29" t="s">
        <v>24</v>
      </c>
      <c r="W778" s="27">
        <v>145</v>
      </c>
      <c r="X778" s="30">
        <f t="shared" si="115"/>
        <v>6530.8</v>
      </c>
      <c r="Y778" s="31">
        <v>200</v>
      </c>
      <c r="Z778" s="31">
        <f t="shared" si="116"/>
        <v>9008</v>
      </c>
      <c r="AA778" s="29">
        <f t="shared" si="117"/>
        <v>28375.200000000001</v>
      </c>
    </row>
    <row r="779" spans="1:27" s="38" customFormat="1" x14ac:dyDescent="0.25">
      <c r="A779" s="18">
        <v>783</v>
      </c>
      <c r="B779" s="19">
        <v>46043</v>
      </c>
      <c r="C779" s="19">
        <v>46043</v>
      </c>
      <c r="D779" s="51">
        <v>260121022</v>
      </c>
      <c r="E779" s="21" t="s">
        <v>1508</v>
      </c>
      <c r="F779" s="21" t="s">
        <v>1509</v>
      </c>
      <c r="G779" s="21">
        <v>45</v>
      </c>
      <c r="H779" s="36">
        <v>131</v>
      </c>
      <c r="I779" s="90" t="s">
        <v>1503</v>
      </c>
      <c r="J779" s="24" t="s">
        <v>23</v>
      </c>
      <c r="K779" s="23" t="s">
        <v>31</v>
      </c>
      <c r="L779" s="25" t="s">
        <v>46</v>
      </c>
      <c r="M779" s="21" t="s">
        <v>32</v>
      </c>
      <c r="N779" s="37">
        <v>60.7</v>
      </c>
      <c r="O779" s="37">
        <v>14.8</v>
      </c>
      <c r="P779" s="26">
        <f t="shared" si="110"/>
        <v>45.900000000000006</v>
      </c>
      <c r="Q779" s="27">
        <v>285</v>
      </c>
      <c r="R779" s="28">
        <f t="shared" si="114"/>
        <v>13081.500000000002</v>
      </c>
      <c r="S779" s="27"/>
      <c r="T779" s="29"/>
      <c r="V779" s="29" t="s">
        <v>24</v>
      </c>
      <c r="W779" s="27">
        <v>145</v>
      </c>
      <c r="X779" s="30">
        <f t="shared" si="115"/>
        <v>6655.5000000000009</v>
      </c>
      <c r="Y779" s="31">
        <v>200</v>
      </c>
      <c r="Z779" s="31">
        <f t="shared" si="116"/>
        <v>9180.0000000000018</v>
      </c>
      <c r="AA779" s="29">
        <f t="shared" si="117"/>
        <v>28917.000000000007</v>
      </c>
    </row>
    <row r="780" spans="1:27" s="32" customFormat="1" x14ac:dyDescent="0.25">
      <c r="A780" s="18">
        <v>784</v>
      </c>
      <c r="B780" s="19">
        <v>46043</v>
      </c>
      <c r="C780" s="19">
        <v>46043</v>
      </c>
      <c r="D780" s="91">
        <v>260121023</v>
      </c>
      <c r="E780" s="21" t="s">
        <v>1510</v>
      </c>
      <c r="F780" s="21" t="s">
        <v>1511</v>
      </c>
      <c r="G780" s="21">
        <v>33</v>
      </c>
      <c r="H780" s="36">
        <v>131</v>
      </c>
      <c r="I780" s="90" t="s">
        <v>1503</v>
      </c>
      <c r="J780" s="24" t="s">
        <v>23</v>
      </c>
      <c r="K780" s="23" t="s">
        <v>31</v>
      </c>
      <c r="L780" s="20" t="s">
        <v>42</v>
      </c>
      <c r="M780" s="21" t="s">
        <v>34</v>
      </c>
      <c r="N780" s="37">
        <v>45.3</v>
      </c>
      <c r="O780" s="37">
        <v>11.76</v>
      </c>
      <c r="P780" s="26">
        <f t="shared" si="110"/>
        <v>33.54</v>
      </c>
      <c r="Q780" s="27">
        <v>535</v>
      </c>
      <c r="R780" s="28">
        <f t="shared" si="114"/>
        <v>17943.899999999998</v>
      </c>
      <c r="S780" s="27"/>
      <c r="T780" s="29"/>
      <c r="V780" s="29" t="s">
        <v>24</v>
      </c>
      <c r="W780" s="27">
        <v>145</v>
      </c>
      <c r="X780" s="30">
        <f t="shared" si="115"/>
        <v>4863.3</v>
      </c>
      <c r="Y780" s="31">
        <v>200</v>
      </c>
      <c r="Z780" s="31">
        <f t="shared" si="116"/>
        <v>6708</v>
      </c>
      <c r="AA780" s="29">
        <f t="shared" si="117"/>
        <v>29515.199999999997</v>
      </c>
    </row>
    <row r="781" spans="1:27" s="32" customFormat="1" x14ac:dyDescent="0.25">
      <c r="A781" s="18">
        <v>785</v>
      </c>
      <c r="B781" s="19">
        <v>46043</v>
      </c>
      <c r="C781" s="19">
        <v>46043</v>
      </c>
      <c r="D781" s="51">
        <v>260121024</v>
      </c>
      <c r="E781" s="21" t="s">
        <v>1512</v>
      </c>
      <c r="F781" s="21" t="s">
        <v>1513</v>
      </c>
      <c r="G781" s="21">
        <v>33</v>
      </c>
      <c r="H781" s="44">
        <v>115</v>
      </c>
      <c r="I781" s="23" t="s">
        <v>33</v>
      </c>
      <c r="J781" s="24" t="s">
        <v>23</v>
      </c>
      <c r="K781" s="35" t="s">
        <v>31</v>
      </c>
      <c r="L781" s="25" t="s">
        <v>51</v>
      </c>
      <c r="M781" s="21" t="s">
        <v>32</v>
      </c>
      <c r="N781" s="37">
        <v>44.68</v>
      </c>
      <c r="O781" s="37">
        <v>11.46</v>
      </c>
      <c r="P781" s="26">
        <f t="shared" si="110"/>
        <v>33.22</v>
      </c>
      <c r="Q781" s="27">
        <v>315</v>
      </c>
      <c r="R781" s="28">
        <f t="shared" si="114"/>
        <v>10464.299999999999</v>
      </c>
      <c r="S781" s="27"/>
      <c r="T781" s="29"/>
      <c r="V781" s="29" t="s">
        <v>24</v>
      </c>
      <c r="W781" s="27">
        <v>145</v>
      </c>
      <c r="X781" s="30">
        <f t="shared" si="115"/>
        <v>4816.8999999999996</v>
      </c>
      <c r="Y781" s="31">
        <v>260</v>
      </c>
      <c r="Z781" s="31">
        <f t="shared" si="116"/>
        <v>8637.1999999999989</v>
      </c>
      <c r="AA781" s="29">
        <f t="shared" si="117"/>
        <v>23918.399999999998</v>
      </c>
    </row>
    <row r="782" spans="1:27" s="32" customFormat="1" x14ac:dyDescent="0.25">
      <c r="A782" s="18">
        <v>786</v>
      </c>
      <c r="B782" s="19">
        <v>46043</v>
      </c>
      <c r="C782" s="19">
        <v>46043</v>
      </c>
      <c r="D782" s="51" t="s">
        <v>1514</v>
      </c>
      <c r="E782" s="21"/>
      <c r="F782" s="21"/>
      <c r="G782" s="21"/>
      <c r="H782" s="62"/>
      <c r="I782" s="73" t="s">
        <v>1515</v>
      </c>
      <c r="J782" s="24" t="s">
        <v>23</v>
      </c>
      <c r="K782" s="23" t="s">
        <v>30</v>
      </c>
      <c r="L782" s="46" t="s">
        <v>1516</v>
      </c>
      <c r="M782" s="21" t="s">
        <v>63</v>
      </c>
      <c r="N782" s="37">
        <v>17.22</v>
      </c>
      <c r="O782" s="37">
        <v>7.3</v>
      </c>
      <c r="P782" s="26">
        <f t="shared" si="110"/>
        <v>9.9199999999999982</v>
      </c>
      <c r="Q782" s="27">
        <v>425</v>
      </c>
      <c r="R782" s="28">
        <f t="shared" si="114"/>
        <v>4215.9999999999991</v>
      </c>
      <c r="S782" s="27">
        <v>4216</v>
      </c>
      <c r="T782" s="29"/>
      <c r="V782" s="29" t="s">
        <v>24</v>
      </c>
      <c r="W782" s="27"/>
      <c r="X782" s="30">
        <f t="shared" si="115"/>
        <v>0</v>
      </c>
      <c r="Y782" s="31"/>
      <c r="Z782" s="31">
        <f t="shared" si="116"/>
        <v>0</v>
      </c>
      <c r="AA782" s="29">
        <f t="shared" si="117"/>
        <v>4215.9999999999991</v>
      </c>
    </row>
    <row r="783" spans="1:27" s="32" customFormat="1" x14ac:dyDescent="0.25">
      <c r="A783" s="18">
        <v>787</v>
      </c>
      <c r="B783" s="19">
        <v>46043</v>
      </c>
      <c r="C783" s="19">
        <v>46044</v>
      </c>
      <c r="D783" s="46" t="s">
        <v>1517</v>
      </c>
      <c r="E783" s="21"/>
      <c r="F783" s="21"/>
      <c r="G783" s="21"/>
      <c r="H783" s="62"/>
      <c r="I783" s="51" t="s">
        <v>201</v>
      </c>
      <c r="J783" s="89" t="s">
        <v>23</v>
      </c>
      <c r="K783" s="90" t="s">
        <v>31</v>
      </c>
      <c r="L783" s="25" t="s">
        <v>212</v>
      </c>
      <c r="M783" s="21" t="s">
        <v>203</v>
      </c>
      <c r="N783" s="37">
        <v>22.72</v>
      </c>
      <c r="O783" s="37">
        <v>15.18</v>
      </c>
      <c r="P783" s="26">
        <f t="shared" si="110"/>
        <v>7.5399999999999991</v>
      </c>
      <c r="Q783" s="27">
        <v>0</v>
      </c>
      <c r="R783" s="28">
        <f t="shared" si="114"/>
        <v>0</v>
      </c>
      <c r="S783" s="27"/>
      <c r="T783" s="29"/>
      <c r="V783" s="29" t="s">
        <v>24</v>
      </c>
      <c r="W783" s="27"/>
      <c r="X783" s="30">
        <f t="shared" si="115"/>
        <v>0</v>
      </c>
      <c r="Y783" s="31"/>
      <c r="Z783" s="31">
        <f t="shared" si="116"/>
        <v>0</v>
      </c>
      <c r="AA783" s="29">
        <f t="shared" si="117"/>
        <v>0</v>
      </c>
    </row>
    <row r="784" spans="1:27" s="38" customFormat="1" x14ac:dyDescent="0.25">
      <c r="A784" s="18">
        <v>788</v>
      </c>
      <c r="B784" s="19">
        <v>46043</v>
      </c>
      <c r="C784" s="19">
        <v>46044</v>
      </c>
      <c r="D784" s="46" t="s">
        <v>1518</v>
      </c>
      <c r="E784" s="21"/>
      <c r="F784" s="21"/>
      <c r="G784" s="21"/>
      <c r="H784" s="62"/>
      <c r="I784" s="51" t="s">
        <v>201</v>
      </c>
      <c r="J784" s="89" t="s">
        <v>23</v>
      </c>
      <c r="K784" s="90" t="s">
        <v>31</v>
      </c>
      <c r="L784" s="20" t="s">
        <v>337</v>
      </c>
      <c r="M784" s="21" t="s">
        <v>203</v>
      </c>
      <c r="N784" s="37">
        <v>24.68</v>
      </c>
      <c r="O784" s="37">
        <v>15.44</v>
      </c>
      <c r="P784" s="26">
        <f t="shared" si="110"/>
        <v>9.24</v>
      </c>
      <c r="Q784" s="27">
        <v>0</v>
      </c>
      <c r="R784" s="28">
        <f t="shared" si="114"/>
        <v>0</v>
      </c>
      <c r="S784" s="21"/>
      <c r="T784" s="29"/>
      <c r="V784" s="29" t="s">
        <v>24</v>
      </c>
      <c r="W784" s="27"/>
      <c r="X784" s="30">
        <f t="shared" si="115"/>
        <v>0</v>
      </c>
      <c r="Y784" s="31"/>
      <c r="Z784" s="31">
        <f t="shared" si="116"/>
        <v>0</v>
      </c>
      <c r="AA784" s="29">
        <f t="shared" si="117"/>
        <v>0</v>
      </c>
    </row>
    <row r="785" spans="1:27" s="32" customFormat="1" x14ac:dyDescent="0.25">
      <c r="A785" s="18">
        <v>789</v>
      </c>
      <c r="B785" s="19">
        <v>46043</v>
      </c>
      <c r="C785" s="19">
        <v>46044</v>
      </c>
      <c r="D785" s="46" t="s">
        <v>1519</v>
      </c>
      <c r="E785" s="21"/>
      <c r="G785" s="60"/>
      <c r="H785" s="60"/>
      <c r="I785" s="51" t="s">
        <v>201</v>
      </c>
      <c r="J785" s="89" t="s">
        <v>23</v>
      </c>
      <c r="K785" s="90" t="s">
        <v>31</v>
      </c>
      <c r="L785" s="20" t="s">
        <v>335</v>
      </c>
      <c r="M785" s="21" t="s">
        <v>203</v>
      </c>
      <c r="N785" s="37">
        <v>23.24</v>
      </c>
      <c r="O785" s="37">
        <v>13.98</v>
      </c>
      <c r="P785" s="26">
        <f t="shared" si="110"/>
        <v>9.259999999999998</v>
      </c>
      <c r="Q785" s="27">
        <v>0</v>
      </c>
      <c r="R785" s="28">
        <f t="shared" si="114"/>
        <v>0</v>
      </c>
      <c r="S785" s="27"/>
      <c r="T785" s="29"/>
      <c r="V785" s="29" t="s">
        <v>24</v>
      </c>
      <c r="W785" s="27"/>
      <c r="X785" s="30">
        <f t="shared" si="115"/>
        <v>0</v>
      </c>
      <c r="Y785" s="31"/>
      <c r="Z785" s="31">
        <f t="shared" si="116"/>
        <v>0</v>
      </c>
      <c r="AA785" s="29">
        <f t="shared" si="117"/>
        <v>0</v>
      </c>
    </row>
    <row r="786" spans="1:27" s="32" customFormat="1" x14ac:dyDescent="0.25">
      <c r="A786" s="18">
        <v>790</v>
      </c>
      <c r="B786" s="19">
        <v>46043</v>
      </c>
      <c r="C786" s="19">
        <v>46044</v>
      </c>
      <c r="D786" s="46">
        <v>260122001</v>
      </c>
      <c r="E786" s="21" t="s">
        <v>1520</v>
      </c>
      <c r="F786" s="21" t="s">
        <v>1521</v>
      </c>
      <c r="G786" s="21">
        <v>43</v>
      </c>
      <c r="H786" s="36">
        <v>130</v>
      </c>
      <c r="I786" s="23" t="s">
        <v>1499</v>
      </c>
      <c r="J786" s="24" t="s">
        <v>23</v>
      </c>
      <c r="K786" s="23" t="s">
        <v>31</v>
      </c>
      <c r="L786" s="25" t="s">
        <v>1500</v>
      </c>
      <c r="M786" s="21" t="s">
        <v>32</v>
      </c>
      <c r="N786" s="37">
        <v>58.8</v>
      </c>
      <c r="O786" s="37">
        <v>15.46</v>
      </c>
      <c r="P786" s="26">
        <f t="shared" si="110"/>
        <v>43.339999999999996</v>
      </c>
      <c r="Q786" s="27">
        <v>305</v>
      </c>
      <c r="R786" s="28">
        <f t="shared" si="114"/>
        <v>13218.699999999999</v>
      </c>
      <c r="S786" s="27"/>
      <c r="T786" s="29"/>
      <c r="V786" s="29" t="s">
        <v>24</v>
      </c>
      <c r="W786" s="27">
        <v>145</v>
      </c>
      <c r="X786" s="30">
        <f t="shared" si="115"/>
        <v>6284.2999999999993</v>
      </c>
      <c r="Y786" s="31"/>
      <c r="Z786" s="31">
        <f t="shared" si="116"/>
        <v>0</v>
      </c>
      <c r="AA786" s="29">
        <f t="shared" si="117"/>
        <v>19503</v>
      </c>
    </row>
    <row r="787" spans="1:27" s="38" customFormat="1" x14ac:dyDescent="0.25">
      <c r="A787" s="18">
        <v>791</v>
      </c>
      <c r="B787" s="19">
        <v>46043</v>
      </c>
      <c r="C787" s="19">
        <v>46044</v>
      </c>
      <c r="D787" s="46">
        <v>260122002</v>
      </c>
      <c r="E787" s="21" t="s">
        <v>1522</v>
      </c>
      <c r="F787" s="21" t="s">
        <v>1523</v>
      </c>
      <c r="G787" s="21">
        <v>38</v>
      </c>
      <c r="H787" s="36">
        <v>130</v>
      </c>
      <c r="I787" s="23" t="s">
        <v>1499</v>
      </c>
      <c r="J787" s="24" t="s">
        <v>23</v>
      </c>
      <c r="K787" s="23" t="s">
        <v>31</v>
      </c>
      <c r="L787" s="25" t="s">
        <v>660</v>
      </c>
      <c r="M787" s="21" t="s">
        <v>34</v>
      </c>
      <c r="N787" s="37">
        <v>52.3</v>
      </c>
      <c r="O787" s="37">
        <v>14.3</v>
      </c>
      <c r="P787" s="26">
        <f t="shared" si="110"/>
        <v>38</v>
      </c>
      <c r="Q787" s="27">
        <v>525</v>
      </c>
      <c r="R787" s="28">
        <f t="shared" si="114"/>
        <v>19950</v>
      </c>
      <c r="S787" s="27"/>
      <c r="T787" s="29"/>
      <c r="V787" s="29" t="s">
        <v>24</v>
      </c>
      <c r="W787" s="27">
        <v>145</v>
      </c>
      <c r="X787" s="30">
        <f t="shared" si="115"/>
        <v>5510</v>
      </c>
      <c r="Y787" s="31"/>
      <c r="Z787" s="31">
        <f t="shared" si="116"/>
        <v>0</v>
      </c>
      <c r="AA787" s="29">
        <f t="shared" si="117"/>
        <v>25460</v>
      </c>
    </row>
    <row r="788" spans="1:27" s="32" customFormat="1" x14ac:dyDescent="0.25">
      <c r="A788" s="18">
        <v>792</v>
      </c>
      <c r="B788" s="19">
        <v>46043</v>
      </c>
      <c r="C788" s="19">
        <v>46044</v>
      </c>
      <c r="D788" s="51">
        <v>260122003</v>
      </c>
      <c r="E788" s="21" t="s">
        <v>1524</v>
      </c>
      <c r="F788" s="21" t="s">
        <v>1525</v>
      </c>
      <c r="G788" s="27">
        <v>32</v>
      </c>
      <c r="H788" s="36">
        <v>131</v>
      </c>
      <c r="I788" s="90" t="s">
        <v>1503</v>
      </c>
      <c r="J788" s="24" t="s">
        <v>23</v>
      </c>
      <c r="K788" s="23" t="s">
        <v>31</v>
      </c>
      <c r="L788" s="25" t="s">
        <v>39</v>
      </c>
      <c r="M788" s="21" t="s">
        <v>34</v>
      </c>
      <c r="N788" s="37">
        <v>43.9</v>
      </c>
      <c r="O788" s="37">
        <v>11.66</v>
      </c>
      <c r="P788" s="26">
        <f t="shared" si="110"/>
        <v>32.239999999999995</v>
      </c>
      <c r="Q788" s="27">
        <v>535</v>
      </c>
      <c r="R788" s="28">
        <f t="shared" si="114"/>
        <v>17248.399999999998</v>
      </c>
      <c r="S788" s="27"/>
      <c r="T788" s="29"/>
      <c r="V788" s="29" t="s">
        <v>24</v>
      </c>
      <c r="W788" s="27">
        <v>145</v>
      </c>
      <c r="X788" s="30">
        <f t="shared" si="115"/>
        <v>4674.7999999999993</v>
      </c>
      <c r="Y788" s="31">
        <v>200</v>
      </c>
      <c r="Z788" s="31">
        <f t="shared" si="116"/>
        <v>6447.9999999999991</v>
      </c>
      <c r="AA788" s="29">
        <f t="shared" si="117"/>
        <v>28371.199999999997</v>
      </c>
    </row>
    <row r="789" spans="1:27" s="38" customFormat="1" x14ac:dyDescent="0.25">
      <c r="A789" s="18">
        <v>793</v>
      </c>
      <c r="B789" s="19">
        <v>46043</v>
      </c>
      <c r="C789" s="19">
        <v>46044</v>
      </c>
      <c r="D789" s="46">
        <v>260122007</v>
      </c>
      <c r="E789" s="21" t="s">
        <v>1526</v>
      </c>
      <c r="F789" s="21" t="s">
        <v>1527</v>
      </c>
      <c r="G789" s="21">
        <v>44</v>
      </c>
      <c r="H789" s="36">
        <v>131</v>
      </c>
      <c r="I789" s="90" t="s">
        <v>1503</v>
      </c>
      <c r="J789" s="24" t="s">
        <v>23</v>
      </c>
      <c r="K789" s="23" t="s">
        <v>31</v>
      </c>
      <c r="L789" s="20" t="s">
        <v>37</v>
      </c>
      <c r="M789" s="21" t="s">
        <v>34</v>
      </c>
      <c r="N789" s="37">
        <v>60.38</v>
      </c>
      <c r="O789" s="37">
        <v>15.82</v>
      </c>
      <c r="P789" s="26">
        <f t="shared" si="110"/>
        <v>44.56</v>
      </c>
      <c r="Q789" s="27">
        <v>535</v>
      </c>
      <c r="R789" s="28">
        <f t="shared" si="114"/>
        <v>23839.600000000002</v>
      </c>
      <c r="S789" s="21"/>
      <c r="T789" s="29"/>
      <c r="V789" s="29" t="s">
        <v>24</v>
      </c>
      <c r="W789" s="27">
        <v>145</v>
      </c>
      <c r="X789" s="30">
        <f t="shared" si="115"/>
        <v>6461.2000000000007</v>
      </c>
      <c r="Y789" s="31">
        <v>200</v>
      </c>
      <c r="Z789" s="31">
        <f t="shared" si="116"/>
        <v>8912</v>
      </c>
      <c r="AA789" s="29">
        <f t="shared" si="117"/>
        <v>39212.800000000003</v>
      </c>
    </row>
    <row r="790" spans="1:27" s="32" customFormat="1" x14ac:dyDescent="0.25">
      <c r="A790" s="18">
        <v>794</v>
      </c>
      <c r="B790" s="19">
        <v>46043</v>
      </c>
      <c r="C790" s="19">
        <v>46044</v>
      </c>
      <c r="D790" s="46">
        <v>260122006</v>
      </c>
      <c r="E790" s="21" t="s">
        <v>1528</v>
      </c>
      <c r="F790" s="21" t="s">
        <v>1529</v>
      </c>
      <c r="G790" s="21">
        <v>44</v>
      </c>
      <c r="H790" s="48">
        <v>84</v>
      </c>
      <c r="I790" s="71" t="s">
        <v>941</v>
      </c>
      <c r="J790" s="49" t="s">
        <v>23</v>
      </c>
      <c r="K790" s="23" t="s">
        <v>31</v>
      </c>
      <c r="L790" s="20" t="s">
        <v>41</v>
      </c>
      <c r="M790" s="21" t="s">
        <v>34</v>
      </c>
      <c r="N790" s="37">
        <v>60.34</v>
      </c>
      <c r="O790" s="37">
        <v>15.72</v>
      </c>
      <c r="P790" s="26">
        <f t="shared" si="110"/>
        <v>44.620000000000005</v>
      </c>
      <c r="Q790" s="27">
        <v>515</v>
      </c>
      <c r="R790" s="28">
        <f t="shared" si="114"/>
        <v>22979.300000000003</v>
      </c>
      <c r="S790" s="27"/>
      <c r="T790" s="29"/>
      <c r="V790" s="29"/>
      <c r="W790" s="27">
        <v>145</v>
      </c>
      <c r="X790" s="30">
        <f t="shared" si="115"/>
        <v>6469.9000000000005</v>
      </c>
      <c r="Y790" s="31">
        <v>210</v>
      </c>
      <c r="Z790" s="31">
        <f t="shared" si="116"/>
        <v>9370.2000000000007</v>
      </c>
      <c r="AA790" s="29">
        <f t="shared" si="117"/>
        <v>38819.400000000009</v>
      </c>
    </row>
    <row r="791" spans="1:27" s="32" customFormat="1" x14ac:dyDescent="0.25">
      <c r="A791" s="18">
        <v>795</v>
      </c>
      <c r="B791" s="19">
        <v>46043</v>
      </c>
      <c r="C791" s="19">
        <v>46044</v>
      </c>
      <c r="D791" s="20">
        <v>260122005</v>
      </c>
      <c r="E791" s="21" t="s">
        <v>1530</v>
      </c>
      <c r="F791" s="21" t="s">
        <v>1531</v>
      </c>
      <c r="G791" s="21">
        <v>36</v>
      </c>
      <c r="H791" s="48">
        <v>24</v>
      </c>
      <c r="I791" s="23" t="s">
        <v>1532</v>
      </c>
      <c r="J791" s="49" t="s">
        <v>23</v>
      </c>
      <c r="K791" s="23" t="s">
        <v>31</v>
      </c>
      <c r="L791" s="20" t="s">
        <v>124</v>
      </c>
      <c r="M791" s="21" t="s">
        <v>32</v>
      </c>
      <c r="N791" s="37">
        <v>49.64</v>
      </c>
      <c r="O791" s="37">
        <v>12.88</v>
      </c>
      <c r="P791" s="26">
        <f t="shared" si="110"/>
        <v>36.76</v>
      </c>
      <c r="Q791" s="27">
        <v>335</v>
      </c>
      <c r="R791" s="28">
        <f t="shared" si="114"/>
        <v>12314.599999999999</v>
      </c>
      <c r="S791" s="27"/>
      <c r="T791" s="29"/>
      <c r="V791" s="29" t="s">
        <v>24</v>
      </c>
      <c r="W791" s="27">
        <v>145</v>
      </c>
      <c r="X791" s="30">
        <f t="shared" si="115"/>
        <v>5330.2</v>
      </c>
      <c r="Y791" s="31">
        <v>260</v>
      </c>
      <c r="Z791" s="31">
        <f t="shared" si="116"/>
        <v>9557.6</v>
      </c>
      <c r="AA791" s="29">
        <f t="shared" si="117"/>
        <v>27202.400000000001</v>
      </c>
    </row>
    <row r="792" spans="1:27" s="32" customFormat="1" x14ac:dyDescent="0.25">
      <c r="A792" s="18">
        <v>796</v>
      </c>
      <c r="B792" s="19">
        <v>46043</v>
      </c>
      <c r="C792" s="19">
        <v>46044</v>
      </c>
      <c r="D792" s="46">
        <v>260122004</v>
      </c>
      <c r="E792" s="21" t="s">
        <v>1533</v>
      </c>
      <c r="F792" s="21" t="s">
        <v>1534</v>
      </c>
      <c r="G792" s="21">
        <v>42</v>
      </c>
      <c r="H792" s="48">
        <v>53</v>
      </c>
      <c r="I792" s="52" t="s">
        <v>57</v>
      </c>
      <c r="J792" s="49" t="s">
        <v>23</v>
      </c>
      <c r="K792" s="23" t="s">
        <v>31</v>
      </c>
      <c r="L792" s="25" t="s">
        <v>36</v>
      </c>
      <c r="M792" s="21" t="s">
        <v>63</v>
      </c>
      <c r="N792" s="37">
        <v>58.06</v>
      </c>
      <c r="O792" s="37">
        <v>15.76</v>
      </c>
      <c r="P792" s="26">
        <f t="shared" si="110"/>
        <v>42.300000000000004</v>
      </c>
      <c r="Q792" s="27">
        <v>425</v>
      </c>
      <c r="R792" s="28">
        <f t="shared" si="114"/>
        <v>17977.5</v>
      </c>
      <c r="S792" s="27"/>
      <c r="T792" s="29"/>
      <c r="V792" s="29" t="s">
        <v>24</v>
      </c>
      <c r="W792" s="27">
        <v>145</v>
      </c>
      <c r="X792" s="30">
        <f t="shared" si="115"/>
        <v>6133.5000000000009</v>
      </c>
      <c r="Y792" s="31">
        <v>210</v>
      </c>
      <c r="Z792" s="31">
        <f t="shared" si="116"/>
        <v>8883</v>
      </c>
      <c r="AA792" s="29">
        <f t="shared" si="117"/>
        <v>32994</v>
      </c>
    </row>
    <row r="793" spans="1:27" s="32" customFormat="1" x14ac:dyDescent="0.25">
      <c r="A793" s="18">
        <v>797</v>
      </c>
      <c r="B793" s="19">
        <v>46043</v>
      </c>
      <c r="C793" s="19">
        <v>46044</v>
      </c>
      <c r="D793" s="46" t="s">
        <v>1535</v>
      </c>
      <c r="E793" s="21"/>
      <c r="F793" s="21"/>
      <c r="G793" s="21"/>
      <c r="H793" s="33">
        <v>113</v>
      </c>
      <c r="I793" s="60" t="s">
        <v>890</v>
      </c>
      <c r="J793" s="34" t="s">
        <v>23</v>
      </c>
      <c r="K793" s="35" t="s">
        <v>31</v>
      </c>
      <c r="L793" s="20" t="s">
        <v>249</v>
      </c>
      <c r="M793" s="21" t="s">
        <v>396</v>
      </c>
      <c r="N793" s="37">
        <v>18.36</v>
      </c>
      <c r="O793" s="37">
        <v>7.34</v>
      </c>
      <c r="P793" s="26">
        <f t="shared" si="110"/>
        <v>11.02</v>
      </c>
      <c r="Q793" s="27">
        <v>130</v>
      </c>
      <c r="R793" s="28">
        <f t="shared" si="114"/>
        <v>1432.6</v>
      </c>
      <c r="S793" s="27"/>
      <c r="T793" s="29"/>
      <c r="V793" s="29" t="s">
        <v>45</v>
      </c>
      <c r="W793" s="27"/>
      <c r="X793" s="30">
        <f t="shared" si="115"/>
        <v>0</v>
      </c>
      <c r="Y793" s="31"/>
      <c r="Z793" s="31">
        <f t="shared" si="116"/>
        <v>0</v>
      </c>
      <c r="AA793" s="29">
        <f t="shared" si="117"/>
        <v>1432.6</v>
      </c>
    </row>
    <row r="794" spans="1:27" s="32" customFormat="1" x14ac:dyDescent="0.25">
      <c r="A794" s="18">
        <v>798</v>
      </c>
      <c r="B794" s="19">
        <v>46043</v>
      </c>
      <c r="C794" s="19">
        <v>46044</v>
      </c>
      <c r="D794" s="20" t="s">
        <v>1536</v>
      </c>
      <c r="E794" s="21"/>
      <c r="F794" s="21"/>
      <c r="G794" s="21"/>
      <c r="H794" s="33">
        <v>146</v>
      </c>
      <c r="I794" s="23" t="s">
        <v>756</v>
      </c>
      <c r="J794" s="34" t="s">
        <v>23</v>
      </c>
      <c r="K794" s="35" t="s">
        <v>30</v>
      </c>
      <c r="L794" s="21" t="s">
        <v>252</v>
      </c>
      <c r="M794" s="21" t="s">
        <v>34</v>
      </c>
      <c r="N794" s="37">
        <v>7.63</v>
      </c>
      <c r="O794" s="37">
        <v>3.6</v>
      </c>
      <c r="P794" s="26">
        <f t="shared" si="110"/>
        <v>4.0299999999999994</v>
      </c>
      <c r="Q794" s="27">
        <v>500</v>
      </c>
      <c r="R794" s="28">
        <f t="shared" si="114"/>
        <v>2014.9999999999998</v>
      </c>
      <c r="S794" s="27">
        <v>2015</v>
      </c>
      <c r="T794" s="29"/>
      <c r="V794" s="29" t="s">
        <v>24</v>
      </c>
      <c r="W794" s="27"/>
      <c r="X794" s="30">
        <f t="shared" si="115"/>
        <v>0</v>
      </c>
      <c r="Y794" s="31"/>
      <c r="Z794" s="31">
        <f t="shared" si="116"/>
        <v>0</v>
      </c>
      <c r="AA794" s="29">
        <f t="shared" si="117"/>
        <v>2014.9999999999998</v>
      </c>
    </row>
    <row r="795" spans="1:27" s="38" customFormat="1" x14ac:dyDescent="0.25">
      <c r="A795" s="18">
        <v>799</v>
      </c>
      <c r="B795" s="19">
        <v>46043</v>
      </c>
      <c r="C795" s="19">
        <v>46044</v>
      </c>
      <c r="D795" s="20">
        <v>260122008</v>
      </c>
      <c r="E795" s="21" t="s">
        <v>1537</v>
      </c>
      <c r="F795" s="21" t="s">
        <v>1538</v>
      </c>
      <c r="G795" s="21">
        <v>45</v>
      </c>
      <c r="H795" s="36">
        <v>131</v>
      </c>
      <c r="I795" s="90" t="s">
        <v>1503</v>
      </c>
      <c r="J795" s="24" t="s">
        <v>23</v>
      </c>
      <c r="K795" s="23" t="s">
        <v>31</v>
      </c>
      <c r="L795" s="21" t="s">
        <v>244</v>
      </c>
      <c r="M795" s="21" t="s">
        <v>32</v>
      </c>
      <c r="N795" s="37">
        <v>60.62</v>
      </c>
      <c r="O795" s="37">
        <v>15.06</v>
      </c>
      <c r="P795" s="26">
        <f t="shared" si="110"/>
        <v>45.559999999999995</v>
      </c>
      <c r="Q795" s="27">
        <v>285</v>
      </c>
      <c r="R795" s="28">
        <f t="shared" si="114"/>
        <v>12984.599999999999</v>
      </c>
      <c r="S795" s="27"/>
      <c r="T795" s="29"/>
      <c r="V795" s="29" t="s">
        <v>24</v>
      </c>
      <c r="W795" s="27">
        <v>145</v>
      </c>
      <c r="X795" s="30">
        <f t="shared" si="115"/>
        <v>6606.1999999999989</v>
      </c>
      <c r="Y795" s="31">
        <v>200</v>
      </c>
      <c r="Z795" s="31">
        <f t="shared" si="116"/>
        <v>9111.9999999999982</v>
      </c>
      <c r="AA795" s="29">
        <f t="shared" si="117"/>
        <v>28702.799999999996</v>
      </c>
    </row>
    <row r="796" spans="1:27" s="32" customFormat="1" x14ac:dyDescent="0.25">
      <c r="A796" s="18">
        <v>800</v>
      </c>
      <c r="B796" s="19">
        <v>46043</v>
      </c>
      <c r="C796" s="19">
        <v>46044</v>
      </c>
      <c r="D796" s="20">
        <v>260122010</v>
      </c>
      <c r="E796" s="21" t="s">
        <v>1539</v>
      </c>
      <c r="F796" s="21" t="s">
        <v>1540</v>
      </c>
      <c r="G796" s="21">
        <v>34</v>
      </c>
      <c r="H796" s="36">
        <v>131</v>
      </c>
      <c r="I796" s="90" t="s">
        <v>1503</v>
      </c>
      <c r="J796" s="24" t="s">
        <v>23</v>
      </c>
      <c r="K796" s="23" t="s">
        <v>31</v>
      </c>
      <c r="L796" s="21" t="s">
        <v>40</v>
      </c>
      <c r="M796" s="21" t="s">
        <v>34</v>
      </c>
      <c r="N796" s="37">
        <v>46.56</v>
      </c>
      <c r="O796" s="37">
        <v>11.62</v>
      </c>
      <c r="P796" s="26">
        <f t="shared" si="110"/>
        <v>34.940000000000005</v>
      </c>
      <c r="Q796" s="27">
        <v>535</v>
      </c>
      <c r="R796" s="28">
        <f t="shared" si="114"/>
        <v>18692.900000000001</v>
      </c>
      <c r="S796" s="27"/>
      <c r="T796" s="29"/>
      <c r="V796" s="29" t="s">
        <v>24</v>
      </c>
      <c r="W796" s="27">
        <v>145</v>
      </c>
      <c r="X796" s="30">
        <f t="shared" si="115"/>
        <v>5066.3000000000011</v>
      </c>
      <c r="Y796" s="31">
        <v>200</v>
      </c>
      <c r="Z796" s="31">
        <f t="shared" si="116"/>
        <v>6988.0000000000009</v>
      </c>
      <c r="AA796" s="29">
        <f t="shared" si="117"/>
        <v>30747.200000000004</v>
      </c>
    </row>
    <row r="797" spans="1:27" s="32" customFormat="1" x14ac:dyDescent="0.25">
      <c r="A797" s="18">
        <v>801</v>
      </c>
      <c r="B797" s="19">
        <v>46044</v>
      </c>
      <c r="C797" s="19">
        <v>46044</v>
      </c>
      <c r="D797" s="51" t="s">
        <v>1541</v>
      </c>
      <c r="E797" s="21"/>
      <c r="F797" s="21"/>
      <c r="G797" s="21"/>
      <c r="H797" s="62"/>
      <c r="I797" s="45" t="s">
        <v>1542</v>
      </c>
      <c r="J797" s="24" t="s">
        <v>23</v>
      </c>
      <c r="K797" s="23" t="s">
        <v>30</v>
      </c>
      <c r="L797" s="25" t="s">
        <v>1543</v>
      </c>
      <c r="M797" s="21" t="s">
        <v>289</v>
      </c>
      <c r="N797" s="21">
        <v>8.6999999999999993</v>
      </c>
      <c r="O797" s="21">
        <v>3.5</v>
      </c>
      <c r="P797" s="26">
        <f t="shared" si="110"/>
        <v>5.1999999999999993</v>
      </c>
      <c r="Q797" s="27">
        <v>150</v>
      </c>
      <c r="R797" s="28">
        <f t="shared" si="114"/>
        <v>779.99999999999989</v>
      </c>
      <c r="S797" s="27">
        <v>780</v>
      </c>
      <c r="T797" s="29"/>
      <c r="V797" s="29" t="s">
        <v>24</v>
      </c>
      <c r="W797" s="27"/>
      <c r="X797" s="30">
        <f t="shared" ref="X797:X840" si="118">P797*W797</f>
        <v>0</v>
      </c>
      <c r="Y797" s="31"/>
      <c r="Z797" s="31">
        <f t="shared" ref="Z797:Z840" si="119">P797*Y797</f>
        <v>0</v>
      </c>
      <c r="AA797" s="29">
        <f t="shared" ref="AA797:AA840" si="120">R797+X797+Z797</f>
        <v>779.99999999999989</v>
      </c>
    </row>
    <row r="798" spans="1:27" s="32" customFormat="1" x14ac:dyDescent="0.25">
      <c r="A798" s="18">
        <v>802</v>
      </c>
      <c r="B798" s="19">
        <v>46044</v>
      </c>
      <c r="C798" s="19">
        <v>46044</v>
      </c>
      <c r="D798" s="51">
        <v>260122011</v>
      </c>
      <c r="E798" s="21" t="s">
        <v>1544</v>
      </c>
      <c r="F798" s="21" t="s">
        <v>1545</v>
      </c>
      <c r="G798" s="21">
        <v>44</v>
      </c>
      <c r="H798" s="44">
        <v>117</v>
      </c>
      <c r="I798" s="45" t="s">
        <v>47</v>
      </c>
      <c r="J798" s="24" t="s">
        <v>23</v>
      </c>
      <c r="K798" s="23" t="s">
        <v>31</v>
      </c>
      <c r="L798" s="25" t="s">
        <v>60</v>
      </c>
      <c r="M798" s="21" t="s">
        <v>34</v>
      </c>
      <c r="N798" s="83">
        <v>58.24</v>
      </c>
      <c r="O798" s="21">
        <v>14.02</v>
      </c>
      <c r="P798" s="26">
        <f t="shared" si="110"/>
        <v>44.22</v>
      </c>
      <c r="Q798" s="27">
        <v>555</v>
      </c>
      <c r="R798" s="28">
        <f t="shared" si="114"/>
        <v>24542.1</v>
      </c>
      <c r="S798" s="27"/>
      <c r="T798" s="29"/>
      <c r="V798" s="29" t="s">
        <v>24</v>
      </c>
      <c r="W798" s="27">
        <v>145</v>
      </c>
      <c r="X798" s="30">
        <f t="shared" si="118"/>
        <v>6411.9</v>
      </c>
      <c r="Y798" s="31">
        <v>230</v>
      </c>
      <c r="Z798" s="31">
        <f t="shared" si="119"/>
        <v>10170.6</v>
      </c>
      <c r="AA798" s="29">
        <f t="shared" si="120"/>
        <v>41124.6</v>
      </c>
    </row>
    <row r="799" spans="1:27" s="32" customFormat="1" x14ac:dyDescent="0.25">
      <c r="A799" s="18">
        <v>803</v>
      </c>
      <c r="B799" s="19">
        <v>46044</v>
      </c>
      <c r="C799" s="19">
        <v>46044</v>
      </c>
      <c r="D799" s="51">
        <v>260122012</v>
      </c>
      <c r="E799" s="21" t="s">
        <v>1546</v>
      </c>
      <c r="F799" s="21" t="s">
        <v>1547</v>
      </c>
      <c r="G799" s="21">
        <v>48</v>
      </c>
      <c r="H799" s="44">
        <v>117</v>
      </c>
      <c r="I799" s="45" t="s">
        <v>47</v>
      </c>
      <c r="J799" s="24" t="s">
        <v>23</v>
      </c>
      <c r="K799" s="23" t="s">
        <v>31</v>
      </c>
      <c r="L799" s="82" t="s">
        <v>61</v>
      </c>
      <c r="M799" s="21" t="s">
        <v>34</v>
      </c>
      <c r="N799" s="21">
        <v>63.72</v>
      </c>
      <c r="O799" s="21">
        <v>15.28</v>
      </c>
      <c r="P799" s="26">
        <f t="shared" si="110"/>
        <v>48.44</v>
      </c>
      <c r="Q799" s="27">
        <v>555</v>
      </c>
      <c r="R799" s="28">
        <f t="shared" si="114"/>
        <v>26884.199999999997</v>
      </c>
      <c r="S799" s="27"/>
      <c r="T799" s="29"/>
      <c r="V799" s="29" t="s">
        <v>24</v>
      </c>
      <c r="W799" s="27">
        <v>145</v>
      </c>
      <c r="X799" s="30">
        <f t="shared" si="118"/>
        <v>7023.7999999999993</v>
      </c>
      <c r="Y799" s="31">
        <v>230</v>
      </c>
      <c r="Z799" s="31">
        <f t="shared" si="119"/>
        <v>11141.199999999999</v>
      </c>
      <c r="AA799" s="29">
        <f t="shared" si="120"/>
        <v>45049.2</v>
      </c>
    </row>
    <row r="800" spans="1:27" s="38" customFormat="1" x14ac:dyDescent="0.25">
      <c r="A800" s="18">
        <v>804</v>
      </c>
      <c r="B800" s="19">
        <v>46044</v>
      </c>
      <c r="C800" s="19">
        <v>46044</v>
      </c>
      <c r="D800" s="51">
        <v>260122013</v>
      </c>
      <c r="E800" s="21" t="s">
        <v>1548</v>
      </c>
      <c r="F800" s="21" t="s">
        <v>1549</v>
      </c>
      <c r="G800" s="21">
        <v>47</v>
      </c>
      <c r="H800" s="36">
        <v>130</v>
      </c>
      <c r="I800" s="23" t="s">
        <v>1499</v>
      </c>
      <c r="J800" s="24" t="s">
        <v>23</v>
      </c>
      <c r="K800" s="23" t="s">
        <v>31</v>
      </c>
      <c r="L800" s="25" t="s">
        <v>1500</v>
      </c>
      <c r="M800" s="21" t="s">
        <v>34</v>
      </c>
      <c r="N800" s="21">
        <v>62.8</v>
      </c>
      <c r="O800" s="37">
        <v>15.52</v>
      </c>
      <c r="P800" s="26">
        <f t="shared" si="110"/>
        <v>47.28</v>
      </c>
      <c r="Q800" s="27">
        <v>520</v>
      </c>
      <c r="R800" s="28">
        <f t="shared" si="114"/>
        <v>24585.600000000002</v>
      </c>
      <c r="S800" s="27"/>
      <c r="T800" s="29"/>
      <c r="V800" s="29" t="s">
        <v>253</v>
      </c>
      <c r="W800" s="27">
        <v>145</v>
      </c>
      <c r="X800" s="30">
        <f t="shared" si="118"/>
        <v>6855.6</v>
      </c>
      <c r="Y800" s="31"/>
      <c r="Z800" s="31">
        <f t="shared" si="119"/>
        <v>0</v>
      </c>
      <c r="AA800" s="29">
        <f t="shared" si="120"/>
        <v>31441.200000000004</v>
      </c>
    </row>
    <row r="801" spans="1:38" s="32" customFormat="1" x14ac:dyDescent="0.25">
      <c r="A801" s="18">
        <v>805</v>
      </c>
      <c r="B801" s="19">
        <v>46044</v>
      </c>
      <c r="C801" s="19">
        <v>46044</v>
      </c>
      <c r="D801" s="51">
        <v>260122014</v>
      </c>
      <c r="E801" s="21" t="s">
        <v>1550</v>
      </c>
      <c r="F801" s="21" t="s">
        <v>1551</v>
      </c>
      <c r="G801" s="21">
        <v>34</v>
      </c>
      <c r="H801" s="48">
        <v>53</v>
      </c>
      <c r="I801" s="52" t="s">
        <v>57</v>
      </c>
      <c r="J801" s="49" t="s">
        <v>23</v>
      </c>
      <c r="K801" s="23" t="s">
        <v>31</v>
      </c>
      <c r="L801" s="25" t="s">
        <v>51</v>
      </c>
      <c r="M801" s="21" t="s">
        <v>63</v>
      </c>
      <c r="N801" s="37">
        <v>45.82</v>
      </c>
      <c r="O801" s="21">
        <v>11.5</v>
      </c>
      <c r="P801" s="26">
        <f t="shared" si="110"/>
        <v>34.32</v>
      </c>
      <c r="Q801" s="27">
        <v>425</v>
      </c>
      <c r="R801" s="28">
        <f t="shared" si="114"/>
        <v>14586</v>
      </c>
      <c r="S801" s="27"/>
      <c r="T801" s="29"/>
      <c r="V801" s="29" t="s">
        <v>24</v>
      </c>
      <c r="W801" s="27">
        <v>145</v>
      </c>
      <c r="X801" s="30">
        <f t="shared" si="118"/>
        <v>4976.3999999999996</v>
      </c>
      <c r="Y801" s="31">
        <v>210</v>
      </c>
      <c r="Z801" s="31">
        <f t="shared" si="119"/>
        <v>7207.2</v>
      </c>
      <c r="AA801" s="29">
        <f t="shared" si="120"/>
        <v>26769.600000000002</v>
      </c>
    </row>
    <row r="802" spans="1:38" s="32" customFormat="1" x14ac:dyDescent="0.25">
      <c r="A802" s="18">
        <v>806</v>
      </c>
      <c r="B802" s="19">
        <v>46044</v>
      </c>
      <c r="C802" s="19">
        <v>46044</v>
      </c>
      <c r="D802" s="51">
        <v>260122015</v>
      </c>
      <c r="E802" s="21" t="s">
        <v>1552</v>
      </c>
      <c r="F802" s="21" t="s">
        <v>1553</v>
      </c>
      <c r="G802" s="21">
        <v>34</v>
      </c>
      <c r="H802" s="48">
        <v>53</v>
      </c>
      <c r="I802" s="52" t="s">
        <v>57</v>
      </c>
      <c r="J802" s="49" t="s">
        <v>23</v>
      </c>
      <c r="K802" s="23" t="s">
        <v>31</v>
      </c>
      <c r="L802" s="25" t="s">
        <v>39</v>
      </c>
      <c r="M802" s="21" t="s">
        <v>63</v>
      </c>
      <c r="N802" s="37">
        <v>46</v>
      </c>
      <c r="O802" s="37">
        <v>11.7</v>
      </c>
      <c r="P802" s="26">
        <f t="shared" si="110"/>
        <v>34.299999999999997</v>
      </c>
      <c r="Q802" s="27">
        <v>425</v>
      </c>
      <c r="R802" s="28">
        <f t="shared" si="114"/>
        <v>14577.499999999998</v>
      </c>
      <c r="S802" s="27"/>
      <c r="T802" s="29"/>
      <c r="V802" s="29" t="s">
        <v>24</v>
      </c>
      <c r="W802" s="27">
        <v>145</v>
      </c>
      <c r="X802" s="30">
        <f t="shared" si="118"/>
        <v>4973.5</v>
      </c>
      <c r="Y802" s="31">
        <v>210</v>
      </c>
      <c r="Z802" s="31">
        <f t="shared" si="119"/>
        <v>7202.9999999999991</v>
      </c>
      <c r="AA802" s="29">
        <f t="shared" si="120"/>
        <v>26754</v>
      </c>
    </row>
    <row r="803" spans="1:38" s="32" customFormat="1" x14ac:dyDescent="0.25">
      <c r="A803" s="18">
        <v>807</v>
      </c>
      <c r="B803" s="19">
        <v>46044</v>
      </c>
      <c r="C803" s="19">
        <v>46044</v>
      </c>
      <c r="D803" s="51">
        <v>260122016</v>
      </c>
      <c r="E803" s="21" t="s">
        <v>1554</v>
      </c>
      <c r="F803" s="21" t="s">
        <v>1555</v>
      </c>
      <c r="G803" s="21">
        <v>44</v>
      </c>
      <c r="H803" s="48">
        <v>53</v>
      </c>
      <c r="I803" s="52" t="s">
        <v>57</v>
      </c>
      <c r="J803" s="49" t="s">
        <v>23</v>
      </c>
      <c r="K803" s="23" t="s">
        <v>31</v>
      </c>
      <c r="L803" s="25" t="s">
        <v>37</v>
      </c>
      <c r="M803" s="21" t="s">
        <v>63</v>
      </c>
      <c r="N803" s="37">
        <v>59.96</v>
      </c>
      <c r="O803" s="37">
        <v>15.74</v>
      </c>
      <c r="P803" s="26">
        <f t="shared" si="110"/>
        <v>44.22</v>
      </c>
      <c r="Q803" s="27">
        <v>425</v>
      </c>
      <c r="R803" s="28">
        <f t="shared" si="114"/>
        <v>18793.5</v>
      </c>
      <c r="S803" s="27"/>
      <c r="T803" s="29"/>
      <c r="V803" s="29" t="s">
        <v>24</v>
      </c>
      <c r="W803" s="27">
        <v>145</v>
      </c>
      <c r="X803" s="30">
        <f t="shared" si="118"/>
        <v>6411.9</v>
      </c>
      <c r="Y803" s="31">
        <v>210</v>
      </c>
      <c r="Z803" s="31">
        <f t="shared" si="119"/>
        <v>9286.1999999999989</v>
      </c>
      <c r="AA803" s="29">
        <f t="shared" si="120"/>
        <v>34491.599999999999</v>
      </c>
    </row>
    <row r="804" spans="1:38" s="32" customFormat="1" x14ac:dyDescent="0.25">
      <c r="A804" s="18">
        <v>808</v>
      </c>
      <c r="B804" s="19">
        <v>46044</v>
      </c>
      <c r="C804" s="19">
        <v>46044</v>
      </c>
      <c r="D804" s="51">
        <v>260122017</v>
      </c>
      <c r="E804" s="21" t="s">
        <v>1556</v>
      </c>
      <c r="F804" s="21" t="s">
        <v>1557</v>
      </c>
      <c r="G804" s="21">
        <v>43</v>
      </c>
      <c r="H804" s="48">
        <v>53</v>
      </c>
      <c r="I804" s="52" t="s">
        <v>57</v>
      </c>
      <c r="J804" s="49" t="s">
        <v>23</v>
      </c>
      <c r="K804" s="23" t="s">
        <v>31</v>
      </c>
      <c r="L804" s="25" t="s">
        <v>41</v>
      </c>
      <c r="M804" s="21" t="s">
        <v>63</v>
      </c>
      <c r="N804" s="37">
        <v>59.62</v>
      </c>
      <c r="O804" s="37">
        <v>15.68</v>
      </c>
      <c r="P804" s="26">
        <f t="shared" si="110"/>
        <v>43.94</v>
      </c>
      <c r="Q804" s="27">
        <v>425</v>
      </c>
      <c r="R804" s="28">
        <f t="shared" si="114"/>
        <v>18674.5</v>
      </c>
      <c r="S804" s="27"/>
      <c r="T804" s="29"/>
      <c r="V804" s="29" t="s">
        <v>24</v>
      </c>
      <c r="W804" s="27">
        <v>145</v>
      </c>
      <c r="X804" s="30">
        <f t="shared" si="118"/>
        <v>6371.2999999999993</v>
      </c>
      <c r="Y804" s="31">
        <v>210</v>
      </c>
      <c r="Z804" s="31">
        <f t="shared" si="119"/>
        <v>9227.4</v>
      </c>
      <c r="AA804" s="29">
        <f t="shared" si="120"/>
        <v>34273.199999999997</v>
      </c>
      <c r="AB804" s="40"/>
      <c r="AC804" s="39"/>
      <c r="AD804" s="41"/>
      <c r="AE804" s="42"/>
      <c r="AF804" s="39"/>
      <c r="AG804" s="42"/>
      <c r="AH804" s="39"/>
      <c r="AI804" s="41"/>
      <c r="AJ804" s="39"/>
      <c r="AK804" s="41"/>
      <c r="AL804" s="41"/>
    </row>
    <row r="805" spans="1:38" s="32" customFormat="1" x14ac:dyDescent="0.25">
      <c r="A805" s="18">
        <v>809</v>
      </c>
      <c r="B805" s="19">
        <v>46044</v>
      </c>
      <c r="C805" s="19">
        <v>46044</v>
      </c>
      <c r="D805" s="51" t="s">
        <v>1558</v>
      </c>
      <c r="E805" s="21"/>
      <c r="F805" s="21"/>
      <c r="G805" s="21"/>
      <c r="H805" s="62"/>
      <c r="I805" s="45" t="s">
        <v>1542</v>
      </c>
      <c r="J805" s="24" t="s">
        <v>23</v>
      </c>
      <c r="K805" s="23" t="s">
        <v>30</v>
      </c>
      <c r="L805" s="25" t="s">
        <v>1543</v>
      </c>
      <c r="M805" s="21" t="s">
        <v>289</v>
      </c>
      <c r="N805" s="37">
        <v>8.98</v>
      </c>
      <c r="O805" s="37">
        <v>3.5</v>
      </c>
      <c r="P805" s="26">
        <f t="shared" si="110"/>
        <v>5.48</v>
      </c>
      <c r="Q805" s="27">
        <v>150</v>
      </c>
      <c r="R805" s="28">
        <f t="shared" si="114"/>
        <v>822.00000000000011</v>
      </c>
      <c r="S805" s="27">
        <v>822</v>
      </c>
      <c r="T805" s="29"/>
      <c r="V805" s="29" t="s">
        <v>24</v>
      </c>
      <c r="W805" s="27"/>
      <c r="X805" s="30">
        <f t="shared" si="118"/>
        <v>0</v>
      </c>
      <c r="Y805" s="31"/>
      <c r="Z805" s="31">
        <f t="shared" si="119"/>
        <v>0</v>
      </c>
      <c r="AA805" s="29">
        <f t="shared" si="120"/>
        <v>822.00000000000011</v>
      </c>
    </row>
    <row r="806" spans="1:38" s="32" customFormat="1" x14ac:dyDescent="0.25">
      <c r="A806" s="18">
        <v>810</v>
      </c>
      <c r="B806" s="19">
        <v>46044</v>
      </c>
      <c r="C806" s="19">
        <v>46044</v>
      </c>
      <c r="D806" s="51">
        <v>260122018</v>
      </c>
      <c r="E806" s="21" t="s">
        <v>1559</v>
      </c>
      <c r="F806" s="21" t="s">
        <v>1560</v>
      </c>
      <c r="G806" s="21">
        <v>55</v>
      </c>
      <c r="H806" s="48">
        <v>53</v>
      </c>
      <c r="I806" s="52" t="s">
        <v>57</v>
      </c>
      <c r="J806" s="49" t="s">
        <v>23</v>
      </c>
      <c r="K806" s="23" t="s">
        <v>31</v>
      </c>
      <c r="L806" s="25" t="s">
        <v>206</v>
      </c>
      <c r="M806" s="21" t="s">
        <v>63</v>
      </c>
      <c r="N806" s="37">
        <v>72.2</v>
      </c>
      <c r="O806" s="37">
        <v>17</v>
      </c>
      <c r="P806" s="26">
        <f t="shared" si="110"/>
        <v>55.2</v>
      </c>
      <c r="Q806" s="27">
        <v>425</v>
      </c>
      <c r="R806" s="28">
        <f t="shared" si="114"/>
        <v>23460</v>
      </c>
      <c r="S806" s="27"/>
      <c r="T806" s="29"/>
      <c r="V806" s="29" t="s">
        <v>24</v>
      </c>
      <c r="W806" s="27">
        <v>145</v>
      </c>
      <c r="X806" s="30">
        <f t="shared" si="118"/>
        <v>8004</v>
      </c>
      <c r="Y806" s="31">
        <v>210</v>
      </c>
      <c r="Z806" s="31">
        <f t="shared" si="119"/>
        <v>11592</v>
      </c>
      <c r="AA806" s="29">
        <f t="shared" si="120"/>
        <v>43056</v>
      </c>
    </row>
    <row r="807" spans="1:38" s="32" customFormat="1" x14ac:dyDescent="0.25">
      <c r="A807" s="18">
        <v>811</v>
      </c>
      <c r="B807" s="19">
        <v>46044</v>
      </c>
      <c r="C807" s="19">
        <v>46044</v>
      </c>
      <c r="D807" s="51">
        <v>260122019</v>
      </c>
      <c r="E807" s="21" t="s">
        <v>1561</v>
      </c>
      <c r="F807" s="21" t="s">
        <v>1562</v>
      </c>
      <c r="G807" s="21">
        <v>43</v>
      </c>
      <c r="H807" s="44">
        <v>117</v>
      </c>
      <c r="I807" s="45" t="s">
        <v>47</v>
      </c>
      <c r="J807" s="24" t="s">
        <v>23</v>
      </c>
      <c r="K807" s="23" t="s">
        <v>31</v>
      </c>
      <c r="L807" s="82" t="s">
        <v>60</v>
      </c>
      <c r="M807" s="21" t="s">
        <v>34</v>
      </c>
      <c r="N807" s="37">
        <v>57.66</v>
      </c>
      <c r="O807" s="37">
        <v>14.18</v>
      </c>
      <c r="P807" s="26">
        <f t="shared" si="110"/>
        <v>43.48</v>
      </c>
      <c r="Q807" s="27">
        <v>555</v>
      </c>
      <c r="R807" s="28">
        <f t="shared" si="114"/>
        <v>24131.399999999998</v>
      </c>
      <c r="S807" s="27"/>
      <c r="T807" s="29"/>
      <c r="V807" s="29" t="s">
        <v>24</v>
      </c>
      <c r="W807" s="27">
        <v>145</v>
      </c>
      <c r="X807" s="30">
        <f t="shared" si="118"/>
        <v>6304.5999999999995</v>
      </c>
      <c r="Y807" s="31">
        <v>230</v>
      </c>
      <c r="Z807" s="31">
        <f t="shared" si="119"/>
        <v>10000.4</v>
      </c>
      <c r="AA807" s="29">
        <f t="shared" si="120"/>
        <v>40436.399999999994</v>
      </c>
    </row>
    <row r="808" spans="1:38" s="32" customFormat="1" x14ac:dyDescent="0.25">
      <c r="A808" s="18">
        <v>812</v>
      </c>
      <c r="B808" s="19">
        <v>46044</v>
      </c>
      <c r="C808" s="19">
        <v>46044</v>
      </c>
      <c r="D808" s="51" t="s">
        <v>1563</v>
      </c>
      <c r="E808" s="21"/>
      <c r="F808" s="21"/>
      <c r="G808" s="21"/>
      <c r="H808" s="62"/>
      <c r="I808" s="45" t="s">
        <v>1542</v>
      </c>
      <c r="J808" s="24" t="s">
        <v>23</v>
      </c>
      <c r="K808" s="23" t="s">
        <v>30</v>
      </c>
      <c r="L808" s="25" t="s">
        <v>1543</v>
      </c>
      <c r="M808" s="21" t="s">
        <v>289</v>
      </c>
      <c r="N808" s="37">
        <v>8.6199999999999992</v>
      </c>
      <c r="O808" s="37">
        <v>3.5</v>
      </c>
      <c r="P808" s="26">
        <f t="shared" si="110"/>
        <v>5.1199999999999992</v>
      </c>
      <c r="Q808" s="27">
        <v>150</v>
      </c>
      <c r="R808" s="28">
        <f t="shared" si="114"/>
        <v>767.99999999999989</v>
      </c>
      <c r="S808" s="27">
        <v>768</v>
      </c>
      <c r="T808" s="29"/>
      <c r="V808" s="29" t="s">
        <v>24</v>
      </c>
      <c r="W808" s="27"/>
      <c r="X808" s="30">
        <f t="shared" si="118"/>
        <v>0</v>
      </c>
      <c r="Y808" s="31"/>
      <c r="Z808" s="31">
        <f t="shared" si="119"/>
        <v>0</v>
      </c>
      <c r="AA808" s="29">
        <f t="shared" si="120"/>
        <v>767.99999999999989</v>
      </c>
    </row>
    <row r="809" spans="1:38" s="38" customFormat="1" x14ac:dyDescent="0.25">
      <c r="A809" s="18">
        <v>813</v>
      </c>
      <c r="B809" s="19">
        <v>46044</v>
      </c>
      <c r="C809" s="19">
        <v>46044</v>
      </c>
      <c r="D809" s="51">
        <v>260122020</v>
      </c>
      <c r="E809" s="21" t="s">
        <v>1564</v>
      </c>
      <c r="F809" s="21" t="s">
        <v>1565</v>
      </c>
      <c r="G809" s="21">
        <v>45</v>
      </c>
      <c r="H809" s="48">
        <v>53</v>
      </c>
      <c r="I809" s="52" t="s">
        <v>57</v>
      </c>
      <c r="J809" s="49" t="s">
        <v>23</v>
      </c>
      <c r="K809" s="23" t="s">
        <v>31</v>
      </c>
      <c r="L809" s="25" t="s">
        <v>140</v>
      </c>
      <c r="M809" s="25" t="s">
        <v>63</v>
      </c>
      <c r="N809" s="37">
        <v>63.18</v>
      </c>
      <c r="O809" s="37">
        <v>17.46</v>
      </c>
      <c r="P809" s="26">
        <f t="shared" si="110"/>
        <v>45.72</v>
      </c>
      <c r="Q809" s="27">
        <v>425</v>
      </c>
      <c r="R809" s="28">
        <f t="shared" si="114"/>
        <v>19431</v>
      </c>
      <c r="S809" s="27"/>
      <c r="T809" s="29"/>
      <c r="V809" s="29" t="s">
        <v>24</v>
      </c>
      <c r="W809" s="27">
        <v>145</v>
      </c>
      <c r="X809" s="30">
        <f t="shared" si="118"/>
        <v>6629.4</v>
      </c>
      <c r="Y809" s="31">
        <v>210</v>
      </c>
      <c r="Z809" s="31">
        <f t="shared" si="119"/>
        <v>9601.1999999999989</v>
      </c>
      <c r="AA809" s="29">
        <f t="shared" si="120"/>
        <v>35661.599999999999</v>
      </c>
    </row>
    <row r="810" spans="1:38" s="38" customFormat="1" x14ac:dyDescent="0.25">
      <c r="A810" s="18">
        <v>814</v>
      </c>
      <c r="B810" s="19">
        <v>46044</v>
      </c>
      <c r="C810" s="19">
        <v>46044</v>
      </c>
      <c r="D810" s="51" t="s">
        <v>1566</v>
      </c>
      <c r="E810" s="21"/>
      <c r="F810" s="21"/>
      <c r="G810" s="21"/>
      <c r="H810" s="62"/>
      <c r="I810" s="45" t="s">
        <v>1567</v>
      </c>
      <c r="J810" s="49" t="s">
        <v>23</v>
      </c>
      <c r="K810" s="23" t="s">
        <v>30</v>
      </c>
      <c r="L810" s="25" t="s">
        <v>775</v>
      </c>
      <c r="M810" s="21" t="s">
        <v>289</v>
      </c>
      <c r="N810" s="37">
        <v>8.42</v>
      </c>
      <c r="O810" s="37">
        <v>3.46</v>
      </c>
      <c r="P810" s="26">
        <f t="shared" si="110"/>
        <v>4.96</v>
      </c>
      <c r="Q810" s="27">
        <v>150</v>
      </c>
      <c r="R810" s="28">
        <f t="shared" si="114"/>
        <v>744</v>
      </c>
      <c r="S810" s="27">
        <v>744</v>
      </c>
      <c r="T810" s="29"/>
      <c r="V810" s="29" t="s">
        <v>24</v>
      </c>
      <c r="W810" s="27"/>
      <c r="X810" s="30">
        <f t="shared" si="118"/>
        <v>0</v>
      </c>
      <c r="Y810" s="31"/>
      <c r="Z810" s="31">
        <f t="shared" si="119"/>
        <v>0</v>
      </c>
      <c r="AA810" s="29">
        <f t="shared" si="120"/>
        <v>744</v>
      </c>
    </row>
    <row r="811" spans="1:38" s="38" customFormat="1" x14ac:dyDescent="0.25">
      <c r="A811" s="18">
        <v>815</v>
      </c>
      <c r="B811" s="19">
        <v>46044</v>
      </c>
      <c r="C811" s="19">
        <v>46044</v>
      </c>
      <c r="D811" s="51" t="s">
        <v>1568</v>
      </c>
      <c r="E811" s="21"/>
      <c r="F811" s="21"/>
      <c r="G811" s="21"/>
      <c r="H811" s="62"/>
      <c r="I811" s="45" t="s">
        <v>201</v>
      </c>
      <c r="J811" s="49" t="s">
        <v>23</v>
      </c>
      <c r="K811" s="23" t="s">
        <v>31</v>
      </c>
      <c r="L811" s="25" t="s">
        <v>337</v>
      </c>
      <c r="M811" s="21" t="s">
        <v>203</v>
      </c>
      <c r="N811" s="37">
        <v>29.06</v>
      </c>
      <c r="O811" s="37">
        <v>15.74</v>
      </c>
      <c r="P811" s="26">
        <f t="shared" si="110"/>
        <v>13.319999999999999</v>
      </c>
      <c r="Q811" s="27">
        <v>0</v>
      </c>
      <c r="R811" s="28">
        <f t="shared" si="114"/>
        <v>0</v>
      </c>
      <c r="S811" s="27"/>
      <c r="T811" s="29"/>
      <c r="V811" s="29" t="s">
        <v>24</v>
      </c>
      <c r="W811" s="27"/>
      <c r="X811" s="30">
        <f t="shared" si="118"/>
        <v>0</v>
      </c>
      <c r="Y811" s="31"/>
      <c r="Z811" s="31">
        <f t="shared" si="119"/>
        <v>0</v>
      </c>
      <c r="AA811" s="29">
        <f t="shared" si="120"/>
        <v>0</v>
      </c>
    </row>
    <row r="812" spans="1:38" s="32" customFormat="1" x14ac:dyDescent="0.25">
      <c r="A812" s="18">
        <v>816</v>
      </c>
      <c r="B812" s="19">
        <v>46044</v>
      </c>
      <c r="C812" s="19">
        <v>46044</v>
      </c>
      <c r="D812" s="51" t="s">
        <v>1569</v>
      </c>
      <c r="E812" s="21"/>
      <c r="F812" s="21"/>
      <c r="G812" s="21"/>
      <c r="H812" s="62"/>
      <c r="I812" s="45" t="s">
        <v>201</v>
      </c>
      <c r="J812" s="49" t="s">
        <v>23</v>
      </c>
      <c r="K812" s="23" t="s">
        <v>31</v>
      </c>
      <c r="L812" s="25" t="s">
        <v>212</v>
      </c>
      <c r="M812" s="21" t="s">
        <v>203</v>
      </c>
      <c r="N812" s="37">
        <v>29.86</v>
      </c>
      <c r="O812" s="37">
        <v>15.2</v>
      </c>
      <c r="P812" s="26">
        <f t="shared" si="110"/>
        <v>14.66</v>
      </c>
      <c r="Q812" s="27">
        <v>0</v>
      </c>
      <c r="R812" s="28">
        <f t="shared" si="114"/>
        <v>0</v>
      </c>
      <c r="S812" s="27"/>
      <c r="T812" s="29"/>
      <c r="V812" s="29" t="s">
        <v>24</v>
      </c>
      <c r="W812" s="27"/>
      <c r="X812" s="30">
        <f t="shared" si="118"/>
        <v>0</v>
      </c>
      <c r="Y812" s="31"/>
      <c r="Z812" s="31">
        <f t="shared" si="119"/>
        <v>0</v>
      </c>
      <c r="AA812" s="29">
        <f t="shared" si="120"/>
        <v>0</v>
      </c>
    </row>
    <row r="813" spans="1:38" s="32" customFormat="1" x14ac:dyDescent="0.25">
      <c r="A813" s="18">
        <v>817</v>
      </c>
      <c r="B813" s="19">
        <v>46044</v>
      </c>
      <c r="C813" s="19">
        <v>46044</v>
      </c>
      <c r="D813" s="51" t="s">
        <v>1570</v>
      </c>
      <c r="E813" s="21"/>
      <c r="F813" s="21"/>
      <c r="G813" s="21"/>
      <c r="H813" s="62"/>
      <c r="I813" s="45" t="s">
        <v>1542</v>
      </c>
      <c r="J813" s="24" t="s">
        <v>23</v>
      </c>
      <c r="K813" s="23" t="s">
        <v>30</v>
      </c>
      <c r="L813" s="25" t="s">
        <v>1543</v>
      </c>
      <c r="M813" s="21" t="s">
        <v>289</v>
      </c>
      <c r="N813" s="37">
        <v>9.06</v>
      </c>
      <c r="O813" s="37">
        <v>3.52</v>
      </c>
      <c r="P813" s="26">
        <f t="shared" si="110"/>
        <v>5.5400000000000009</v>
      </c>
      <c r="Q813" s="27">
        <v>150</v>
      </c>
      <c r="R813" s="28">
        <f t="shared" si="114"/>
        <v>831.00000000000011</v>
      </c>
      <c r="S813" s="27">
        <v>831</v>
      </c>
      <c r="T813" s="29"/>
      <c r="V813" s="29" t="s">
        <v>24</v>
      </c>
      <c r="W813" s="27"/>
      <c r="X813" s="30">
        <f t="shared" si="118"/>
        <v>0</v>
      </c>
      <c r="Y813" s="31"/>
      <c r="Z813" s="31">
        <f t="shared" si="119"/>
        <v>0</v>
      </c>
      <c r="AA813" s="29">
        <f t="shared" si="120"/>
        <v>831.00000000000011</v>
      </c>
    </row>
    <row r="814" spans="1:38" s="32" customFormat="1" x14ac:dyDescent="0.25">
      <c r="A814" s="18">
        <v>818</v>
      </c>
      <c r="B814" s="19">
        <v>46044</v>
      </c>
      <c r="C814" s="19">
        <v>46044</v>
      </c>
      <c r="D814" s="51">
        <v>260122021</v>
      </c>
      <c r="E814" s="21" t="s">
        <v>1571</v>
      </c>
      <c r="F814" s="21" t="s">
        <v>1572</v>
      </c>
      <c r="G814" s="21">
        <v>45</v>
      </c>
      <c r="H814" s="44">
        <v>117</v>
      </c>
      <c r="I814" s="45" t="s">
        <v>47</v>
      </c>
      <c r="J814" s="24" t="s">
        <v>23</v>
      </c>
      <c r="K814" s="23" t="s">
        <v>31</v>
      </c>
      <c r="L814" s="25" t="s">
        <v>52</v>
      </c>
      <c r="M814" s="21" t="s">
        <v>32</v>
      </c>
      <c r="N814" s="37">
        <v>60.54</v>
      </c>
      <c r="O814" s="37">
        <v>15.28</v>
      </c>
      <c r="P814" s="26">
        <f t="shared" si="110"/>
        <v>45.26</v>
      </c>
      <c r="Q814" s="27">
        <v>335</v>
      </c>
      <c r="R814" s="28">
        <f t="shared" si="114"/>
        <v>15162.099999999999</v>
      </c>
      <c r="S814" s="27"/>
      <c r="T814" s="29"/>
      <c r="V814" s="29" t="s">
        <v>24</v>
      </c>
      <c r="W814" s="27">
        <v>145</v>
      </c>
      <c r="X814" s="30">
        <f t="shared" si="118"/>
        <v>6562.7</v>
      </c>
      <c r="Y814" s="31">
        <v>230</v>
      </c>
      <c r="Z814" s="31">
        <f t="shared" si="119"/>
        <v>10409.799999999999</v>
      </c>
      <c r="AA814" s="29">
        <f t="shared" si="120"/>
        <v>32134.6</v>
      </c>
    </row>
    <row r="815" spans="1:38" s="38" customFormat="1" x14ac:dyDescent="0.25">
      <c r="A815" s="18">
        <v>819</v>
      </c>
      <c r="B815" s="19">
        <v>46044</v>
      </c>
      <c r="C815" s="19">
        <v>46044</v>
      </c>
      <c r="D815" s="51">
        <v>260122022</v>
      </c>
      <c r="E815" s="21" t="s">
        <v>1573</v>
      </c>
      <c r="F815" s="21" t="s">
        <v>1574</v>
      </c>
      <c r="G815" s="21">
        <v>44</v>
      </c>
      <c r="H815" s="44">
        <v>117</v>
      </c>
      <c r="I815" s="45" t="s">
        <v>47</v>
      </c>
      <c r="J815" s="24" t="s">
        <v>23</v>
      </c>
      <c r="K815" s="23" t="s">
        <v>31</v>
      </c>
      <c r="L815" s="25" t="s">
        <v>61</v>
      </c>
      <c r="M815" s="21" t="s">
        <v>32</v>
      </c>
      <c r="N815" s="37">
        <v>59.7</v>
      </c>
      <c r="O815" s="37">
        <v>15.46</v>
      </c>
      <c r="P815" s="26">
        <f t="shared" si="110"/>
        <v>44.24</v>
      </c>
      <c r="Q815" s="27">
        <v>335</v>
      </c>
      <c r="R815" s="28">
        <f t="shared" si="114"/>
        <v>14820.400000000001</v>
      </c>
      <c r="S815" s="27"/>
      <c r="T815" s="29"/>
      <c r="V815" s="29" t="s">
        <v>24</v>
      </c>
      <c r="W815" s="27">
        <v>145</v>
      </c>
      <c r="X815" s="30">
        <f t="shared" si="118"/>
        <v>6414.8</v>
      </c>
      <c r="Y815" s="31">
        <v>230</v>
      </c>
      <c r="Z815" s="31">
        <f t="shared" si="119"/>
        <v>10175.200000000001</v>
      </c>
      <c r="AA815" s="29">
        <f t="shared" si="120"/>
        <v>31410.400000000001</v>
      </c>
    </row>
    <row r="816" spans="1:38" s="38" customFormat="1" x14ac:dyDescent="0.25">
      <c r="A816" s="18">
        <v>820</v>
      </c>
      <c r="B816" s="19">
        <v>46044</v>
      </c>
      <c r="C816" s="19">
        <v>46044</v>
      </c>
      <c r="D816" s="51">
        <v>260122023</v>
      </c>
      <c r="E816" s="21" t="s">
        <v>1575</v>
      </c>
      <c r="F816" s="21" t="s">
        <v>1576</v>
      </c>
      <c r="G816" s="21">
        <v>46</v>
      </c>
      <c r="H816" s="44">
        <v>115</v>
      </c>
      <c r="I816" s="23" t="s">
        <v>33</v>
      </c>
      <c r="J816" s="24" t="s">
        <v>23</v>
      </c>
      <c r="K816" s="35" t="s">
        <v>31</v>
      </c>
      <c r="L816" s="25" t="s">
        <v>1381</v>
      </c>
      <c r="M816" s="21" t="s">
        <v>34</v>
      </c>
      <c r="N816" s="37">
        <v>65.22</v>
      </c>
      <c r="O816" s="37">
        <v>18.579999999999998</v>
      </c>
      <c r="P816" s="26">
        <f t="shared" si="110"/>
        <v>46.64</v>
      </c>
      <c r="Q816" s="27">
        <v>545</v>
      </c>
      <c r="R816" s="28">
        <f t="shared" si="114"/>
        <v>25418.799999999999</v>
      </c>
      <c r="S816" s="27"/>
      <c r="T816" s="29"/>
      <c r="V816" s="29" t="s">
        <v>24</v>
      </c>
      <c r="W816" s="27">
        <v>145</v>
      </c>
      <c r="X816" s="30">
        <f t="shared" si="118"/>
        <v>6762.8</v>
      </c>
      <c r="Y816" s="31">
        <v>260</v>
      </c>
      <c r="Z816" s="31">
        <f t="shared" si="119"/>
        <v>12126.4</v>
      </c>
      <c r="AA816" s="29">
        <f t="shared" si="120"/>
        <v>44308</v>
      </c>
    </row>
    <row r="817" spans="1:27" s="32" customFormat="1" x14ac:dyDescent="0.25">
      <c r="A817" s="18">
        <v>821</v>
      </c>
      <c r="B817" s="19">
        <v>46044</v>
      </c>
      <c r="C817" s="19">
        <v>46044</v>
      </c>
      <c r="D817" s="92">
        <v>260122024</v>
      </c>
      <c r="E817" s="21" t="s">
        <v>1577</v>
      </c>
      <c r="F817" s="21" t="s">
        <v>1578</v>
      </c>
      <c r="G817" s="21">
        <v>39</v>
      </c>
      <c r="H817" s="44">
        <v>115</v>
      </c>
      <c r="I817" s="23" t="s">
        <v>33</v>
      </c>
      <c r="J817" s="24" t="s">
        <v>23</v>
      </c>
      <c r="K817" s="35" t="s">
        <v>31</v>
      </c>
      <c r="L817" s="20" t="s">
        <v>42</v>
      </c>
      <c r="M817" s="21" t="s">
        <v>35</v>
      </c>
      <c r="N817" s="37">
        <v>51.22</v>
      </c>
      <c r="O817" s="37">
        <v>11.7</v>
      </c>
      <c r="P817" s="26">
        <f t="shared" si="110"/>
        <v>39.519999999999996</v>
      </c>
      <c r="Q817" s="27">
        <v>445</v>
      </c>
      <c r="R817" s="28">
        <f t="shared" si="114"/>
        <v>17586.399999999998</v>
      </c>
      <c r="S817" s="27"/>
      <c r="T817" s="29"/>
      <c r="V817" s="29" t="s">
        <v>24</v>
      </c>
      <c r="W817" s="27">
        <v>145</v>
      </c>
      <c r="X817" s="30">
        <f t="shared" si="118"/>
        <v>5730.4</v>
      </c>
      <c r="Y817" s="31">
        <v>260</v>
      </c>
      <c r="Z817" s="31">
        <f t="shared" si="119"/>
        <v>10275.199999999999</v>
      </c>
      <c r="AA817" s="29">
        <f t="shared" si="120"/>
        <v>33591.999999999993</v>
      </c>
    </row>
    <row r="818" spans="1:27" s="32" customFormat="1" x14ac:dyDescent="0.25">
      <c r="A818" s="18">
        <v>822</v>
      </c>
      <c r="B818" s="19">
        <v>46044</v>
      </c>
      <c r="C818" s="19">
        <v>46044</v>
      </c>
      <c r="D818" s="51">
        <v>260122025</v>
      </c>
      <c r="E818" s="21" t="s">
        <v>1579</v>
      </c>
      <c r="F818" s="21" t="s">
        <v>1580</v>
      </c>
      <c r="G818" s="21">
        <v>47</v>
      </c>
      <c r="H818" s="44">
        <v>115</v>
      </c>
      <c r="I818" s="23" t="s">
        <v>33</v>
      </c>
      <c r="J818" s="24" t="s">
        <v>23</v>
      </c>
      <c r="K818" s="35" t="s">
        <v>31</v>
      </c>
      <c r="L818" s="25" t="s">
        <v>55</v>
      </c>
      <c r="M818" s="21" t="s">
        <v>35</v>
      </c>
      <c r="N818" s="37">
        <v>66.02</v>
      </c>
      <c r="O818" s="37">
        <v>18.32</v>
      </c>
      <c r="P818" s="26">
        <f t="shared" si="110"/>
        <v>47.699999999999996</v>
      </c>
      <c r="Q818" s="27">
        <v>445</v>
      </c>
      <c r="R818" s="28">
        <f t="shared" si="114"/>
        <v>21226.499999999996</v>
      </c>
      <c r="S818" s="27"/>
      <c r="T818" s="29"/>
      <c r="V818" s="29" t="s">
        <v>24</v>
      </c>
      <c r="W818" s="27">
        <v>145</v>
      </c>
      <c r="X818" s="30">
        <f t="shared" si="118"/>
        <v>6916.4999999999991</v>
      </c>
      <c r="Y818" s="31">
        <v>260</v>
      </c>
      <c r="Z818" s="31">
        <f t="shared" si="119"/>
        <v>12401.999999999998</v>
      </c>
      <c r="AA818" s="29">
        <f t="shared" si="120"/>
        <v>40544.999999999993</v>
      </c>
    </row>
    <row r="819" spans="1:27" s="32" customFormat="1" x14ac:dyDescent="0.25">
      <c r="A819" s="18">
        <v>823</v>
      </c>
      <c r="B819" s="19">
        <v>46044</v>
      </c>
      <c r="C819" s="19">
        <v>46044</v>
      </c>
      <c r="D819" s="51">
        <v>260122026</v>
      </c>
      <c r="E819" s="21" t="s">
        <v>1581</v>
      </c>
      <c r="F819" s="21" t="s">
        <v>1582</v>
      </c>
      <c r="G819" s="21">
        <v>43</v>
      </c>
      <c r="H819" s="44">
        <v>115</v>
      </c>
      <c r="I819" s="23" t="s">
        <v>33</v>
      </c>
      <c r="J819" s="24" t="s">
        <v>23</v>
      </c>
      <c r="K819" s="35" t="s">
        <v>31</v>
      </c>
      <c r="L819" s="46" t="s">
        <v>37</v>
      </c>
      <c r="M819" s="21" t="s">
        <v>32</v>
      </c>
      <c r="N819" s="37">
        <v>59.66</v>
      </c>
      <c r="O819" s="37">
        <v>15.74</v>
      </c>
      <c r="P819" s="26">
        <f t="shared" si="110"/>
        <v>43.919999999999995</v>
      </c>
      <c r="Q819" s="27">
        <v>315</v>
      </c>
      <c r="R819" s="28">
        <f t="shared" si="114"/>
        <v>13834.799999999997</v>
      </c>
      <c r="S819" s="27"/>
      <c r="T819" s="29"/>
      <c r="V819" s="29" t="s">
        <v>24</v>
      </c>
      <c r="W819" s="27">
        <v>145</v>
      </c>
      <c r="X819" s="30">
        <f t="shared" si="118"/>
        <v>6368.4</v>
      </c>
      <c r="Y819" s="31">
        <v>260</v>
      </c>
      <c r="Z819" s="31">
        <f t="shared" si="119"/>
        <v>11419.199999999999</v>
      </c>
      <c r="AA819" s="29">
        <f t="shared" si="120"/>
        <v>31622.399999999994</v>
      </c>
    </row>
    <row r="820" spans="1:27" s="32" customFormat="1" x14ac:dyDescent="0.25">
      <c r="A820" s="18">
        <v>824</v>
      </c>
      <c r="B820" s="19">
        <v>46044</v>
      </c>
      <c r="C820" s="19">
        <v>46044</v>
      </c>
      <c r="D820" s="51">
        <v>260122027</v>
      </c>
      <c r="E820" s="21" t="s">
        <v>1583</v>
      </c>
      <c r="F820" s="21" t="s">
        <v>1584</v>
      </c>
      <c r="G820" s="21">
        <v>45</v>
      </c>
      <c r="H820" s="44">
        <v>115</v>
      </c>
      <c r="I820" s="23" t="s">
        <v>33</v>
      </c>
      <c r="J820" s="24" t="s">
        <v>23</v>
      </c>
      <c r="K820" s="35" t="s">
        <v>31</v>
      </c>
      <c r="L820" s="25" t="s">
        <v>1421</v>
      </c>
      <c r="M820" s="21" t="s">
        <v>34</v>
      </c>
      <c r="N820" s="37">
        <v>64.22</v>
      </c>
      <c r="O820" s="37">
        <v>18.600000000000001</v>
      </c>
      <c r="P820" s="26">
        <f t="shared" ref="P820:P883" si="121">N820-O820</f>
        <v>45.62</v>
      </c>
      <c r="Q820" s="27">
        <v>545</v>
      </c>
      <c r="R820" s="28">
        <f t="shared" si="114"/>
        <v>24862.899999999998</v>
      </c>
      <c r="S820" s="27"/>
      <c r="T820" s="29"/>
      <c r="V820" s="29" t="s">
        <v>24</v>
      </c>
      <c r="W820" s="27">
        <v>145</v>
      </c>
      <c r="X820" s="30">
        <f t="shared" si="118"/>
        <v>6614.9</v>
      </c>
      <c r="Y820" s="31">
        <v>260</v>
      </c>
      <c r="Z820" s="31">
        <f t="shared" si="119"/>
        <v>11861.199999999999</v>
      </c>
      <c r="AA820" s="29">
        <f t="shared" si="120"/>
        <v>43338.999999999993</v>
      </c>
    </row>
    <row r="821" spans="1:27" s="38" customFormat="1" x14ac:dyDescent="0.25">
      <c r="A821" s="18">
        <v>825</v>
      </c>
      <c r="B821" s="19">
        <v>46044</v>
      </c>
      <c r="C821" s="19">
        <v>46044</v>
      </c>
      <c r="D821" s="51" t="s">
        <v>1585</v>
      </c>
      <c r="E821" s="21"/>
      <c r="F821" s="21"/>
      <c r="G821" s="21"/>
      <c r="H821" s="33">
        <v>136</v>
      </c>
      <c r="I821" s="23" t="s">
        <v>865</v>
      </c>
      <c r="J821" s="34" t="s">
        <v>23</v>
      </c>
      <c r="K821" s="35" t="s">
        <v>31</v>
      </c>
      <c r="L821" s="20" t="s">
        <v>1586</v>
      </c>
      <c r="M821" s="21" t="s">
        <v>289</v>
      </c>
      <c r="N821" s="37">
        <v>48.46</v>
      </c>
      <c r="O821" s="37">
        <v>16</v>
      </c>
      <c r="P821" s="26">
        <f t="shared" si="121"/>
        <v>32.46</v>
      </c>
      <c r="Q821" s="27">
        <v>130</v>
      </c>
      <c r="R821" s="28">
        <f t="shared" si="114"/>
        <v>4219.8</v>
      </c>
      <c r="S821" s="21"/>
      <c r="T821" s="29"/>
      <c r="V821" s="29" t="s">
        <v>24</v>
      </c>
      <c r="W821" s="27"/>
      <c r="X821" s="30">
        <f t="shared" si="118"/>
        <v>0</v>
      </c>
      <c r="Y821" s="31"/>
      <c r="Z821" s="31">
        <f t="shared" si="119"/>
        <v>0</v>
      </c>
      <c r="AA821" s="29">
        <f t="shared" si="120"/>
        <v>4219.8</v>
      </c>
    </row>
    <row r="822" spans="1:27" s="32" customFormat="1" x14ac:dyDescent="0.25">
      <c r="A822" s="18">
        <v>826</v>
      </c>
      <c r="B822" s="19">
        <v>46044</v>
      </c>
      <c r="C822" s="19">
        <v>46044</v>
      </c>
      <c r="D822" s="51" t="s">
        <v>1587</v>
      </c>
      <c r="E822" s="21"/>
      <c r="G822" s="60"/>
      <c r="H822" s="22">
        <v>77</v>
      </c>
      <c r="I822" s="23" t="s">
        <v>1588</v>
      </c>
      <c r="J822" s="24" t="s">
        <v>23</v>
      </c>
      <c r="K822" s="23" t="s">
        <v>30</v>
      </c>
      <c r="L822" s="20" t="s">
        <v>1589</v>
      </c>
      <c r="M822" s="21" t="s">
        <v>34</v>
      </c>
      <c r="N822" s="37">
        <v>17.68</v>
      </c>
      <c r="O822" s="37">
        <v>7.18</v>
      </c>
      <c r="P822" s="26">
        <f t="shared" si="121"/>
        <v>10.5</v>
      </c>
      <c r="Q822" s="27">
        <v>530</v>
      </c>
      <c r="R822" s="28">
        <f t="shared" si="114"/>
        <v>5565</v>
      </c>
      <c r="S822" s="27">
        <v>5565</v>
      </c>
      <c r="T822" s="29"/>
      <c r="V822" s="29" t="s">
        <v>45</v>
      </c>
      <c r="W822" s="27"/>
      <c r="X822" s="30">
        <f t="shared" si="118"/>
        <v>0</v>
      </c>
      <c r="Y822" s="31"/>
      <c r="Z822" s="31">
        <f t="shared" si="119"/>
        <v>0</v>
      </c>
      <c r="AA822" s="29">
        <f t="shared" si="120"/>
        <v>5565</v>
      </c>
    </row>
    <row r="823" spans="1:27" s="32" customFormat="1" x14ac:dyDescent="0.25">
      <c r="A823" s="18">
        <v>827</v>
      </c>
      <c r="B823" s="19">
        <v>46044</v>
      </c>
      <c r="C823" s="19">
        <v>46044</v>
      </c>
      <c r="D823" s="51">
        <v>260123001</v>
      </c>
      <c r="E823" s="21" t="s">
        <v>1590</v>
      </c>
      <c r="F823" s="21" t="s">
        <v>1591</v>
      </c>
      <c r="G823" s="21">
        <v>41.46</v>
      </c>
      <c r="H823" s="33">
        <v>333</v>
      </c>
      <c r="I823" s="93" t="s">
        <v>1592</v>
      </c>
      <c r="J823" s="24" t="s">
        <v>23</v>
      </c>
      <c r="K823" s="23" t="s">
        <v>31</v>
      </c>
      <c r="L823" s="25" t="s">
        <v>1593</v>
      </c>
      <c r="M823" s="21" t="s">
        <v>343</v>
      </c>
      <c r="N823" s="37">
        <v>55.5</v>
      </c>
      <c r="O823" s="37">
        <v>14.04</v>
      </c>
      <c r="P823" s="26">
        <f t="shared" si="121"/>
        <v>41.46</v>
      </c>
      <c r="Q823" s="27">
        <v>455</v>
      </c>
      <c r="R823" s="28">
        <f t="shared" si="114"/>
        <v>18864.3</v>
      </c>
      <c r="S823" s="27"/>
      <c r="T823" s="29"/>
      <c r="V823" s="29" t="s">
        <v>24</v>
      </c>
      <c r="W823" s="27">
        <v>145</v>
      </c>
      <c r="X823" s="30">
        <f t="shared" si="118"/>
        <v>6011.7</v>
      </c>
      <c r="Y823" s="31"/>
      <c r="Z823" s="31">
        <f t="shared" si="119"/>
        <v>0</v>
      </c>
      <c r="AA823" s="29">
        <f t="shared" si="120"/>
        <v>24876</v>
      </c>
    </row>
    <row r="824" spans="1:27" s="38" customFormat="1" x14ac:dyDescent="0.25">
      <c r="A824" s="18">
        <v>828</v>
      </c>
      <c r="B824" s="19">
        <v>46044</v>
      </c>
      <c r="C824" s="19">
        <v>46044</v>
      </c>
      <c r="D824" s="51">
        <v>260123002</v>
      </c>
      <c r="E824" s="21" t="s">
        <v>1594</v>
      </c>
      <c r="F824" s="21" t="s">
        <v>1595</v>
      </c>
      <c r="G824" s="21">
        <v>42.92</v>
      </c>
      <c r="H824" s="33">
        <v>333</v>
      </c>
      <c r="I824" s="93" t="s">
        <v>1592</v>
      </c>
      <c r="J824" s="24" t="s">
        <v>23</v>
      </c>
      <c r="K824" s="23" t="s">
        <v>31</v>
      </c>
      <c r="L824" s="25" t="s">
        <v>596</v>
      </c>
      <c r="M824" s="21" t="s">
        <v>343</v>
      </c>
      <c r="N824" s="37">
        <v>58.36</v>
      </c>
      <c r="O824" s="37">
        <v>15.44</v>
      </c>
      <c r="P824" s="26">
        <f t="shared" si="121"/>
        <v>42.92</v>
      </c>
      <c r="Q824" s="27">
        <v>455</v>
      </c>
      <c r="R824" s="28">
        <f t="shared" si="114"/>
        <v>19528.600000000002</v>
      </c>
      <c r="S824" s="27"/>
      <c r="T824" s="29"/>
      <c r="V824" s="29" t="s">
        <v>24</v>
      </c>
      <c r="W824" s="27">
        <v>145</v>
      </c>
      <c r="X824" s="30">
        <f t="shared" si="118"/>
        <v>6223.4000000000005</v>
      </c>
      <c r="Y824" s="31"/>
      <c r="Z824" s="31">
        <f t="shared" si="119"/>
        <v>0</v>
      </c>
      <c r="AA824" s="29">
        <f t="shared" si="120"/>
        <v>25752.000000000004</v>
      </c>
    </row>
    <row r="825" spans="1:27" s="32" customFormat="1" x14ac:dyDescent="0.25">
      <c r="A825" s="18">
        <v>829</v>
      </c>
      <c r="B825" s="19">
        <v>46044</v>
      </c>
      <c r="C825" s="19">
        <v>46044</v>
      </c>
      <c r="D825" s="51">
        <v>260123003</v>
      </c>
      <c r="E825" s="21" t="s">
        <v>1596</v>
      </c>
      <c r="F825" s="21" t="s">
        <v>1597</v>
      </c>
      <c r="G825" s="21">
        <v>43</v>
      </c>
      <c r="H825" s="36">
        <v>130</v>
      </c>
      <c r="I825" s="23" t="s">
        <v>1499</v>
      </c>
      <c r="J825" s="24" t="s">
        <v>23</v>
      </c>
      <c r="K825" s="23" t="s">
        <v>31</v>
      </c>
      <c r="L825" s="25" t="s">
        <v>1500</v>
      </c>
      <c r="M825" s="21" t="s">
        <v>32</v>
      </c>
      <c r="N825" s="37">
        <v>58.6</v>
      </c>
      <c r="O825" s="37">
        <v>15.44</v>
      </c>
      <c r="P825" s="26">
        <f t="shared" si="121"/>
        <v>43.160000000000004</v>
      </c>
      <c r="Q825" s="27">
        <v>305</v>
      </c>
      <c r="R825" s="28">
        <f t="shared" si="114"/>
        <v>13163.800000000001</v>
      </c>
      <c r="S825" s="27"/>
      <c r="T825" s="29"/>
      <c r="V825" s="29" t="s">
        <v>24</v>
      </c>
      <c r="W825" s="27">
        <v>145</v>
      </c>
      <c r="X825" s="30">
        <f t="shared" si="118"/>
        <v>6258.2000000000007</v>
      </c>
      <c r="Y825" s="31"/>
      <c r="Z825" s="31">
        <f t="shared" si="119"/>
        <v>0</v>
      </c>
      <c r="AA825" s="29">
        <f t="shared" si="120"/>
        <v>19422</v>
      </c>
    </row>
    <row r="826" spans="1:27" s="38" customFormat="1" x14ac:dyDescent="0.25">
      <c r="A826" s="18">
        <v>830</v>
      </c>
      <c r="B826" s="19">
        <v>46044</v>
      </c>
      <c r="C826" s="19">
        <v>46044</v>
      </c>
      <c r="D826" s="51">
        <v>260123004</v>
      </c>
      <c r="E826" s="21" t="s">
        <v>1598</v>
      </c>
      <c r="F826" s="21" t="s">
        <v>1599</v>
      </c>
      <c r="G826" s="21">
        <v>48</v>
      </c>
      <c r="H826" s="44">
        <v>115</v>
      </c>
      <c r="I826" s="23" t="s">
        <v>33</v>
      </c>
      <c r="J826" s="24" t="s">
        <v>23</v>
      </c>
      <c r="K826" s="35" t="s">
        <v>31</v>
      </c>
      <c r="L826" s="20" t="s">
        <v>66</v>
      </c>
      <c r="M826" s="21" t="s">
        <v>32</v>
      </c>
      <c r="N826" s="37">
        <v>63.9</v>
      </c>
      <c r="O826" s="37">
        <v>15.52</v>
      </c>
      <c r="P826" s="26">
        <f t="shared" si="121"/>
        <v>48.379999999999995</v>
      </c>
      <c r="Q826" s="27">
        <v>315</v>
      </c>
      <c r="R826" s="28">
        <f t="shared" si="114"/>
        <v>15239.699999999999</v>
      </c>
      <c r="S826" s="21"/>
      <c r="T826" s="29"/>
      <c r="V826" s="29" t="s">
        <v>24</v>
      </c>
      <c r="W826" s="27">
        <v>145</v>
      </c>
      <c r="X826" s="30">
        <f t="shared" si="118"/>
        <v>7015.0999999999995</v>
      </c>
      <c r="Y826" s="31">
        <v>260</v>
      </c>
      <c r="Z826" s="31">
        <f t="shared" si="119"/>
        <v>12578.8</v>
      </c>
      <c r="AA826" s="29">
        <f t="shared" si="120"/>
        <v>34833.599999999999</v>
      </c>
    </row>
    <row r="827" spans="1:27" s="32" customFormat="1" x14ac:dyDescent="0.25">
      <c r="A827" s="18">
        <v>831</v>
      </c>
      <c r="B827" s="19">
        <v>46044</v>
      </c>
      <c r="C827" s="19">
        <v>46044</v>
      </c>
      <c r="D827" s="51">
        <v>260123005</v>
      </c>
      <c r="E827" s="21" t="s">
        <v>1600</v>
      </c>
      <c r="F827" s="21" t="s">
        <v>1601</v>
      </c>
      <c r="G827" s="21">
        <v>41</v>
      </c>
      <c r="H827" s="44">
        <v>115</v>
      </c>
      <c r="I827" s="23" t="s">
        <v>33</v>
      </c>
      <c r="J827" s="24" t="s">
        <v>23</v>
      </c>
      <c r="K827" s="35" t="s">
        <v>31</v>
      </c>
      <c r="L827" s="20" t="s">
        <v>40</v>
      </c>
      <c r="M827" s="21" t="s">
        <v>35</v>
      </c>
      <c r="N827" s="37">
        <v>52.98</v>
      </c>
      <c r="O827" s="37">
        <v>11.5</v>
      </c>
      <c r="P827" s="26">
        <f t="shared" si="121"/>
        <v>41.48</v>
      </c>
      <c r="Q827" s="27">
        <v>355</v>
      </c>
      <c r="R827" s="28">
        <f t="shared" si="114"/>
        <v>14725.4</v>
      </c>
      <c r="S827" s="27"/>
      <c r="T827" s="29"/>
      <c r="V827" s="29" t="s">
        <v>24</v>
      </c>
      <c r="W827" s="27">
        <v>145</v>
      </c>
      <c r="X827" s="30">
        <f t="shared" si="118"/>
        <v>6014.5999999999995</v>
      </c>
      <c r="Y827" s="31">
        <v>260</v>
      </c>
      <c r="Z827" s="31">
        <f t="shared" si="119"/>
        <v>10784.8</v>
      </c>
      <c r="AA827" s="29">
        <f t="shared" si="120"/>
        <v>31524.799999999999</v>
      </c>
    </row>
    <row r="828" spans="1:27" s="32" customFormat="1" x14ac:dyDescent="0.25">
      <c r="A828" s="18">
        <v>832</v>
      </c>
      <c r="B828" s="19">
        <v>46044</v>
      </c>
      <c r="C828" s="19">
        <v>46044</v>
      </c>
      <c r="D828" s="51">
        <v>260123006</v>
      </c>
      <c r="E828" s="21" t="s">
        <v>1602</v>
      </c>
      <c r="F828" s="21" t="s">
        <v>1603</v>
      </c>
      <c r="G828" s="21">
        <v>44</v>
      </c>
      <c r="H828" s="44">
        <v>117</v>
      </c>
      <c r="I828" s="45" t="s">
        <v>47</v>
      </c>
      <c r="J828" s="24" t="s">
        <v>23</v>
      </c>
      <c r="K828" s="23" t="s">
        <v>31</v>
      </c>
      <c r="L828" s="20" t="s">
        <v>285</v>
      </c>
      <c r="M828" s="21" t="s">
        <v>34</v>
      </c>
      <c r="N828" s="37">
        <v>60.36</v>
      </c>
      <c r="O828" s="37">
        <v>15.92</v>
      </c>
      <c r="P828" s="26">
        <f t="shared" si="121"/>
        <v>44.44</v>
      </c>
      <c r="Q828" s="27">
        <v>335</v>
      </c>
      <c r="R828" s="28">
        <f t="shared" si="114"/>
        <v>14887.4</v>
      </c>
      <c r="S828" s="27"/>
      <c r="T828" s="29"/>
      <c r="V828" s="29" t="s">
        <v>24</v>
      </c>
      <c r="W828" s="27">
        <v>145</v>
      </c>
      <c r="X828" s="30">
        <f t="shared" si="118"/>
        <v>6443.7999999999993</v>
      </c>
      <c r="Y828" s="31">
        <v>230</v>
      </c>
      <c r="Z828" s="31">
        <f t="shared" si="119"/>
        <v>10221.199999999999</v>
      </c>
      <c r="AA828" s="29">
        <f t="shared" si="120"/>
        <v>31552.399999999994</v>
      </c>
    </row>
    <row r="829" spans="1:27" s="32" customFormat="1" x14ac:dyDescent="0.25">
      <c r="A829" s="18">
        <v>833</v>
      </c>
      <c r="B829" s="19">
        <v>46044</v>
      </c>
      <c r="C829" s="19">
        <v>46044</v>
      </c>
      <c r="D829" s="51">
        <v>260123007</v>
      </c>
      <c r="E829" s="21" t="s">
        <v>1604</v>
      </c>
      <c r="F829" s="21" t="s">
        <v>1605</v>
      </c>
      <c r="G829" s="21">
        <v>46</v>
      </c>
      <c r="H829" s="48">
        <v>53</v>
      </c>
      <c r="I829" s="52" t="s">
        <v>57</v>
      </c>
      <c r="J829" s="49" t="s">
        <v>23</v>
      </c>
      <c r="K829" s="23" t="s">
        <v>31</v>
      </c>
      <c r="L829" s="25" t="s">
        <v>534</v>
      </c>
      <c r="M829" s="21" t="s">
        <v>63</v>
      </c>
      <c r="N829" s="37">
        <v>62.24</v>
      </c>
      <c r="O829" s="37">
        <v>15.94</v>
      </c>
      <c r="P829" s="26">
        <f t="shared" si="121"/>
        <v>46.300000000000004</v>
      </c>
      <c r="Q829" s="27">
        <v>425</v>
      </c>
      <c r="R829" s="28">
        <f t="shared" si="114"/>
        <v>19677.5</v>
      </c>
      <c r="S829" s="27"/>
      <c r="T829" s="29"/>
      <c r="V829" s="29" t="s">
        <v>24</v>
      </c>
      <c r="W829" s="27">
        <v>145</v>
      </c>
      <c r="X829" s="30">
        <f t="shared" si="118"/>
        <v>6713.5000000000009</v>
      </c>
      <c r="Y829" s="31">
        <v>210</v>
      </c>
      <c r="Z829" s="31">
        <f t="shared" si="119"/>
        <v>9723</v>
      </c>
      <c r="AA829" s="29">
        <f t="shared" si="120"/>
        <v>36114</v>
      </c>
    </row>
    <row r="830" spans="1:27" s="32" customFormat="1" x14ac:dyDescent="0.25">
      <c r="A830" s="18">
        <v>834</v>
      </c>
      <c r="B830" s="19">
        <v>46044</v>
      </c>
      <c r="C830" s="19">
        <v>46044</v>
      </c>
      <c r="D830" s="51">
        <v>260123008</v>
      </c>
      <c r="E830" s="21" t="s">
        <v>1606</v>
      </c>
      <c r="F830" s="21" t="s">
        <v>1607</v>
      </c>
      <c r="G830" s="21">
        <v>45</v>
      </c>
      <c r="H830" s="48">
        <v>53</v>
      </c>
      <c r="I830" s="52" t="s">
        <v>57</v>
      </c>
      <c r="J830" s="49" t="s">
        <v>23</v>
      </c>
      <c r="K830" s="23" t="s">
        <v>31</v>
      </c>
      <c r="L830" s="20" t="s">
        <v>37</v>
      </c>
      <c r="M830" s="21" t="s">
        <v>63</v>
      </c>
      <c r="N830" s="37">
        <v>61.62</v>
      </c>
      <c r="O830" s="37">
        <v>15.7</v>
      </c>
      <c r="P830" s="26">
        <f t="shared" si="121"/>
        <v>45.92</v>
      </c>
      <c r="Q830" s="27">
        <v>425</v>
      </c>
      <c r="R830" s="28">
        <f t="shared" si="114"/>
        <v>19516</v>
      </c>
      <c r="S830" s="27"/>
      <c r="T830" s="29"/>
      <c r="V830" s="29" t="s">
        <v>24</v>
      </c>
      <c r="W830" s="27">
        <v>145</v>
      </c>
      <c r="X830" s="30">
        <f t="shared" si="118"/>
        <v>6658.4000000000005</v>
      </c>
      <c r="Y830" s="31">
        <v>210</v>
      </c>
      <c r="Z830" s="31">
        <f t="shared" si="119"/>
        <v>9643.2000000000007</v>
      </c>
      <c r="AA830" s="29">
        <f t="shared" si="120"/>
        <v>35817.600000000006</v>
      </c>
    </row>
    <row r="831" spans="1:27" s="32" customFormat="1" x14ac:dyDescent="0.25">
      <c r="A831" s="18">
        <v>835</v>
      </c>
      <c r="B831" s="19">
        <v>46044</v>
      </c>
      <c r="C831" s="19">
        <v>46044</v>
      </c>
      <c r="D831" s="51">
        <v>260123009</v>
      </c>
      <c r="E831" s="21" t="s">
        <v>1608</v>
      </c>
      <c r="F831" s="21" t="s">
        <v>1609</v>
      </c>
      <c r="G831" s="21">
        <v>47</v>
      </c>
      <c r="H831" s="48">
        <v>53</v>
      </c>
      <c r="I831" s="52" t="s">
        <v>57</v>
      </c>
      <c r="J831" s="49" t="s">
        <v>23</v>
      </c>
      <c r="K831" s="23" t="s">
        <v>31</v>
      </c>
      <c r="L831" s="21" t="s">
        <v>38</v>
      </c>
      <c r="M831" s="21" t="s">
        <v>63</v>
      </c>
      <c r="N831" s="37">
        <v>62.08</v>
      </c>
      <c r="O831" s="37">
        <v>14.92</v>
      </c>
      <c r="P831" s="26">
        <f t="shared" si="121"/>
        <v>47.16</v>
      </c>
      <c r="Q831" s="27">
        <v>425</v>
      </c>
      <c r="R831" s="28">
        <f t="shared" si="114"/>
        <v>20043</v>
      </c>
      <c r="S831" s="27"/>
      <c r="T831" s="29"/>
      <c r="V831" s="29" t="s">
        <v>24</v>
      </c>
      <c r="W831" s="27">
        <v>145</v>
      </c>
      <c r="X831" s="30">
        <f t="shared" si="118"/>
        <v>6838.2</v>
      </c>
      <c r="Y831" s="31">
        <v>210</v>
      </c>
      <c r="Z831" s="31">
        <f t="shared" si="119"/>
        <v>9903.5999999999985</v>
      </c>
      <c r="AA831" s="29">
        <f t="shared" si="120"/>
        <v>36784.800000000003</v>
      </c>
    </row>
    <row r="832" spans="1:27" s="38" customFormat="1" x14ac:dyDescent="0.25">
      <c r="A832" s="18">
        <v>836</v>
      </c>
      <c r="B832" s="19">
        <v>46044</v>
      </c>
      <c r="C832" s="19">
        <v>46044</v>
      </c>
      <c r="D832" s="51">
        <v>260123010</v>
      </c>
      <c r="E832" s="21" t="s">
        <v>1610</v>
      </c>
      <c r="F832" s="21" t="s">
        <v>1611</v>
      </c>
      <c r="G832" s="21">
        <v>44</v>
      </c>
      <c r="H832" s="48">
        <v>53</v>
      </c>
      <c r="I832" s="52" t="s">
        <v>57</v>
      </c>
      <c r="J832" s="49" t="s">
        <v>23</v>
      </c>
      <c r="K832" s="23" t="s">
        <v>31</v>
      </c>
      <c r="L832" s="21" t="s">
        <v>46</v>
      </c>
      <c r="M832" s="21" t="s">
        <v>63</v>
      </c>
      <c r="N832" s="37">
        <v>59.08</v>
      </c>
      <c r="O832" s="37">
        <v>14.8</v>
      </c>
      <c r="P832" s="26">
        <f t="shared" si="121"/>
        <v>44.28</v>
      </c>
      <c r="Q832" s="27">
        <v>425</v>
      </c>
      <c r="R832" s="28">
        <f t="shared" si="114"/>
        <v>18819</v>
      </c>
      <c r="S832" s="27"/>
      <c r="T832" s="29"/>
      <c r="V832" s="29" t="s">
        <v>24</v>
      </c>
      <c r="W832" s="27">
        <v>145</v>
      </c>
      <c r="X832" s="30">
        <f t="shared" si="118"/>
        <v>6420.6</v>
      </c>
      <c r="Y832" s="31">
        <v>210</v>
      </c>
      <c r="Z832" s="31">
        <f t="shared" si="119"/>
        <v>9298.8000000000011</v>
      </c>
      <c r="AA832" s="29">
        <f t="shared" si="120"/>
        <v>34538.400000000001</v>
      </c>
    </row>
    <row r="833" spans="1:38" s="32" customFormat="1" x14ac:dyDescent="0.25">
      <c r="A833" s="18">
        <v>837</v>
      </c>
      <c r="B833" s="19">
        <v>46044</v>
      </c>
      <c r="C833" s="19">
        <v>46044</v>
      </c>
      <c r="D833" s="51">
        <v>260123011</v>
      </c>
      <c r="E833" s="21" t="s">
        <v>1612</v>
      </c>
      <c r="F833" s="21" t="s">
        <v>1613</v>
      </c>
      <c r="G833" s="21">
        <v>34</v>
      </c>
      <c r="H833" s="48">
        <v>53</v>
      </c>
      <c r="I833" s="52" t="s">
        <v>57</v>
      </c>
      <c r="J833" s="49" t="s">
        <v>23</v>
      </c>
      <c r="K833" s="23" t="s">
        <v>31</v>
      </c>
      <c r="L833" s="21" t="s">
        <v>39</v>
      </c>
      <c r="M833" s="21" t="s">
        <v>63</v>
      </c>
      <c r="N833" s="37">
        <v>45.88</v>
      </c>
      <c r="O833" s="37">
        <v>11.66</v>
      </c>
      <c r="P833" s="26">
        <f t="shared" si="121"/>
        <v>34.22</v>
      </c>
      <c r="Q833" s="27">
        <v>425</v>
      </c>
      <c r="R833" s="28">
        <f t="shared" si="114"/>
        <v>14543.5</v>
      </c>
      <c r="S833" s="27"/>
      <c r="T833" s="29"/>
      <c r="V833" s="29" t="s">
        <v>24</v>
      </c>
      <c r="W833" s="27">
        <v>145</v>
      </c>
      <c r="X833" s="30">
        <f t="shared" si="118"/>
        <v>4961.8999999999996</v>
      </c>
      <c r="Y833" s="31">
        <v>210</v>
      </c>
      <c r="Z833" s="31">
        <f t="shared" si="119"/>
        <v>7186.2</v>
      </c>
      <c r="AA833" s="29">
        <f t="shared" si="120"/>
        <v>26691.600000000002</v>
      </c>
    </row>
    <row r="834" spans="1:38" s="32" customFormat="1" x14ac:dyDescent="0.25">
      <c r="A834" s="18">
        <v>838</v>
      </c>
      <c r="B834" s="19">
        <v>46044</v>
      </c>
      <c r="C834" s="19">
        <v>46044</v>
      </c>
      <c r="D834" s="51">
        <v>260123012</v>
      </c>
      <c r="E834" s="21" t="s">
        <v>1614</v>
      </c>
      <c r="F834" s="21" t="s">
        <v>1615</v>
      </c>
      <c r="G834" s="21">
        <v>38</v>
      </c>
      <c r="H834" s="48">
        <v>53</v>
      </c>
      <c r="I834" s="52" t="s">
        <v>57</v>
      </c>
      <c r="J834" s="49" t="s">
        <v>23</v>
      </c>
      <c r="K834" s="23" t="s">
        <v>31</v>
      </c>
      <c r="L834" s="25" t="s">
        <v>41</v>
      </c>
      <c r="M834" s="21" t="s">
        <v>63</v>
      </c>
      <c r="N834" s="37">
        <v>59.94</v>
      </c>
      <c r="O834" s="37">
        <v>15.64</v>
      </c>
      <c r="P834" s="26">
        <f t="shared" si="121"/>
        <v>44.3</v>
      </c>
      <c r="Q834" s="27">
        <v>425</v>
      </c>
      <c r="R834" s="28">
        <f t="shared" si="114"/>
        <v>18827.5</v>
      </c>
      <c r="S834" s="27"/>
      <c r="T834" s="29"/>
      <c r="V834" s="29" t="s">
        <v>24</v>
      </c>
      <c r="W834" s="27">
        <v>145</v>
      </c>
      <c r="X834" s="30">
        <f t="shared" si="118"/>
        <v>6423.5</v>
      </c>
      <c r="Y834" s="31">
        <v>210</v>
      </c>
      <c r="Z834" s="31">
        <f t="shared" si="119"/>
        <v>9303</v>
      </c>
      <c r="AA834" s="29">
        <f t="shared" si="120"/>
        <v>34554</v>
      </c>
    </row>
    <row r="835" spans="1:38" s="32" customFormat="1" x14ac:dyDescent="0.25">
      <c r="A835" s="18">
        <v>839</v>
      </c>
      <c r="B835" s="19">
        <v>46044</v>
      </c>
      <c r="C835" s="19">
        <v>46044</v>
      </c>
      <c r="D835" s="51">
        <v>260123013</v>
      </c>
      <c r="E835" s="21" t="s">
        <v>1616</v>
      </c>
      <c r="F835" s="21" t="s">
        <v>1617</v>
      </c>
      <c r="G835" s="21">
        <v>44</v>
      </c>
      <c r="H835" s="44">
        <v>117</v>
      </c>
      <c r="I835" s="45" t="s">
        <v>47</v>
      </c>
      <c r="J835" s="24" t="s">
        <v>23</v>
      </c>
      <c r="K835" s="23" t="s">
        <v>31</v>
      </c>
      <c r="L835" s="21" t="s">
        <v>52</v>
      </c>
      <c r="M835" s="21" t="s">
        <v>32</v>
      </c>
      <c r="N835" s="37">
        <v>59.38</v>
      </c>
      <c r="O835" s="37">
        <v>15.18</v>
      </c>
      <c r="P835" s="26">
        <f t="shared" si="121"/>
        <v>44.2</v>
      </c>
      <c r="Q835" s="27">
        <v>335</v>
      </c>
      <c r="R835" s="28">
        <f t="shared" si="114"/>
        <v>14807.000000000002</v>
      </c>
      <c r="S835" s="27"/>
      <c r="T835" s="29"/>
      <c r="V835" s="29" t="s">
        <v>24</v>
      </c>
      <c r="W835" s="27">
        <v>145</v>
      </c>
      <c r="X835" s="30">
        <f t="shared" si="118"/>
        <v>6409</v>
      </c>
      <c r="Y835" s="31">
        <v>230</v>
      </c>
      <c r="Z835" s="31">
        <f t="shared" si="119"/>
        <v>10166</v>
      </c>
      <c r="AA835" s="29">
        <f t="shared" si="120"/>
        <v>31382</v>
      </c>
    </row>
    <row r="836" spans="1:38" s="32" customFormat="1" x14ac:dyDescent="0.25">
      <c r="A836" s="18">
        <v>840</v>
      </c>
      <c r="B836" s="19">
        <v>46044</v>
      </c>
      <c r="C836" s="19">
        <v>46044</v>
      </c>
      <c r="D836" s="51">
        <v>260123014</v>
      </c>
      <c r="E836" s="21" t="s">
        <v>1618</v>
      </c>
      <c r="F836" s="21" t="s">
        <v>1619</v>
      </c>
      <c r="G836" s="21">
        <v>33</v>
      </c>
      <c r="H836" s="44">
        <v>117</v>
      </c>
      <c r="I836" s="45" t="s">
        <v>47</v>
      </c>
      <c r="J836" s="24" t="s">
        <v>23</v>
      </c>
      <c r="K836" s="23" t="s">
        <v>31</v>
      </c>
      <c r="L836" s="21" t="s">
        <v>60</v>
      </c>
      <c r="M836" s="21" t="s">
        <v>34</v>
      </c>
      <c r="N836" s="37">
        <v>57.16</v>
      </c>
      <c r="O836" s="37">
        <v>14.08</v>
      </c>
      <c r="P836" s="26">
        <f t="shared" si="121"/>
        <v>43.08</v>
      </c>
      <c r="Q836" s="27">
        <v>555</v>
      </c>
      <c r="R836" s="28">
        <f t="shared" si="114"/>
        <v>23909.399999999998</v>
      </c>
      <c r="S836" s="27"/>
      <c r="T836" s="29"/>
      <c r="V836" s="29" t="s">
        <v>24</v>
      </c>
      <c r="W836" s="27">
        <v>145</v>
      </c>
      <c r="X836" s="30">
        <f t="shared" si="118"/>
        <v>6246.5999999999995</v>
      </c>
      <c r="Y836" s="31">
        <v>230</v>
      </c>
      <c r="Z836" s="31">
        <f t="shared" si="119"/>
        <v>9908.4</v>
      </c>
      <c r="AA836" s="29">
        <f t="shared" si="120"/>
        <v>40064.399999999994</v>
      </c>
    </row>
    <row r="837" spans="1:38" s="38" customFormat="1" x14ac:dyDescent="0.25">
      <c r="A837" s="18">
        <v>841</v>
      </c>
      <c r="B837" s="19">
        <v>46044</v>
      </c>
      <c r="C837" s="19">
        <v>46044</v>
      </c>
      <c r="D837" s="51">
        <v>260123015</v>
      </c>
      <c r="E837" s="21" t="s">
        <v>1620</v>
      </c>
      <c r="F837" s="21" t="s">
        <v>1621</v>
      </c>
      <c r="G837" s="21">
        <v>38</v>
      </c>
      <c r="H837" s="44">
        <v>117</v>
      </c>
      <c r="I837" s="45" t="s">
        <v>47</v>
      </c>
      <c r="J837" s="24" t="s">
        <v>23</v>
      </c>
      <c r="K837" s="23" t="s">
        <v>31</v>
      </c>
      <c r="L837" s="21" t="s">
        <v>61</v>
      </c>
      <c r="M837" s="21" t="s">
        <v>34</v>
      </c>
      <c r="N837" s="37">
        <v>61.56</v>
      </c>
      <c r="O837" s="37">
        <v>15.36</v>
      </c>
      <c r="P837" s="26">
        <f t="shared" si="121"/>
        <v>46.2</v>
      </c>
      <c r="Q837" s="27">
        <v>555</v>
      </c>
      <c r="R837" s="28">
        <f t="shared" si="114"/>
        <v>25641</v>
      </c>
      <c r="S837" s="27"/>
      <c r="T837" s="29"/>
      <c r="V837" s="29" t="s">
        <v>24</v>
      </c>
      <c r="W837" s="27">
        <v>145</v>
      </c>
      <c r="X837" s="30">
        <f t="shared" si="118"/>
        <v>6699</v>
      </c>
      <c r="Y837" s="31">
        <v>230</v>
      </c>
      <c r="Z837" s="31">
        <f t="shared" si="119"/>
        <v>10626</v>
      </c>
      <c r="AA837" s="29">
        <f t="shared" si="120"/>
        <v>42966</v>
      </c>
    </row>
    <row r="838" spans="1:38" s="32" customFormat="1" x14ac:dyDescent="0.25">
      <c r="A838" s="18">
        <v>842</v>
      </c>
      <c r="B838" s="19">
        <v>46044</v>
      </c>
      <c r="C838" s="19">
        <v>46044</v>
      </c>
      <c r="D838" s="20" t="s">
        <v>1622</v>
      </c>
      <c r="E838" s="21"/>
      <c r="F838" s="21"/>
      <c r="G838" s="21"/>
      <c r="H838" s="22">
        <v>77</v>
      </c>
      <c r="I838" s="23" t="s">
        <v>1588</v>
      </c>
      <c r="J838" s="24" t="s">
        <v>23</v>
      </c>
      <c r="K838" s="23" t="s">
        <v>30</v>
      </c>
      <c r="L838" s="20" t="s">
        <v>1589</v>
      </c>
      <c r="M838" s="21" t="s">
        <v>34</v>
      </c>
      <c r="N838" s="37">
        <v>17.12</v>
      </c>
      <c r="O838" s="21">
        <v>7.22</v>
      </c>
      <c r="P838" s="26">
        <f t="shared" si="121"/>
        <v>9.9000000000000021</v>
      </c>
      <c r="Q838" s="27">
        <v>530</v>
      </c>
      <c r="R838" s="28">
        <f t="shared" si="114"/>
        <v>5247.0000000000009</v>
      </c>
      <c r="S838" s="27">
        <v>5250</v>
      </c>
      <c r="V838" s="29" t="s">
        <v>45</v>
      </c>
      <c r="W838" s="27"/>
      <c r="X838" s="30">
        <f t="shared" si="118"/>
        <v>0</v>
      </c>
      <c r="Y838" s="31"/>
      <c r="Z838" s="31">
        <f t="shared" si="119"/>
        <v>0</v>
      </c>
      <c r="AA838" s="29">
        <f t="shared" si="120"/>
        <v>5247.0000000000009</v>
      </c>
    </row>
    <row r="839" spans="1:38" s="32" customFormat="1" x14ac:dyDescent="0.25">
      <c r="A839" s="18">
        <v>843</v>
      </c>
      <c r="B839" s="19">
        <v>46044</v>
      </c>
      <c r="C839" s="19">
        <v>46044</v>
      </c>
      <c r="D839" s="20">
        <v>260123016</v>
      </c>
      <c r="E839" s="21" t="s">
        <v>1623</v>
      </c>
      <c r="F839" s="21" t="s">
        <v>1624</v>
      </c>
      <c r="G839" s="21">
        <v>30</v>
      </c>
      <c r="H839" s="48">
        <v>42</v>
      </c>
      <c r="I839" s="23" t="s">
        <v>44</v>
      </c>
      <c r="J839" s="49" t="s">
        <v>23</v>
      </c>
      <c r="K839" s="23" t="s">
        <v>31</v>
      </c>
      <c r="L839" s="21" t="s">
        <v>124</v>
      </c>
      <c r="M839" s="21" t="s">
        <v>34</v>
      </c>
      <c r="N839" s="21">
        <v>51.92</v>
      </c>
      <c r="O839" s="37">
        <v>12.72</v>
      </c>
      <c r="P839" s="26">
        <f t="shared" si="121"/>
        <v>39.200000000000003</v>
      </c>
      <c r="Q839" s="27">
        <v>525</v>
      </c>
      <c r="R839" s="28">
        <f t="shared" ref="R839:R852" si="122">P839*Q839</f>
        <v>20580</v>
      </c>
      <c r="S839" s="27"/>
      <c r="T839" s="29"/>
      <c r="V839" s="29" t="s">
        <v>24</v>
      </c>
      <c r="W839" s="27">
        <v>145</v>
      </c>
      <c r="X839" s="30">
        <f t="shared" si="118"/>
        <v>5684</v>
      </c>
      <c r="Y839" s="31">
        <v>260</v>
      </c>
      <c r="Z839" s="31">
        <f t="shared" si="119"/>
        <v>10192</v>
      </c>
      <c r="AA839" s="29">
        <f t="shared" si="120"/>
        <v>36456</v>
      </c>
    </row>
    <row r="840" spans="1:38" s="32" customFormat="1" x14ac:dyDescent="0.25">
      <c r="A840" s="18">
        <v>844</v>
      </c>
      <c r="B840" s="19">
        <v>46044</v>
      </c>
      <c r="C840" s="19">
        <v>46044</v>
      </c>
      <c r="D840" s="20">
        <v>260123017</v>
      </c>
      <c r="E840" s="21" t="s">
        <v>1625</v>
      </c>
      <c r="F840" s="21" t="s">
        <v>1626</v>
      </c>
      <c r="G840" s="21">
        <v>44</v>
      </c>
      <c r="H840" s="48">
        <v>53</v>
      </c>
      <c r="I840" s="52" t="s">
        <v>57</v>
      </c>
      <c r="J840" s="49" t="s">
        <v>23</v>
      </c>
      <c r="K840" s="23" t="s">
        <v>31</v>
      </c>
      <c r="L840" s="21" t="s">
        <v>36</v>
      </c>
      <c r="M840" s="21" t="s">
        <v>63</v>
      </c>
      <c r="N840" s="21">
        <v>60.12</v>
      </c>
      <c r="O840" s="21">
        <v>15.86</v>
      </c>
      <c r="P840" s="26">
        <f t="shared" si="121"/>
        <v>44.26</v>
      </c>
      <c r="Q840" s="27">
        <v>425</v>
      </c>
      <c r="R840" s="28">
        <f t="shared" si="122"/>
        <v>18810.5</v>
      </c>
      <c r="S840" s="27"/>
      <c r="T840" s="29"/>
      <c r="V840" s="29" t="s">
        <v>24</v>
      </c>
      <c r="W840" s="27">
        <v>145</v>
      </c>
      <c r="X840" s="30">
        <f t="shared" si="118"/>
        <v>6417.7</v>
      </c>
      <c r="Y840" s="31">
        <v>210</v>
      </c>
      <c r="Z840" s="31">
        <f t="shared" si="119"/>
        <v>9294.6</v>
      </c>
      <c r="AA840" s="29">
        <f t="shared" si="120"/>
        <v>34522.800000000003</v>
      </c>
    </row>
    <row r="841" spans="1:38" s="32" customFormat="1" x14ac:dyDescent="0.25">
      <c r="A841" s="18">
        <v>845</v>
      </c>
      <c r="B841" s="19">
        <v>46045</v>
      </c>
      <c r="C841" s="19">
        <v>46045</v>
      </c>
      <c r="D841" s="51" t="s">
        <v>1627</v>
      </c>
      <c r="E841" s="21"/>
      <c r="F841" s="21"/>
      <c r="G841" s="21"/>
      <c r="H841" s="62"/>
      <c r="I841" s="45" t="s">
        <v>201</v>
      </c>
      <c r="J841" s="24" t="s">
        <v>23</v>
      </c>
      <c r="K841" s="23" t="s">
        <v>31</v>
      </c>
      <c r="L841" s="25" t="s">
        <v>335</v>
      </c>
      <c r="M841" s="21" t="s">
        <v>203</v>
      </c>
      <c r="N841" s="21">
        <v>21.74</v>
      </c>
      <c r="O841" s="21">
        <v>14.27</v>
      </c>
      <c r="P841" s="26">
        <f t="shared" si="121"/>
        <v>7.4699999999999989</v>
      </c>
      <c r="Q841" s="27">
        <v>0</v>
      </c>
      <c r="R841" s="28">
        <f t="shared" si="122"/>
        <v>0</v>
      </c>
      <c r="S841" s="27"/>
      <c r="T841" s="29"/>
      <c r="V841" s="29" t="s">
        <v>24</v>
      </c>
      <c r="W841" s="27"/>
      <c r="X841" s="30">
        <f t="shared" ref="X841:X873" si="123">P841*W841</f>
        <v>0</v>
      </c>
      <c r="Y841" s="31"/>
      <c r="Z841" s="31">
        <f t="shared" ref="Z841:Z873" si="124">P841*Y841</f>
        <v>0</v>
      </c>
      <c r="AA841" s="29">
        <f t="shared" ref="AA841:AA873" si="125">R841+X841+Z841</f>
        <v>0</v>
      </c>
    </row>
    <row r="842" spans="1:38" s="32" customFormat="1" x14ac:dyDescent="0.25">
      <c r="A842" s="18">
        <v>846</v>
      </c>
      <c r="B842" s="19">
        <v>46045</v>
      </c>
      <c r="C842" s="19">
        <v>46045</v>
      </c>
      <c r="D842" s="70">
        <v>260123018</v>
      </c>
      <c r="E842" s="21" t="s">
        <v>1628</v>
      </c>
      <c r="F842" s="21" t="s">
        <v>1629</v>
      </c>
      <c r="G842" s="21">
        <v>42</v>
      </c>
      <c r="H842" s="36">
        <v>130</v>
      </c>
      <c r="I842" s="23" t="s">
        <v>1499</v>
      </c>
      <c r="J842" s="24" t="s">
        <v>23</v>
      </c>
      <c r="K842" s="23" t="s">
        <v>31</v>
      </c>
      <c r="L842" s="25" t="s">
        <v>1500</v>
      </c>
      <c r="M842" s="21" t="s">
        <v>34</v>
      </c>
      <c r="N842" s="83">
        <v>57.72</v>
      </c>
      <c r="O842" s="21">
        <v>15.54</v>
      </c>
      <c r="P842" s="26">
        <f t="shared" si="121"/>
        <v>42.18</v>
      </c>
      <c r="Q842" s="27">
        <v>520</v>
      </c>
      <c r="R842" s="28">
        <f t="shared" si="122"/>
        <v>21933.599999999999</v>
      </c>
      <c r="S842" s="27"/>
      <c r="T842" s="29"/>
      <c r="V842" s="29" t="s">
        <v>253</v>
      </c>
      <c r="W842" s="27">
        <v>145</v>
      </c>
      <c r="X842" s="30">
        <f t="shared" si="123"/>
        <v>6116.1</v>
      </c>
      <c r="Y842" s="31"/>
      <c r="Z842" s="31">
        <f t="shared" si="124"/>
        <v>0</v>
      </c>
      <c r="AA842" s="29">
        <f t="shared" si="125"/>
        <v>28049.699999999997</v>
      </c>
    </row>
    <row r="843" spans="1:38" s="32" customFormat="1" x14ac:dyDescent="0.25">
      <c r="A843" s="18">
        <v>847</v>
      </c>
      <c r="B843" s="19">
        <v>46045</v>
      </c>
      <c r="C843" s="19">
        <v>46045</v>
      </c>
      <c r="D843" s="70">
        <v>260123019</v>
      </c>
      <c r="E843" s="21" t="s">
        <v>1630</v>
      </c>
      <c r="F843" s="21" t="s">
        <v>1631</v>
      </c>
      <c r="G843" s="21">
        <v>33</v>
      </c>
      <c r="H843" s="48">
        <v>53</v>
      </c>
      <c r="I843" s="52" t="s">
        <v>57</v>
      </c>
      <c r="J843" s="49" t="s">
        <v>23</v>
      </c>
      <c r="K843" s="23" t="s">
        <v>31</v>
      </c>
      <c r="L843" s="82" t="s">
        <v>43</v>
      </c>
      <c r="M843" s="21" t="s">
        <v>63</v>
      </c>
      <c r="N843" s="21">
        <v>44.92</v>
      </c>
      <c r="O843" s="21">
        <v>11.3</v>
      </c>
      <c r="P843" s="26">
        <f t="shared" si="121"/>
        <v>33.620000000000005</v>
      </c>
      <c r="Q843" s="27">
        <v>425</v>
      </c>
      <c r="R843" s="28">
        <f t="shared" si="122"/>
        <v>14288.500000000002</v>
      </c>
      <c r="S843" s="27"/>
      <c r="T843" s="29"/>
      <c r="V843" s="29" t="s">
        <v>24</v>
      </c>
      <c r="W843" s="27">
        <v>145</v>
      </c>
      <c r="X843" s="30">
        <f t="shared" si="123"/>
        <v>4874.9000000000005</v>
      </c>
      <c r="Y843" s="31">
        <v>210</v>
      </c>
      <c r="Z843" s="31">
        <f t="shared" si="124"/>
        <v>7060.2000000000007</v>
      </c>
      <c r="AA843" s="29">
        <f t="shared" si="125"/>
        <v>26223.600000000002</v>
      </c>
    </row>
    <row r="844" spans="1:38" s="38" customFormat="1" x14ac:dyDescent="0.25">
      <c r="A844" s="18">
        <v>848</v>
      </c>
      <c r="B844" s="19">
        <v>46045</v>
      </c>
      <c r="C844" s="19">
        <v>46045</v>
      </c>
      <c r="D844" s="70">
        <v>260123020</v>
      </c>
      <c r="E844" s="21" t="s">
        <v>1632</v>
      </c>
      <c r="F844" s="21" t="s">
        <v>1633</v>
      </c>
      <c r="G844" s="21">
        <v>45</v>
      </c>
      <c r="H844" s="48">
        <v>42</v>
      </c>
      <c r="I844" s="23" t="s">
        <v>44</v>
      </c>
      <c r="J844" s="49" t="s">
        <v>23</v>
      </c>
      <c r="K844" s="23" t="s">
        <v>31</v>
      </c>
      <c r="L844" s="25" t="s">
        <v>38</v>
      </c>
      <c r="M844" s="21" t="s">
        <v>34</v>
      </c>
      <c r="N844" s="21">
        <v>60.58</v>
      </c>
      <c r="O844" s="37">
        <v>14.96</v>
      </c>
      <c r="P844" s="26">
        <f t="shared" si="121"/>
        <v>45.62</v>
      </c>
      <c r="Q844" s="27">
        <v>525</v>
      </c>
      <c r="R844" s="28">
        <f t="shared" si="122"/>
        <v>23950.5</v>
      </c>
      <c r="S844" s="27"/>
      <c r="T844" s="29"/>
      <c r="V844" s="29" t="s">
        <v>24</v>
      </c>
      <c r="W844" s="27">
        <v>145</v>
      </c>
      <c r="X844" s="30">
        <f t="shared" si="123"/>
        <v>6614.9</v>
      </c>
      <c r="Y844" s="31">
        <v>260</v>
      </c>
      <c r="Z844" s="31">
        <f t="shared" si="124"/>
        <v>11861.199999999999</v>
      </c>
      <c r="AA844" s="29">
        <f t="shared" si="125"/>
        <v>42426.6</v>
      </c>
    </row>
    <row r="845" spans="1:38" s="32" customFormat="1" x14ac:dyDescent="0.25">
      <c r="A845" s="18">
        <v>849</v>
      </c>
      <c r="B845" s="19">
        <v>46045</v>
      </c>
      <c r="C845" s="19">
        <v>46045</v>
      </c>
      <c r="D845" s="70">
        <v>260123021</v>
      </c>
      <c r="E845" s="21"/>
      <c r="F845" s="21" t="s">
        <v>1634</v>
      </c>
      <c r="G845" s="21">
        <v>35</v>
      </c>
      <c r="H845" s="33">
        <v>285</v>
      </c>
      <c r="I845" s="73" t="s">
        <v>703</v>
      </c>
      <c r="J845" s="24" t="s">
        <v>23</v>
      </c>
      <c r="K845" s="23" t="s">
        <v>31</v>
      </c>
      <c r="L845" s="32" t="s">
        <v>932</v>
      </c>
      <c r="M845" s="32" t="s">
        <v>34</v>
      </c>
      <c r="N845" s="37">
        <v>47.74</v>
      </c>
      <c r="O845" s="21">
        <v>11.86</v>
      </c>
      <c r="P845" s="26">
        <f t="shared" si="121"/>
        <v>35.880000000000003</v>
      </c>
      <c r="Q845" s="27">
        <v>520</v>
      </c>
      <c r="R845" s="28">
        <f t="shared" si="122"/>
        <v>18657.600000000002</v>
      </c>
      <c r="S845" s="27"/>
      <c r="T845" s="29"/>
      <c r="V845" s="29" t="s">
        <v>45</v>
      </c>
      <c r="W845" s="27"/>
      <c r="X845" s="30">
        <f t="shared" si="123"/>
        <v>0</v>
      </c>
      <c r="Y845" s="31"/>
      <c r="Z845" s="31">
        <f t="shared" si="124"/>
        <v>0</v>
      </c>
      <c r="AA845" s="29">
        <f t="shared" si="125"/>
        <v>18657.600000000002</v>
      </c>
    </row>
    <row r="846" spans="1:38" s="32" customFormat="1" x14ac:dyDescent="0.25">
      <c r="A846" s="18">
        <v>850</v>
      </c>
      <c r="B846" s="19">
        <v>46045</v>
      </c>
      <c r="C846" s="19">
        <v>46045</v>
      </c>
      <c r="D846" s="70">
        <v>260123022</v>
      </c>
      <c r="E846" s="21" t="s">
        <v>1635</v>
      </c>
      <c r="F846" s="21" t="s">
        <v>1636</v>
      </c>
      <c r="G846" s="21">
        <v>37</v>
      </c>
      <c r="H846" s="44">
        <v>115</v>
      </c>
      <c r="I846" s="90" t="s">
        <v>33</v>
      </c>
      <c r="J846" s="24" t="s">
        <v>23</v>
      </c>
      <c r="K846" s="35" t="s">
        <v>31</v>
      </c>
      <c r="L846" s="25" t="s">
        <v>42</v>
      </c>
      <c r="M846" s="21" t="s">
        <v>35</v>
      </c>
      <c r="N846" s="37">
        <v>49.52</v>
      </c>
      <c r="O846" s="37">
        <v>11.66</v>
      </c>
      <c r="P846" s="26">
        <f t="shared" si="121"/>
        <v>37.86</v>
      </c>
      <c r="Q846" s="27">
        <v>445</v>
      </c>
      <c r="R846" s="28">
        <f t="shared" si="122"/>
        <v>16847.7</v>
      </c>
      <c r="S846" s="27"/>
      <c r="T846" s="29"/>
      <c r="V846" s="29" t="s">
        <v>24</v>
      </c>
      <c r="W846" s="27">
        <v>145</v>
      </c>
      <c r="X846" s="30">
        <f t="shared" si="123"/>
        <v>5489.7</v>
      </c>
      <c r="Y846" s="31">
        <v>260</v>
      </c>
      <c r="Z846" s="31">
        <f t="shared" si="124"/>
        <v>9843.6</v>
      </c>
      <c r="AA846" s="29">
        <f t="shared" si="125"/>
        <v>32181</v>
      </c>
    </row>
    <row r="847" spans="1:38" s="32" customFormat="1" x14ac:dyDescent="0.25">
      <c r="A847" s="18">
        <v>851</v>
      </c>
      <c r="B847" s="19">
        <v>46045</v>
      </c>
      <c r="C847" s="19">
        <v>46045</v>
      </c>
      <c r="D847" s="70">
        <v>260123023</v>
      </c>
      <c r="E847" s="21" t="s">
        <v>1637</v>
      </c>
      <c r="F847" s="21" t="s">
        <v>1638</v>
      </c>
      <c r="G847" s="21">
        <v>45</v>
      </c>
      <c r="H847" s="44">
        <v>115</v>
      </c>
      <c r="I847" s="90" t="s">
        <v>33</v>
      </c>
      <c r="J847" s="24" t="s">
        <v>23</v>
      </c>
      <c r="K847" s="35" t="s">
        <v>31</v>
      </c>
      <c r="L847" s="25" t="s">
        <v>115</v>
      </c>
      <c r="M847" s="21" t="s">
        <v>34</v>
      </c>
      <c r="N847" s="37">
        <v>61.16</v>
      </c>
      <c r="O847" s="37">
        <v>15.56</v>
      </c>
      <c r="P847" s="26">
        <f t="shared" si="121"/>
        <v>45.599999999999994</v>
      </c>
      <c r="Q847" s="27">
        <v>545</v>
      </c>
      <c r="R847" s="28">
        <f t="shared" si="122"/>
        <v>24851.999999999996</v>
      </c>
      <c r="S847" s="27"/>
      <c r="T847" s="29"/>
      <c r="V847" s="29" t="s">
        <v>24</v>
      </c>
      <c r="W847" s="27">
        <v>145</v>
      </c>
      <c r="X847" s="30">
        <f t="shared" si="123"/>
        <v>6611.9999999999991</v>
      </c>
      <c r="Y847" s="31">
        <v>260</v>
      </c>
      <c r="Z847" s="31">
        <f t="shared" si="124"/>
        <v>11855.999999999998</v>
      </c>
      <c r="AA847" s="29">
        <f t="shared" si="125"/>
        <v>43319.999999999993</v>
      </c>
    </row>
    <row r="848" spans="1:38" s="32" customFormat="1" x14ac:dyDescent="0.25">
      <c r="A848" s="18">
        <v>852</v>
      </c>
      <c r="B848" s="19">
        <v>46045</v>
      </c>
      <c r="C848" s="19">
        <v>46045</v>
      </c>
      <c r="D848" s="70">
        <v>260123024</v>
      </c>
      <c r="E848" s="21" t="s">
        <v>1639</v>
      </c>
      <c r="F848" s="21" t="s">
        <v>1640</v>
      </c>
      <c r="G848" s="21">
        <v>47</v>
      </c>
      <c r="H848" s="44">
        <v>115</v>
      </c>
      <c r="I848" s="90" t="s">
        <v>33</v>
      </c>
      <c r="J848" s="24" t="s">
        <v>23</v>
      </c>
      <c r="K848" s="35" t="s">
        <v>31</v>
      </c>
      <c r="L848" s="25" t="s">
        <v>1421</v>
      </c>
      <c r="M848" s="21" t="s">
        <v>32</v>
      </c>
      <c r="N848" s="37">
        <v>65.58</v>
      </c>
      <c r="O848" s="37">
        <v>18.440000000000001</v>
      </c>
      <c r="P848" s="26">
        <f t="shared" si="121"/>
        <v>47.14</v>
      </c>
      <c r="Q848" s="27">
        <v>315</v>
      </c>
      <c r="R848" s="28">
        <f t="shared" si="122"/>
        <v>14849.1</v>
      </c>
      <c r="S848" s="27"/>
      <c r="T848" s="29"/>
      <c r="V848" s="29" t="s">
        <v>24</v>
      </c>
      <c r="W848" s="27">
        <v>145</v>
      </c>
      <c r="X848" s="30">
        <f t="shared" si="123"/>
        <v>6835.3</v>
      </c>
      <c r="Y848" s="31">
        <v>260</v>
      </c>
      <c r="Z848" s="31">
        <f t="shared" si="124"/>
        <v>12256.4</v>
      </c>
      <c r="AA848" s="29">
        <f t="shared" si="125"/>
        <v>33940.800000000003</v>
      </c>
      <c r="AB848" s="40"/>
      <c r="AC848" s="39"/>
      <c r="AD848" s="41"/>
      <c r="AE848" s="42"/>
      <c r="AF848" s="39"/>
      <c r="AG848" s="42"/>
      <c r="AH848" s="39"/>
      <c r="AI848" s="41"/>
      <c r="AJ848" s="39"/>
      <c r="AK848" s="41"/>
      <c r="AL848" s="41"/>
    </row>
    <row r="849" spans="1:27" s="32" customFormat="1" x14ac:dyDescent="0.25">
      <c r="A849" s="18">
        <v>853</v>
      </c>
      <c r="B849" s="19">
        <v>46045</v>
      </c>
      <c r="C849" s="19">
        <v>46045</v>
      </c>
      <c r="D849" s="70">
        <v>260123025</v>
      </c>
      <c r="E849" s="21"/>
      <c r="F849" s="21" t="s">
        <v>1641</v>
      </c>
      <c r="G849" s="21">
        <v>36</v>
      </c>
      <c r="H849" s="33">
        <v>285</v>
      </c>
      <c r="I849" s="73" t="s">
        <v>703</v>
      </c>
      <c r="J849" s="24" t="s">
        <v>23</v>
      </c>
      <c r="K849" s="23" t="s">
        <v>31</v>
      </c>
      <c r="L849" s="25" t="s">
        <v>563</v>
      </c>
      <c r="M849" s="21" t="s">
        <v>49</v>
      </c>
      <c r="N849" s="37">
        <v>48.48</v>
      </c>
      <c r="O849" s="37">
        <v>11.6</v>
      </c>
      <c r="P849" s="26">
        <f t="shared" si="121"/>
        <v>36.879999999999995</v>
      </c>
      <c r="Q849" s="27">
        <v>220</v>
      </c>
      <c r="R849" s="28">
        <f t="shared" si="122"/>
        <v>8113.5999999999985</v>
      </c>
      <c r="S849" s="27"/>
      <c r="T849" s="29"/>
      <c r="V849" s="29" t="s">
        <v>45</v>
      </c>
      <c r="W849" s="27"/>
      <c r="X849" s="30">
        <f t="shared" si="123"/>
        <v>0</v>
      </c>
      <c r="Y849" s="31"/>
      <c r="Z849" s="31">
        <f t="shared" si="124"/>
        <v>0</v>
      </c>
      <c r="AA849" s="29">
        <f t="shared" si="125"/>
        <v>8113.5999999999985</v>
      </c>
    </row>
    <row r="850" spans="1:27" s="32" customFormat="1" x14ac:dyDescent="0.25">
      <c r="A850" s="18">
        <v>854</v>
      </c>
      <c r="B850" s="19">
        <v>46045</v>
      </c>
      <c r="C850" s="19">
        <v>46045</v>
      </c>
      <c r="D850" s="70">
        <v>260123026</v>
      </c>
      <c r="E850" s="21" t="s">
        <v>1642</v>
      </c>
      <c r="F850" s="21" t="s">
        <v>1643</v>
      </c>
      <c r="G850" s="21">
        <v>45</v>
      </c>
      <c r="H850" s="44">
        <v>115</v>
      </c>
      <c r="I850" s="90" t="s">
        <v>33</v>
      </c>
      <c r="J850" s="24" t="s">
        <v>23</v>
      </c>
      <c r="K850" s="35" t="s">
        <v>31</v>
      </c>
      <c r="L850" s="25" t="s">
        <v>46</v>
      </c>
      <c r="M850" s="21" t="s">
        <v>34</v>
      </c>
      <c r="N850" s="37">
        <v>60.06</v>
      </c>
      <c r="O850" s="37">
        <v>14.88</v>
      </c>
      <c r="P850" s="26">
        <f t="shared" si="121"/>
        <v>45.18</v>
      </c>
      <c r="Q850" s="27">
        <v>545</v>
      </c>
      <c r="R850" s="28">
        <f t="shared" si="122"/>
        <v>24623.1</v>
      </c>
      <c r="S850" s="27"/>
      <c r="T850" s="29"/>
      <c r="V850" s="29" t="s">
        <v>24</v>
      </c>
      <c r="W850" s="27">
        <v>145</v>
      </c>
      <c r="X850" s="30">
        <f t="shared" si="123"/>
        <v>6551.1</v>
      </c>
      <c r="Y850" s="31">
        <v>260</v>
      </c>
      <c r="Z850" s="31">
        <f t="shared" si="124"/>
        <v>11746.8</v>
      </c>
      <c r="AA850" s="29">
        <f t="shared" si="125"/>
        <v>42921</v>
      </c>
    </row>
    <row r="851" spans="1:27" s="32" customFormat="1" x14ac:dyDescent="0.25">
      <c r="A851" s="18">
        <v>855</v>
      </c>
      <c r="B851" s="19">
        <v>46045</v>
      </c>
      <c r="C851" s="19">
        <v>46045</v>
      </c>
      <c r="D851" s="70">
        <v>260123027</v>
      </c>
      <c r="E851" s="21" t="s">
        <v>1644</v>
      </c>
      <c r="F851" s="21" t="s">
        <v>1645</v>
      </c>
      <c r="G851" s="21">
        <v>35</v>
      </c>
      <c r="H851" s="44">
        <v>115</v>
      </c>
      <c r="I851" s="90" t="s">
        <v>33</v>
      </c>
      <c r="J851" s="24" t="s">
        <v>23</v>
      </c>
      <c r="K851" s="35" t="s">
        <v>31</v>
      </c>
      <c r="L851" s="82" t="s">
        <v>40</v>
      </c>
      <c r="M851" s="21" t="s">
        <v>35</v>
      </c>
      <c r="N851" s="37">
        <v>47.26</v>
      </c>
      <c r="O851" s="37">
        <v>11.46</v>
      </c>
      <c r="P851" s="26">
        <f t="shared" si="121"/>
        <v>35.799999999999997</v>
      </c>
      <c r="Q851" s="27">
        <v>445</v>
      </c>
      <c r="R851" s="28">
        <f t="shared" si="122"/>
        <v>15930.999999999998</v>
      </c>
      <c r="S851" s="27"/>
      <c r="T851" s="29"/>
      <c r="V851" s="29" t="s">
        <v>24</v>
      </c>
      <c r="W851" s="27">
        <v>145</v>
      </c>
      <c r="X851" s="30">
        <f t="shared" si="123"/>
        <v>5191</v>
      </c>
      <c r="Y851" s="31">
        <v>260</v>
      </c>
      <c r="Z851" s="31">
        <f t="shared" si="124"/>
        <v>9308</v>
      </c>
      <c r="AA851" s="29">
        <f t="shared" si="125"/>
        <v>30430</v>
      </c>
    </row>
    <row r="852" spans="1:27" s="32" customFormat="1" x14ac:dyDescent="0.25">
      <c r="A852" s="18">
        <v>856</v>
      </c>
      <c r="B852" s="19">
        <v>46045</v>
      </c>
      <c r="C852" s="19">
        <v>46045</v>
      </c>
      <c r="D852" s="69">
        <v>260123028</v>
      </c>
      <c r="E852" s="21" t="s">
        <v>1646</v>
      </c>
      <c r="F852" s="21" t="s">
        <v>1647</v>
      </c>
      <c r="G852" s="21">
        <v>43</v>
      </c>
      <c r="H852" s="44">
        <v>115</v>
      </c>
      <c r="I852" s="90" t="s">
        <v>33</v>
      </c>
      <c r="J852" s="24" t="s">
        <v>23</v>
      </c>
      <c r="K852" s="35" t="s">
        <v>31</v>
      </c>
      <c r="L852" s="25" t="s">
        <v>36</v>
      </c>
      <c r="M852" s="21" t="s">
        <v>32</v>
      </c>
      <c r="N852" s="37">
        <v>59.56</v>
      </c>
      <c r="O852" s="37">
        <v>15.84</v>
      </c>
      <c r="P852" s="26">
        <f t="shared" si="121"/>
        <v>43.72</v>
      </c>
      <c r="Q852" s="27">
        <v>315</v>
      </c>
      <c r="R852" s="28">
        <f t="shared" si="122"/>
        <v>13771.8</v>
      </c>
      <c r="S852" s="27"/>
      <c r="T852" s="29"/>
      <c r="V852" s="29" t="s">
        <v>24</v>
      </c>
      <c r="W852" s="27">
        <v>145</v>
      </c>
      <c r="X852" s="30">
        <f t="shared" si="123"/>
        <v>6339.4</v>
      </c>
      <c r="Y852" s="31">
        <v>260</v>
      </c>
      <c r="Z852" s="31">
        <f t="shared" si="124"/>
        <v>11367.199999999999</v>
      </c>
      <c r="AA852" s="29">
        <f t="shared" si="125"/>
        <v>31478.399999999994</v>
      </c>
    </row>
    <row r="853" spans="1:27" s="38" customFormat="1" x14ac:dyDescent="0.25">
      <c r="A853" s="18">
        <v>857</v>
      </c>
      <c r="B853" s="19">
        <v>46045</v>
      </c>
      <c r="C853" s="19">
        <v>46045</v>
      </c>
      <c r="D853" s="70">
        <v>260123029</v>
      </c>
      <c r="E853" s="21" t="s">
        <v>1648</v>
      </c>
      <c r="F853" s="21" t="s">
        <v>1649</v>
      </c>
      <c r="G853" s="21">
        <v>37</v>
      </c>
      <c r="H853" s="44">
        <v>115</v>
      </c>
      <c r="I853" s="90" t="s">
        <v>33</v>
      </c>
      <c r="J853" s="24" t="s">
        <v>23</v>
      </c>
      <c r="K853" s="35" t="s">
        <v>31</v>
      </c>
      <c r="L853" s="25" t="s">
        <v>39</v>
      </c>
      <c r="M853" s="25" t="s">
        <v>35</v>
      </c>
      <c r="N853" s="37">
        <v>49.28</v>
      </c>
      <c r="O853" s="37">
        <v>11.72</v>
      </c>
      <c r="P853" s="26">
        <f t="shared" si="121"/>
        <v>37.56</v>
      </c>
      <c r="Q853" s="27">
        <v>445</v>
      </c>
      <c r="R853" s="28">
        <f>P853*Q853</f>
        <v>16714.2</v>
      </c>
      <c r="S853" s="27"/>
      <c r="T853" s="94"/>
      <c r="V853" s="29" t="s">
        <v>24</v>
      </c>
      <c r="W853" s="27">
        <v>145</v>
      </c>
      <c r="X853" s="30">
        <f t="shared" si="123"/>
        <v>5446.2000000000007</v>
      </c>
      <c r="Y853" s="31">
        <v>260</v>
      </c>
      <c r="Z853" s="31">
        <f t="shared" si="124"/>
        <v>9765.6</v>
      </c>
      <c r="AA853" s="29">
        <f t="shared" si="125"/>
        <v>31926</v>
      </c>
    </row>
    <row r="854" spans="1:27" s="38" customFormat="1" x14ac:dyDescent="0.25">
      <c r="A854" s="18">
        <v>858</v>
      </c>
      <c r="B854" s="19">
        <v>46045</v>
      </c>
      <c r="C854" s="19">
        <v>46045</v>
      </c>
      <c r="D854" s="70">
        <v>260123030</v>
      </c>
      <c r="E854" s="21" t="s">
        <v>1650</v>
      </c>
      <c r="F854" s="21" t="s">
        <v>1651</v>
      </c>
      <c r="G854" s="21">
        <v>47</v>
      </c>
      <c r="H854" s="44">
        <v>115</v>
      </c>
      <c r="I854" s="90" t="s">
        <v>33</v>
      </c>
      <c r="J854" s="24" t="s">
        <v>23</v>
      </c>
      <c r="K854" s="35" t="s">
        <v>31</v>
      </c>
      <c r="L854" s="25" t="s">
        <v>1381</v>
      </c>
      <c r="M854" s="21" t="s">
        <v>32</v>
      </c>
      <c r="N854" s="37">
        <v>66.38</v>
      </c>
      <c r="O854" s="37">
        <v>18.5</v>
      </c>
      <c r="P854" s="26">
        <f t="shared" si="121"/>
        <v>47.879999999999995</v>
      </c>
      <c r="Q854" s="27">
        <v>315</v>
      </c>
      <c r="R854" s="28">
        <f>P854*Q854</f>
        <v>15082.199999999999</v>
      </c>
      <c r="S854" s="27"/>
      <c r="T854" s="29"/>
      <c r="V854" s="29" t="s">
        <v>24</v>
      </c>
      <c r="W854" s="27">
        <v>145</v>
      </c>
      <c r="X854" s="30">
        <f t="shared" si="123"/>
        <v>6942.5999999999995</v>
      </c>
      <c r="Y854" s="31">
        <v>260</v>
      </c>
      <c r="Z854" s="31">
        <f t="shared" si="124"/>
        <v>12448.8</v>
      </c>
      <c r="AA854" s="29">
        <f t="shared" si="125"/>
        <v>34473.599999999999</v>
      </c>
    </row>
    <row r="855" spans="1:27" s="38" customFormat="1" x14ac:dyDescent="0.25">
      <c r="A855" s="18">
        <v>859</v>
      </c>
      <c r="B855" s="19">
        <v>46045</v>
      </c>
      <c r="C855" s="19">
        <v>46045</v>
      </c>
      <c r="D855" s="70">
        <v>260123031</v>
      </c>
      <c r="E855" s="21" t="s">
        <v>1652</v>
      </c>
      <c r="F855" s="21" t="s">
        <v>1653</v>
      </c>
      <c r="G855" s="21">
        <v>59</v>
      </c>
      <c r="H855" s="44">
        <v>115</v>
      </c>
      <c r="I855" s="90" t="s">
        <v>33</v>
      </c>
      <c r="J855" s="24" t="s">
        <v>23</v>
      </c>
      <c r="K855" s="35" t="s">
        <v>31</v>
      </c>
      <c r="L855" s="25" t="s">
        <v>206</v>
      </c>
      <c r="M855" s="21" t="s">
        <v>34</v>
      </c>
      <c r="N855" s="37">
        <v>76.7</v>
      </c>
      <c r="O855" s="37">
        <v>17.2</v>
      </c>
      <c r="P855" s="26">
        <f t="shared" si="121"/>
        <v>59.5</v>
      </c>
      <c r="Q855" s="27">
        <v>545</v>
      </c>
      <c r="R855" s="28">
        <f>P855*Q855</f>
        <v>32427.5</v>
      </c>
      <c r="S855" s="27"/>
      <c r="T855" s="29"/>
      <c r="V855" s="29" t="s">
        <v>24</v>
      </c>
      <c r="W855" s="27">
        <v>145</v>
      </c>
      <c r="X855" s="30">
        <f t="shared" si="123"/>
        <v>8627.5</v>
      </c>
      <c r="Y855" s="31">
        <v>260</v>
      </c>
      <c r="Z855" s="31">
        <f t="shared" si="124"/>
        <v>15470</v>
      </c>
      <c r="AA855" s="29">
        <f t="shared" si="125"/>
        <v>56525</v>
      </c>
    </row>
    <row r="856" spans="1:27" s="32" customFormat="1" x14ac:dyDescent="0.25">
      <c r="A856" s="18">
        <v>860</v>
      </c>
      <c r="B856" s="19">
        <v>46045</v>
      </c>
      <c r="C856" s="19">
        <v>46046</v>
      </c>
      <c r="D856" s="51" t="s">
        <v>1654</v>
      </c>
      <c r="E856" s="21"/>
      <c r="F856" s="21"/>
      <c r="G856" s="21"/>
      <c r="H856" s="22">
        <v>71</v>
      </c>
      <c r="I856" s="23" t="s">
        <v>1655</v>
      </c>
      <c r="J856" s="24" t="s">
        <v>23</v>
      </c>
      <c r="K856" s="23" t="s">
        <v>30</v>
      </c>
      <c r="L856" s="25" t="s">
        <v>695</v>
      </c>
      <c r="M856" s="21" t="s">
        <v>49</v>
      </c>
      <c r="N856" s="37">
        <v>9.34</v>
      </c>
      <c r="O856" s="37">
        <v>3.56</v>
      </c>
      <c r="P856" s="26">
        <f t="shared" si="121"/>
        <v>5.7799999999999994</v>
      </c>
      <c r="Q856" s="27">
        <v>250</v>
      </c>
      <c r="R856" s="28">
        <f t="shared" ref="R856:R918" si="126">P856*Q856</f>
        <v>1444.9999999999998</v>
      </c>
      <c r="S856" s="27">
        <v>1445</v>
      </c>
      <c r="T856" s="29"/>
      <c r="V856" s="29" t="s">
        <v>24</v>
      </c>
      <c r="W856" s="27"/>
      <c r="X856" s="30">
        <f t="shared" si="123"/>
        <v>0</v>
      </c>
      <c r="Y856" s="31"/>
      <c r="Z856" s="31">
        <f t="shared" si="124"/>
        <v>0</v>
      </c>
      <c r="AA856" s="29">
        <f t="shared" si="125"/>
        <v>1444.9999999999998</v>
      </c>
    </row>
    <row r="857" spans="1:27" s="32" customFormat="1" x14ac:dyDescent="0.25">
      <c r="A857" s="18">
        <v>861</v>
      </c>
      <c r="B857" s="19">
        <v>46045</v>
      </c>
      <c r="C857" s="19">
        <v>46046</v>
      </c>
      <c r="D857" s="51" t="s">
        <v>1656</v>
      </c>
      <c r="E857" s="21"/>
      <c r="F857" s="21"/>
      <c r="G857" s="21"/>
      <c r="H857" s="62"/>
      <c r="I857" s="45" t="s">
        <v>201</v>
      </c>
      <c r="J857" s="24" t="s">
        <v>23</v>
      </c>
      <c r="K857" s="23" t="s">
        <v>31</v>
      </c>
      <c r="L857" s="25" t="s">
        <v>335</v>
      </c>
      <c r="M857" s="21" t="s">
        <v>203</v>
      </c>
      <c r="N857" s="37">
        <v>21.14</v>
      </c>
      <c r="O857" s="37">
        <v>14.18</v>
      </c>
      <c r="P857" s="26">
        <f t="shared" si="121"/>
        <v>6.9600000000000009</v>
      </c>
      <c r="Q857" s="27">
        <v>0</v>
      </c>
      <c r="R857" s="28">
        <f t="shared" si="126"/>
        <v>0</v>
      </c>
      <c r="S857" s="27"/>
      <c r="T857" s="29"/>
      <c r="V857" s="29"/>
      <c r="W857" s="27"/>
      <c r="X857" s="30">
        <f t="shared" si="123"/>
        <v>0</v>
      </c>
      <c r="Y857" s="31"/>
      <c r="Z857" s="31">
        <f t="shared" si="124"/>
        <v>0</v>
      </c>
      <c r="AA857" s="29">
        <f t="shared" si="125"/>
        <v>0</v>
      </c>
    </row>
    <row r="858" spans="1:27" s="32" customFormat="1" x14ac:dyDescent="0.25">
      <c r="A858" s="18">
        <v>862</v>
      </c>
      <c r="B858" s="19">
        <v>46045</v>
      </c>
      <c r="C858" s="19">
        <v>46046</v>
      </c>
      <c r="D858" s="51" t="s">
        <v>1657</v>
      </c>
      <c r="E858" s="21"/>
      <c r="F858" s="21"/>
      <c r="G858" s="21"/>
      <c r="H858" s="62"/>
      <c r="I858" s="45" t="s">
        <v>201</v>
      </c>
      <c r="J858" s="24" t="s">
        <v>23</v>
      </c>
      <c r="K858" s="23" t="s">
        <v>31</v>
      </c>
      <c r="L858" s="25" t="s">
        <v>308</v>
      </c>
      <c r="M858" s="21" t="s">
        <v>203</v>
      </c>
      <c r="N858" s="37">
        <v>24.9</v>
      </c>
      <c r="O858" s="37">
        <v>14.28</v>
      </c>
      <c r="P858" s="26">
        <f t="shared" si="121"/>
        <v>10.62</v>
      </c>
      <c r="Q858" s="27">
        <v>0</v>
      </c>
      <c r="R858" s="28">
        <f t="shared" si="126"/>
        <v>0</v>
      </c>
      <c r="S858" s="27"/>
      <c r="T858" s="29"/>
      <c r="V858" s="29"/>
      <c r="W858" s="27"/>
      <c r="X858" s="30">
        <f t="shared" si="123"/>
        <v>0</v>
      </c>
      <c r="Y858" s="31"/>
      <c r="Z858" s="31">
        <f t="shared" si="124"/>
        <v>0</v>
      </c>
      <c r="AA858" s="29">
        <f t="shared" si="125"/>
        <v>0</v>
      </c>
    </row>
    <row r="859" spans="1:27" s="38" customFormat="1" x14ac:dyDescent="0.25">
      <c r="A859" s="18">
        <v>863</v>
      </c>
      <c r="B859" s="19">
        <v>46045</v>
      </c>
      <c r="C859" s="19">
        <v>46046</v>
      </c>
      <c r="D859" s="51" t="s">
        <v>1658</v>
      </c>
      <c r="E859" s="21"/>
      <c r="F859" s="21"/>
      <c r="G859" s="21"/>
      <c r="H859" s="62"/>
      <c r="I859" s="45" t="s">
        <v>201</v>
      </c>
      <c r="J859" s="24" t="s">
        <v>23</v>
      </c>
      <c r="K859" s="23" t="s">
        <v>31</v>
      </c>
      <c r="L859" s="25" t="s">
        <v>212</v>
      </c>
      <c r="M859" s="21" t="s">
        <v>203</v>
      </c>
      <c r="N859" s="37">
        <v>22.06</v>
      </c>
      <c r="O859" s="37">
        <v>15.22</v>
      </c>
      <c r="P859" s="26">
        <f t="shared" si="121"/>
        <v>6.8399999999999981</v>
      </c>
      <c r="Q859" s="27">
        <v>0</v>
      </c>
      <c r="R859" s="28">
        <f t="shared" si="126"/>
        <v>0</v>
      </c>
      <c r="S859" s="27"/>
      <c r="T859" s="29"/>
      <c r="V859" s="29"/>
      <c r="W859" s="27"/>
      <c r="X859" s="30">
        <f t="shared" si="123"/>
        <v>0</v>
      </c>
      <c r="Y859" s="31"/>
      <c r="Z859" s="31">
        <f t="shared" si="124"/>
        <v>0</v>
      </c>
      <c r="AA859" s="29">
        <f t="shared" si="125"/>
        <v>0</v>
      </c>
    </row>
    <row r="860" spans="1:27" s="38" customFormat="1" x14ac:dyDescent="0.25">
      <c r="A860" s="18">
        <v>864</v>
      </c>
      <c r="B860" s="19">
        <v>46045</v>
      </c>
      <c r="C860" s="19">
        <v>46046</v>
      </c>
      <c r="D860" s="51" t="s">
        <v>1659</v>
      </c>
      <c r="E860" s="21"/>
      <c r="F860" s="21"/>
      <c r="G860" s="21"/>
      <c r="H860" s="62"/>
      <c r="I860" s="45" t="s">
        <v>201</v>
      </c>
      <c r="J860" s="24" t="s">
        <v>23</v>
      </c>
      <c r="K860" s="23" t="s">
        <v>31</v>
      </c>
      <c r="L860" s="25" t="s">
        <v>561</v>
      </c>
      <c r="M860" s="21" t="s">
        <v>203</v>
      </c>
      <c r="N860" s="37">
        <v>25.36</v>
      </c>
      <c r="O860" s="37">
        <v>14.9</v>
      </c>
      <c r="P860" s="26">
        <f t="shared" si="121"/>
        <v>10.459999999999999</v>
      </c>
      <c r="Q860" s="27">
        <v>0</v>
      </c>
      <c r="R860" s="28">
        <f t="shared" si="126"/>
        <v>0</v>
      </c>
      <c r="S860" s="27"/>
      <c r="T860" s="29"/>
      <c r="V860" s="29"/>
      <c r="W860" s="27"/>
      <c r="X860" s="30">
        <f t="shared" si="123"/>
        <v>0</v>
      </c>
      <c r="Y860" s="31"/>
      <c r="Z860" s="31">
        <f t="shared" si="124"/>
        <v>0</v>
      </c>
      <c r="AA860" s="29">
        <f t="shared" si="125"/>
        <v>0</v>
      </c>
    </row>
    <row r="861" spans="1:27" s="32" customFormat="1" x14ac:dyDescent="0.25">
      <c r="A861" s="18">
        <v>865</v>
      </c>
      <c r="B861" s="19">
        <v>46045</v>
      </c>
      <c r="C861" s="19">
        <v>46046</v>
      </c>
      <c r="D861" s="51">
        <v>260124001</v>
      </c>
      <c r="E861" s="21" t="s">
        <v>1660</v>
      </c>
      <c r="F861" s="21" t="s">
        <v>1661</v>
      </c>
      <c r="G861" s="21">
        <v>40.26</v>
      </c>
      <c r="H861" s="33">
        <v>333</v>
      </c>
      <c r="I861" s="35" t="s">
        <v>1592</v>
      </c>
      <c r="J861" s="24" t="s">
        <v>23</v>
      </c>
      <c r="K861" s="23" t="s">
        <v>31</v>
      </c>
      <c r="L861" s="20" t="s">
        <v>593</v>
      </c>
      <c r="M861" s="21" t="s">
        <v>343</v>
      </c>
      <c r="N861" s="37">
        <v>54.34</v>
      </c>
      <c r="O861" s="37">
        <v>14.08</v>
      </c>
      <c r="P861" s="26">
        <f t="shared" si="121"/>
        <v>40.260000000000005</v>
      </c>
      <c r="Q861" s="27">
        <v>455</v>
      </c>
      <c r="R861" s="28">
        <f t="shared" si="126"/>
        <v>18318.300000000003</v>
      </c>
      <c r="S861" s="27"/>
      <c r="T861" s="29"/>
      <c r="V861" s="29"/>
      <c r="W861" s="27">
        <v>145</v>
      </c>
      <c r="X861" s="30">
        <f t="shared" si="123"/>
        <v>5837.7000000000007</v>
      </c>
      <c r="Y861" s="31"/>
      <c r="Z861" s="31">
        <f t="shared" si="124"/>
        <v>0</v>
      </c>
      <c r="AA861" s="29">
        <f t="shared" si="125"/>
        <v>24156.000000000004</v>
      </c>
    </row>
    <row r="862" spans="1:27" s="32" customFormat="1" x14ac:dyDescent="0.25">
      <c r="A862" s="18">
        <v>866</v>
      </c>
      <c r="B862" s="19">
        <v>46045</v>
      </c>
      <c r="C862" s="19">
        <v>46046</v>
      </c>
      <c r="D862" s="51">
        <v>260124002</v>
      </c>
      <c r="E862" s="21" t="s">
        <v>1662</v>
      </c>
      <c r="F862" s="21" t="s">
        <v>1663</v>
      </c>
      <c r="G862" s="21">
        <v>43.88</v>
      </c>
      <c r="H862" s="33">
        <v>333</v>
      </c>
      <c r="I862" s="35" t="s">
        <v>1592</v>
      </c>
      <c r="J862" s="24" t="s">
        <v>23</v>
      </c>
      <c r="K862" s="23" t="s">
        <v>31</v>
      </c>
      <c r="L862" s="25" t="s">
        <v>596</v>
      </c>
      <c r="M862" s="21" t="s">
        <v>343</v>
      </c>
      <c r="N862" s="37">
        <v>59.42</v>
      </c>
      <c r="O862" s="37">
        <v>15.54</v>
      </c>
      <c r="P862" s="26">
        <f t="shared" si="121"/>
        <v>43.88</v>
      </c>
      <c r="Q862" s="27">
        <v>455</v>
      </c>
      <c r="R862" s="28">
        <f t="shared" si="126"/>
        <v>19965.400000000001</v>
      </c>
      <c r="S862" s="27"/>
      <c r="T862" s="29"/>
      <c r="V862" s="29"/>
      <c r="W862" s="27">
        <v>145</v>
      </c>
      <c r="X862" s="30">
        <f t="shared" si="123"/>
        <v>6362.6</v>
      </c>
      <c r="Y862" s="31"/>
      <c r="Z862" s="31">
        <f t="shared" si="124"/>
        <v>0</v>
      </c>
      <c r="AA862" s="29">
        <f t="shared" si="125"/>
        <v>26328</v>
      </c>
    </row>
    <row r="863" spans="1:27" s="32" customFormat="1" x14ac:dyDescent="0.25">
      <c r="A863" s="18">
        <v>867</v>
      </c>
      <c r="B863" s="19">
        <v>46045</v>
      </c>
      <c r="C863" s="19">
        <v>46046</v>
      </c>
      <c r="D863" s="51">
        <v>260124003</v>
      </c>
      <c r="E863" s="21" t="s">
        <v>1664</v>
      </c>
      <c r="F863" s="21" t="s">
        <v>1665</v>
      </c>
      <c r="G863" s="21">
        <v>32</v>
      </c>
      <c r="H863" s="48">
        <v>53</v>
      </c>
      <c r="I863" s="52" t="s">
        <v>57</v>
      </c>
      <c r="J863" s="49" t="s">
        <v>23</v>
      </c>
      <c r="K863" s="23" t="s">
        <v>31</v>
      </c>
      <c r="L863" s="46" t="s">
        <v>39</v>
      </c>
      <c r="M863" s="21" t="s">
        <v>63</v>
      </c>
      <c r="N863" s="37">
        <v>43.68</v>
      </c>
      <c r="O863" s="37">
        <v>11.66</v>
      </c>
      <c r="P863" s="26">
        <f t="shared" si="121"/>
        <v>32.019999999999996</v>
      </c>
      <c r="Q863" s="27">
        <v>425</v>
      </c>
      <c r="R863" s="28">
        <f t="shared" si="126"/>
        <v>13608.499999999998</v>
      </c>
      <c r="S863" s="27"/>
      <c r="T863" s="29"/>
      <c r="V863" s="29"/>
      <c r="W863" s="27">
        <v>145</v>
      </c>
      <c r="X863" s="30">
        <f t="shared" si="123"/>
        <v>4642.8999999999996</v>
      </c>
      <c r="Y863" s="31">
        <v>210</v>
      </c>
      <c r="Z863" s="31">
        <f t="shared" si="124"/>
        <v>6724.1999999999989</v>
      </c>
      <c r="AA863" s="29">
        <f t="shared" si="125"/>
        <v>24975.599999999999</v>
      </c>
    </row>
    <row r="864" spans="1:27" s="32" customFormat="1" x14ac:dyDescent="0.25">
      <c r="A864" s="18">
        <v>868</v>
      </c>
      <c r="B864" s="19">
        <v>46045</v>
      </c>
      <c r="C864" s="19">
        <v>46046</v>
      </c>
      <c r="D864" s="51">
        <v>260124004</v>
      </c>
      <c r="E864" s="21" t="s">
        <v>1666</v>
      </c>
      <c r="F864" s="21" t="s">
        <v>1667</v>
      </c>
      <c r="G864" s="21">
        <v>43</v>
      </c>
      <c r="H864" s="48">
        <v>53</v>
      </c>
      <c r="I864" s="52" t="s">
        <v>57</v>
      </c>
      <c r="J864" s="49" t="s">
        <v>23</v>
      </c>
      <c r="K864" s="23" t="s">
        <v>31</v>
      </c>
      <c r="L864" s="25" t="s">
        <v>38</v>
      </c>
      <c r="M864" s="21" t="s">
        <v>63</v>
      </c>
      <c r="N864" s="37">
        <v>58.04</v>
      </c>
      <c r="O864" s="37">
        <v>14.94</v>
      </c>
      <c r="P864" s="26">
        <f t="shared" si="121"/>
        <v>43.1</v>
      </c>
      <c r="Q864" s="27">
        <v>425</v>
      </c>
      <c r="R864" s="28">
        <f t="shared" si="126"/>
        <v>18317.5</v>
      </c>
      <c r="S864" s="27"/>
      <c r="T864" s="29"/>
      <c r="V864" s="29"/>
      <c r="W864" s="27">
        <v>145</v>
      </c>
      <c r="X864" s="30">
        <f t="shared" si="123"/>
        <v>6249.5</v>
      </c>
      <c r="Y864" s="31">
        <v>210</v>
      </c>
      <c r="Z864" s="31">
        <f t="shared" si="124"/>
        <v>9051</v>
      </c>
      <c r="AA864" s="29">
        <f t="shared" si="125"/>
        <v>33618</v>
      </c>
    </row>
    <row r="865" spans="1:27" s="38" customFormat="1" x14ac:dyDescent="0.25">
      <c r="A865" s="18">
        <v>869</v>
      </c>
      <c r="B865" s="19">
        <v>46045</v>
      </c>
      <c r="C865" s="19">
        <v>46046</v>
      </c>
      <c r="D865" s="51">
        <v>260124005</v>
      </c>
      <c r="E865" s="21" t="s">
        <v>1668</v>
      </c>
      <c r="F865" s="21" t="s">
        <v>1669</v>
      </c>
      <c r="G865" s="21">
        <v>42</v>
      </c>
      <c r="H865" s="48">
        <v>53</v>
      </c>
      <c r="I865" s="52" t="s">
        <v>57</v>
      </c>
      <c r="J865" s="49" t="s">
        <v>23</v>
      </c>
      <c r="K865" s="23" t="s">
        <v>31</v>
      </c>
      <c r="L865" s="20" t="s">
        <v>534</v>
      </c>
      <c r="M865" s="21" t="s">
        <v>63</v>
      </c>
      <c r="N865" s="37">
        <v>58.38</v>
      </c>
      <c r="O865" s="37">
        <v>15.88</v>
      </c>
      <c r="P865" s="26">
        <f t="shared" si="121"/>
        <v>42.5</v>
      </c>
      <c r="Q865" s="27">
        <v>425</v>
      </c>
      <c r="R865" s="28">
        <f t="shared" si="126"/>
        <v>18062.5</v>
      </c>
      <c r="S865" s="21"/>
      <c r="T865" s="29"/>
      <c r="V865" s="29"/>
      <c r="W865" s="27">
        <v>145</v>
      </c>
      <c r="X865" s="30">
        <f t="shared" si="123"/>
        <v>6162.5</v>
      </c>
      <c r="Y865" s="31">
        <v>210</v>
      </c>
      <c r="Z865" s="31">
        <f t="shared" si="124"/>
        <v>8925</v>
      </c>
      <c r="AA865" s="29">
        <f t="shared" si="125"/>
        <v>33150</v>
      </c>
    </row>
    <row r="866" spans="1:27" s="32" customFormat="1" x14ac:dyDescent="0.25">
      <c r="A866" s="18">
        <v>870</v>
      </c>
      <c r="B866" s="19">
        <v>46045</v>
      </c>
      <c r="C866" s="19">
        <v>46046</v>
      </c>
      <c r="D866" s="51">
        <v>260124006</v>
      </c>
      <c r="E866" s="21" t="s">
        <v>1670</v>
      </c>
      <c r="F866" s="32" t="s">
        <v>1671</v>
      </c>
      <c r="G866" s="60">
        <v>35</v>
      </c>
      <c r="H866" s="48">
        <v>53</v>
      </c>
      <c r="I866" s="52" t="s">
        <v>57</v>
      </c>
      <c r="J866" s="49" t="s">
        <v>23</v>
      </c>
      <c r="K866" s="23" t="s">
        <v>31</v>
      </c>
      <c r="L866" s="20" t="s">
        <v>893</v>
      </c>
      <c r="M866" s="21" t="s">
        <v>63</v>
      </c>
      <c r="N866" s="37">
        <v>47</v>
      </c>
      <c r="O866" s="37">
        <v>11.56</v>
      </c>
      <c r="P866" s="26">
        <f t="shared" si="121"/>
        <v>35.44</v>
      </c>
      <c r="Q866" s="27">
        <v>425</v>
      </c>
      <c r="R866" s="28">
        <f t="shared" si="126"/>
        <v>15061.999999999998</v>
      </c>
      <c r="S866" s="27"/>
      <c r="T866" s="29"/>
      <c r="V866" s="29"/>
      <c r="W866" s="27">
        <v>145</v>
      </c>
      <c r="X866" s="30">
        <f t="shared" si="123"/>
        <v>5138.7999999999993</v>
      </c>
      <c r="Y866" s="31">
        <v>210</v>
      </c>
      <c r="Z866" s="31">
        <f t="shared" si="124"/>
        <v>7442.4</v>
      </c>
      <c r="AA866" s="29">
        <f t="shared" si="125"/>
        <v>27643.199999999997</v>
      </c>
    </row>
    <row r="867" spans="1:27" s="32" customFormat="1" x14ac:dyDescent="0.25">
      <c r="A867" s="18">
        <v>871</v>
      </c>
      <c r="B867" s="19">
        <v>46045</v>
      </c>
      <c r="C867" s="19">
        <v>46046</v>
      </c>
      <c r="D867" s="51">
        <v>260124007</v>
      </c>
      <c r="E867" s="21" t="s">
        <v>1672</v>
      </c>
      <c r="F867" s="21" t="s">
        <v>1673</v>
      </c>
      <c r="G867" s="21">
        <v>44</v>
      </c>
      <c r="H867" s="48">
        <v>53</v>
      </c>
      <c r="I867" s="52" t="s">
        <v>57</v>
      </c>
      <c r="J867" s="49" t="s">
        <v>23</v>
      </c>
      <c r="K867" s="23" t="s">
        <v>31</v>
      </c>
      <c r="L867" s="25" t="s">
        <v>37</v>
      </c>
      <c r="M867" s="21" t="s">
        <v>63</v>
      </c>
      <c r="N867" s="37">
        <v>60.02</v>
      </c>
      <c r="O867" s="37">
        <v>15.7</v>
      </c>
      <c r="P867" s="26">
        <f t="shared" si="121"/>
        <v>44.320000000000007</v>
      </c>
      <c r="Q867" s="27">
        <v>425</v>
      </c>
      <c r="R867" s="28">
        <f t="shared" si="126"/>
        <v>18836.000000000004</v>
      </c>
      <c r="S867" s="27"/>
      <c r="T867" s="29"/>
      <c r="V867" s="29"/>
      <c r="W867" s="27">
        <v>145</v>
      </c>
      <c r="X867" s="30">
        <f t="shared" si="123"/>
        <v>6426.4000000000015</v>
      </c>
      <c r="Y867" s="31">
        <v>210</v>
      </c>
      <c r="Z867" s="31">
        <f t="shared" si="124"/>
        <v>9307.2000000000007</v>
      </c>
      <c r="AA867" s="29">
        <f t="shared" si="125"/>
        <v>34569.600000000006</v>
      </c>
    </row>
    <row r="868" spans="1:27" s="38" customFormat="1" x14ac:dyDescent="0.25">
      <c r="A868" s="18">
        <v>872</v>
      </c>
      <c r="B868" s="19">
        <v>46045</v>
      </c>
      <c r="C868" s="19">
        <v>46046</v>
      </c>
      <c r="D868" s="51">
        <v>260124008</v>
      </c>
      <c r="E868" s="21" t="s">
        <v>1674</v>
      </c>
      <c r="F868" s="21" t="s">
        <v>1675</v>
      </c>
      <c r="G868" s="21">
        <v>32</v>
      </c>
      <c r="H868" s="48">
        <v>53</v>
      </c>
      <c r="I868" s="52" t="s">
        <v>57</v>
      </c>
      <c r="J868" s="49" t="s">
        <v>23</v>
      </c>
      <c r="K868" s="23" t="s">
        <v>31</v>
      </c>
      <c r="L868" s="25" t="s">
        <v>42</v>
      </c>
      <c r="M868" s="21" t="s">
        <v>63</v>
      </c>
      <c r="N868" s="37">
        <v>44.04</v>
      </c>
      <c r="O868" s="37">
        <v>11.68</v>
      </c>
      <c r="P868" s="26">
        <f t="shared" si="121"/>
        <v>32.36</v>
      </c>
      <c r="Q868" s="27">
        <v>425</v>
      </c>
      <c r="R868" s="28">
        <f t="shared" si="126"/>
        <v>13753</v>
      </c>
      <c r="S868" s="27"/>
      <c r="T868" s="29"/>
      <c r="V868" s="29"/>
      <c r="W868" s="27">
        <v>145</v>
      </c>
      <c r="X868" s="30">
        <f t="shared" si="123"/>
        <v>4692.2</v>
      </c>
      <c r="Y868" s="31">
        <v>210</v>
      </c>
      <c r="Z868" s="31">
        <f t="shared" si="124"/>
        <v>6795.5999999999995</v>
      </c>
      <c r="AA868" s="29">
        <f t="shared" si="125"/>
        <v>25240.799999999999</v>
      </c>
    </row>
    <row r="869" spans="1:27" s="32" customFormat="1" x14ac:dyDescent="0.25">
      <c r="A869" s="18">
        <v>873</v>
      </c>
      <c r="B869" s="19">
        <v>46045</v>
      </c>
      <c r="C869" s="19">
        <v>46046</v>
      </c>
      <c r="D869" s="51">
        <v>260124009</v>
      </c>
      <c r="E869" s="21" t="s">
        <v>1676</v>
      </c>
      <c r="F869" s="21" t="s">
        <v>1677</v>
      </c>
      <c r="G869" s="21">
        <v>47</v>
      </c>
      <c r="H869" s="48">
        <v>53</v>
      </c>
      <c r="I869" s="52" t="s">
        <v>57</v>
      </c>
      <c r="J869" s="49" t="s">
        <v>23</v>
      </c>
      <c r="K869" s="23" t="s">
        <v>31</v>
      </c>
      <c r="L869" s="25" t="s">
        <v>244</v>
      </c>
      <c r="M869" s="21" t="s">
        <v>63</v>
      </c>
      <c r="N869" s="37">
        <v>62.06</v>
      </c>
      <c r="O869" s="37">
        <v>15</v>
      </c>
      <c r="P869" s="26">
        <f t="shared" si="121"/>
        <v>47.06</v>
      </c>
      <c r="Q869" s="27">
        <v>425</v>
      </c>
      <c r="R869" s="28">
        <f t="shared" si="126"/>
        <v>20000.5</v>
      </c>
      <c r="S869" s="27"/>
      <c r="T869" s="29"/>
      <c r="V869" s="29"/>
      <c r="W869" s="27">
        <v>145</v>
      </c>
      <c r="X869" s="30">
        <f t="shared" si="123"/>
        <v>6823.7000000000007</v>
      </c>
      <c r="Y869" s="31">
        <v>210</v>
      </c>
      <c r="Z869" s="31">
        <f t="shared" si="124"/>
        <v>9882.6</v>
      </c>
      <c r="AA869" s="29">
        <f t="shared" si="125"/>
        <v>36706.800000000003</v>
      </c>
    </row>
    <row r="870" spans="1:27" s="38" customFormat="1" x14ac:dyDescent="0.25">
      <c r="A870" s="18">
        <v>874</v>
      </c>
      <c r="B870" s="19">
        <v>46045</v>
      </c>
      <c r="C870" s="19">
        <v>46046</v>
      </c>
      <c r="D870" s="51">
        <v>260124010</v>
      </c>
      <c r="E870" s="21" t="s">
        <v>1678</v>
      </c>
      <c r="F870" s="21" t="s">
        <v>1679</v>
      </c>
      <c r="G870" s="21">
        <v>37</v>
      </c>
      <c r="H870" s="44">
        <v>115</v>
      </c>
      <c r="I870" s="90" t="s">
        <v>33</v>
      </c>
      <c r="J870" s="24" t="s">
        <v>23</v>
      </c>
      <c r="K870" s="35" t="s">
        <v>31</v>
      </c>
      <c r="L870" s="20" t="s">
        <v>40</v>
      </c>
      <c r="M870" s="21" t="s">
        <v>35</v>
      </c>
      <c r="N870" s="37">
        <v>48.48</v>
      </c>
      <c r="O870" s="37">
        <v>11.4</v>
      </c>
      <c r="P870" s="26">
        <f t="shared" si="121"/>
        <v>37.08</v>
      </c>
      <c r="Q870" s="27">
        <v>445</v>
      </c>
      <c r="R870" s="28">
        <f t="shared" si="126"/>
        <v>16500.599999999999</v>
      </c>
      <c r="S870" s="21"/>
      <c r="T870" s="29"/>
      <c r="V870" s="29"/>
      <c r="W870" s="27">
        <v>145</v>
      </c>
      <c r="X870" s="30">
        <f t="shared" si="123"/>
        <v>5376.5999999999995</v>
      </c>
      <c r="Y870" s="31">
        <v>260</v>
      </c>
      <c r="Z870" s="31">
        <f t="shared" si="124"/>
        <v>9640.7999999999993</v>
      </c>
      <c r="AA870" s="29">
        <f t="shared" si="125"/>
        <v>31517.999999999996</v>
      </c>
    </row>
    <row r="871" spans="1:27" s="32" customFormat="1" x14ac:dyDescent="0.25">
      <c r="A871" s="18">
        <v>875</v>
      </c>
      <c r="B871" s="19">
        <v>46045</v>
      </c>
      <c r="C871" s="19">
        <v>46046</v>
      </c>
      <c r="D871" s="51">
        <v>260124012</v>
      </c>
      <c r="E871" s="21" t="s">
        <v>1680</v>
      </c>
      <c r="F871" s="21" t="s">
        <v>1681</v>
      </c>
      <c r="G871" s="21">
        <v>37</v>
      </c>
      <c r="H871" s="48">
        <v>42</v>
      </c>
      <c r="I871" s="23" t="s">
        <v>44</v>
      </c>
      <c r="J871" s="49" t="s">
        <v>23</v>
      </c>
      <c r="K871" s="23" t="s">
        <v>31</v>
      </c>
      <c r="L871" s="20" t="s">
        <v>124</v>
      </c>
      <c r="M871" s="21" t="s">
        <v>32</v>
      </c>
      <c r="N871" s="37">
        <v>50.32</v>
      </c>
      <c r="O871" s="37">
        <v>12.8</v>
      </c>
      <c r="P871" s="26">
        <f t="shared" si="121"/>
        <v>37.519999999999996</v>
      </c>
      <c r="Q871" s="27">
        <v>285</v>
      </c>
      <c r="R871" s="28">
        <f t="shared" si="126"/>
        <v>10693.199999999999</v>
      </c>
      <c r="S871" s="27"/>
      <c r="T871" s="29"/>
      <c r="V871" s="29"/>
      <c r="W871" s="27">
        <v>145</v>
      </c>
      <c r="X871" s="30">
        <f t="shared" si="123"/>
        <v>5440.4</v>
      </c>
      <c r="Y871" s="31">
        <v>260</v>
      </c>
      <c r="Z871" s="31">
        <f t="shared" si="124"/>
        <v>9755.1999999999989</v>
      </c>
      <c r="AA871" s="29">
        <f t="shared" si="125"/>
        <v>25888.799999999996</v>
      </c>
    </row>
    <row r="872" spans="1:27" s="32" customFormat="1" x14ac:dyDescent="0.25">
      <c r="A872" s="18">
        <v>876</v>
      </c>
      <c r="B872" s="19">
        <v>46045</v>
      </c>
      <c r="C872" s="19">
        <v>46046</v>
      </c>
      <c r="D872" s="51">
        <v>260124011</v>
      </c>
      <c r="E872" s="21" t="s">
        <v>1682</v>
      </c>
      <c r="F872" s="21" t="s">
        <v>1683</v>
      </c>
      <c r="G872" s="21">
        <v>44</v>
      </c>
      <c r="H872" s="48">
        <v>53</v>
      </c>
      <c r="I872" s="52" t="s">
        <v>57</v>
      </c>
      <c r="J872" s="49" t="s">
        <v>23</v>
      </c>
      <c r="K872" s="23" t="s">
        <v>31</v>
      </c>
      <c r="L872" s="20" t="s">
        <v>41</v>
      </c>
      <c r="M872" s="21" t="s">
        <v>63</v>
      </c>
      <c r="N872" s="37">
        <v>59.96</v>
      </c>
      <c r="O872" s="37">
        <v>15.78</v>
      </c>
      <c r="P872" s="26">
        <f t="shared" si="121"/>
        <v>44.18</v>
      </c>
      <c r="Q872" s="27">
        <v>425</v>
      </c>
      <c r="R872" s="28">
        <f t="shared" si="126"/>
        <v>18776.5</v>
      </c>
      <c r="S872" s="27"/>
      <c r="T872" s="29"/>
      <c r="V872" s="29"/>
      <c r="W872" s="27">
        <v>145</v>
      </c>
      <c r="X872" s="30">
        <f t="shared" si="123"/>
        <v>6406.1</v>
      </c>
      <c r="Y872" s="31">
        <v>210</v>
      </c>
      <c r="Z872" s="31">
        <f t="shared" si="124"/>
        <v>9277.7999999999993</v>
      </c>
      <c r="AA872" s="29">
        <f t="shared" si="125"/>
        <v>34460.399999999994</v>
      </c>
    </row>
    <row r="873" spans="1:27" s="32" customFormat="1" x14ac:dyDescent="0.25">
      <c r="A873" s="18">
        <v>877</v>
      </c>
      <c r="B873" s="19">
        <v>46045</v>
      </c>
      <c r="C873" s="19">
        <v>46046</v>
      </c>
      <c r="D873" s="51">
        <v>260124013</v>
      </c>
      <c r="E873" s="21" t="s">
        <v>1684</v>
      </c>
      <c r="F873" s="21" t="s">
        <v>1685</v>
      </c>
      <c r="G873" s="21">
        <v>43</v>
      </c>
      <c r="H873" s="48">
        <v>53</v>
      </c>
      <c r="I873" s="52" t="s">
        <v>57</v>
      </c>
      <c r="J873" s="49" t="s">
        <v>23</v>
      </c>
      <c r="K873" s="23" t="s">
        <v>31</v>
      </c>
      <c r="L873" s="25" t="s">
        <v>36</v>
      </c>
      <c r="M873" s="21" t="s">
        <v>63</v>
      </c>
      <c r="N873" s="37">
        <v>59.28</v>
      </c>
      <c r="O873" s="37">
        <v>15.78</v>
      </c>
      <c r="P873" s="26">
        <f t="shared" si="121"/>
        <v>43.5</v>
      </c>
      <c r="Q873" s="27">
        <v>425</v>
      </c>
      <c r="R873" s="28">
        <f t="shared" si="126"/>
        <v>18487.5</v>
      </c>
      <c r="S873" s="27"/>
      <c r="T873" s="29"/>
      <c r="V873" s="29"/>
      <c r="W873" s="27">
        <v>145</v>
      </c>
      <c r="X873" s="30">
        <f t="shared" si="123"/>
        <v>6307.5</v>
      </c>
      <c r="Y873" s="31">
        <v>210</v>
      </c>
      <c r="Z873" s="31">
        <f t="shared" si="124"/>
        <v>9135</v>
      </c>
      <c r="AA873" s="29">
        <f t="shared" si="125"/>
        <v>33930</v>
      </c>
    </row>
    <row r="874" spans="1:27" s="32" customFormat="1" x14ac:dyDescent="0.25">
      <c r="A874" s="18">
        <v>878</v>
      </c>
      <c r="B874" s="19">
        <v>46046</v>
      </c>
      <c r="C874" s="19">
        <v>46046</v>
      </c>
      <c r="D874" s="25">
        <v>260124014</v>
      </c>
      <c r="E874" s="21" t="s">
        <v>1686</v>
      </c>
      <c r="F874" s="21" t="s">
        <v>1687</v>
      </c>
      <c r="G874" s="21">
        <v>55</v>
      </c>
      <c r="H874" s="48">
        <v>53</v>
      </c>
      <c r="I874" s="52" t="s">
        <v>57</v>
      </c>
      <c r="J874" s="49" t="s">
        <v>23</v>
      </c>
      <c r="K874" s="23" t="s">
        <v>31</v>
      </c>
      <c r="L874" s="25" t="s">
        <v>206</v>
      </c>
      <c r="M874" s="21" t="s">
        <v>63</v>
      </c>
      <c r="N874" s="21">
        <v>72.98</v>
      </c>
      <c r="O874" s="21">
        <v>17.16</v>
      </c>
      <c r="P874" s="26">
        <f t="shared" si="121"/>
        <v>55.820000000000007</v>
      </c>
      <c r="Q874" s="27">
        <v>425</v>
      </c>
      <c r="R874" s="28">
        <f t="shared" si="126"/>
        <v>23723.500000000004</v>
      </c>
      <c r="S874" s="27"/>
      <c r="T874" s="29"/>
      <c r="V874" s="29" t="s">
        <v>24</v>
      </c>
      <c r="W874" s="27">
        <v>145</v>
      </c>
      <c r="X874" s="30">
        <f t="shared" ref="X874:X918" si="127">P874*W874</f>
        <v>8093.9000000000015</v>
      </c>
      <c r="Y874" s="31">
        <v>210</v>
      </c>
      <c r="Z874" s="31">
        <f t="shared" ref="Z874:Z918" si="128">P874*Y874</f>
        <v>11722.2</v>
      </c>
      <c r="AA874" s="29">
        <f t="shared" ref="AA874:AA918" si="129">R874+X874+Z874</f>
        <v>43539.600000000006</v>
      </c>
    </row>
    <row r="875" spans="1:27" s="32" customFormat="1" x14ac:dyDescent="0.25">
      <c r="A875" s="18">
        <v>879</v>
      </c>
      <c r="B875" s="19">
        <v>46046</v>
      </c>
      <c r="C875" s="19">
        <v>46046</v>
      </c>
      <c r="D875" s="25">
        <v>260124015</v>
      </c>
      <c r="E875" s="21" t="s">
        <v>1688</v>
      </c>
      <c r="F875" s="21" t="s">
        <v>1689</v>
      </c>
      <c r="G875" s="21">
        <v>44</v>
      </c>
      <c r="H875" s="36">
        <v>122</v>
      </c>
      <c r="I875" s="23" t="s">
        <v>342</v>
      </c>
      <c r="J875" s="24" t="s">
        <v>23</v>
      </c>
      <c r="K875" s="23" t="s">
        <v>31</v>
      </c>
      <c r="L875" s="25" t="s">
        <v>54</v>
      </c>
      <c r="M875" s="21" t="s">
        <v>343</v>
      </c>
      <c r="N875" s="83">
        <v>60.48</v>
      </c>
      <c r="O875" s="21">
        <v>15.7</v>
      </c>
      <c r="P875" s="26">
        <f t="shared" si="121"/>
        <v>44.78</v>
      </c>
      <c r="Q875" s="27">
        <v>395</v>
      </c>
      <c r="R875" s="28">
        <f t="shared" si="126"/>
        <v>17688.100000000002</v>
      </c>
      <c r="S875" s="27"/>
      <c r="T875" s="29"/>
      <c r="V875" s="29" t="s">
        <v>24</v>
      </c>
      <c r="W875" s="27">
        <v>145</v>
      </c>
      <c r="X875" s="30">
        <f t="shared" si="127"/>
        <v>6493.1</v>
      </c>
      <c r="Y875" s="31">
        <v>250</v>
      </c>
      <c r="Z875" s="31">
        <f t="shared" si="128"/>
        <v>11195</v>
      </c>
      <c r="AA875" s="29">
        <f t="shared" si="129"/>
        <v>35376.200000000004</v>
      </c>
    </row>
    <row r="876" spans="1:27" s="32" customFormat="1" x14ac:dyDescent="0.25">
      <c r="A876" s="18">
        <v>880</v>
      </c>
      <c r="B876" s="19">
        <v>46046</v>
      </c>
      <c r="C876" s="19">
        <v>46046</v>
      </c>
      <c r="D876" s="25">
        <v>260124016</v>
      </c>
      <c r="E876" s="21" t="s">
        <v>1690</v>
      </c>
      <c r="F876" s="21" t="s">
        <v>1691</v>
      </c>
      <c r="G876" s="21">
        <v>45</v>
      </c>
      <c r="H876" s="36">
        <v>122</v>
      </c>
      <c r="I876" s="23" t="s">
        <v>342</v>
      </c>
      <c r="J876" s="24" t="s">
        <v>23</v>
      </c>
      <c r="K876" s="23" t="s">
        <v>31</v>
      </c>
      <c r="L876" s="82" t="s">
        <v>61</v>
      </c>
      <c r="M876" s="21" t="s">
        <v>343</v>
      </c>
      <c r="N876" s="21">
        <v>61.34</v>
      </c>
      <c r="O876" s="21">
        <v>15.44</v>
      </c>
      <c r="P876" s="26">
        <f t="shared" si="121"/>
        <v>45.900000000000006</v>
      </c>
      <c r="Q876" s="27">
        <v>395</v>
      </c>
      <c r="R876" s="28">
        <f t="shared" si="126"/>
        <v>18130.500000000004</v>
      </c>
      <c r="S876" s="27"/>
      <c r="T876" s="29"/>
      <c r="V876" s="29" t="s">
        <v>24</v>
      </c>
      <c r="W876" s="27">
        <v>145</v>
      </c>
      <c r="X876" s="30">
        <f t="shared" si="127"/>
        <v>6655.5000000000009</v>
      </c>
      <c r="Y876" s="31">
        <v>250</v>
      </c>
      <c r="Z876" s="31">
        <f t="shared" si="128"/>
        <v>11475.000000000002</v>
      </c>
      <c r="AA876" s="29">
        <f t="shared" si="129"/>
        <v>36261.000000000007</v>
      </c>
    </row>
    <row r="877" spans="1:27" s="38" customFormat="1" x14ac:dyDescent="0.25">
      <c r="A877" s="18">
        <v>881</v>
      </c>
      <c r="B877" s="19">
        <v>46046</v>
      </c>
      <c r="C877" s="19">
        <v>46046</v>
      </c>
      <c r="D877" s="25">
        <v>260124017</v>
      </c>
      <c r="E877" s="21" t="s">
        <v>1692</v>
      </c>
      <c r="F877" s="21" t="s">
        <v>1693</v>
      </c>
      <c r="G877" s="21">
        <v>42</v>
      </c>
      <c r="H877" s="36">
        <v>122</v>
      </c>
      <c r="I877" s="23" t="s">
        <v>342</v>
      </c>
      <c r="J877" s="24" t="s">
        <v>23</v>
      </c>
      <c r="K877" s="23" t="s">
        <v>31</v>
      </c>
      <c r="L877" s="25" t="s">
        <v>60</v>
      </c>
      <c r="M877" s="21" t="s">
        <v>343</v>
      </c>
      <c r="N877" s="21">
        <v>56.64</v>
      </c>
      <c r="O877" s="37">
        <v>14.16</v>
      </c>
      <c r="P877" s="26">
        <f t="shared" si="121"/>
        <v>42.480000000000004</v>
      </c>
      <c r="Q877" s="27">
        <v>395</v>
      </c>
      <c r="R877" s="28">
        <f t="shared" si="126"/>
        <v>16779.600000000002</v>
      </c>
      <c r="S877" s="27"/>
      <c r="T877" s="29"/>
      <c r="V877" s="29" t="s">
        <v>24</v>
      </c>
      <c r="W877" s="27">
        <v>145</v>
      </c>
      <c r="X877" s="30">
        <f t="shared" si="127"/>
        <v>6159.6</v>
      </c>
      <c r="Y877" s="31">
        <v>250</v>
      </c>
      <c r="Z877" s="31">
        <f t="shared" si="128"/>
        <v>10620.000000000002</v>
      </c>
      <c r="AA877" s="29">
        <f t="shared" si="129"/>
        <v>33559.200000000004</v>
      </c>
    </row>
    <row r="878" spans="1:27" s="32" customFormat="1" x14ac:dyDescent="0.25">
      <c r="A878" s="18">
        <v>882</v>
      </c>
      <c r="B878" s="19">
        <v>46046</v>
      </c>
      <c r="C878" s="19">
        <v>46046</v>
      </c>
      <c r="D878" s="25">
        <v>260124018</v>
      </c>
      <c r="E878" s="21" t="s">
        <v>1694</v>
      </c>
      <c r="F878" s="21" t="s">
        <v>1695</v>
      </c>
      <c r="G878" s="21">
        <v>43</v>
      </c>
      <c r="H878" s="36">
        <v>122</v>
      </c>
      <c r="I878" s="23" t="s">
        <v>342</v>
      </c>
      <c r="J878" s="24" t="s">
        <v>23</v>
      </c>
      <c r="K878" s="23" t="s">
        <v>31</v>
      </c>
      <c r="L878" s="25" t="s">
        <v>285</v>
      </c>
      <c r="M878" s="21" t="s">
        <v>343</v>
      </c>
      <c r="N878" s="37">
        <v>59.58</v>
      </c>
      <c r="O878" s="21">
        <v>15.82</v>
      </c>
      <c r="P878" s="26">
        <f t="shared" si="121"/>
        <v>43.76</v>
      </c>
      <c r="Q878" s="27">
        <v>395</v>
      </c>
      <c r="R878" s="28">
        <f t="shared" si="126"/>
        <v>17285.2</v>
      </c>
      <c r="S878" s="27"/>
      <c r="T878" s="29"/>
      <c r="V878" s="29" t="s">
        <v>24</v>
      </c>
      <c r="W878" s="27">
        <v>145</v>
      </c>
      <c r="X878" s="30">
        <f t="shared" si="127"/>
        <v>6345.2</v>
      </c>
      <c r="Y878" s="31">
        <v>250</v>
      </c>
      <c r="Z878" s="31">
        <f t="shared" si="128"/>
        <v>10940</v>
      </c>
      <c r="AA878" s="29">
        <f t="shared" si="129"/>
        <v>34570.400000000001</v>
      </c>
    </row>
    <row r="879" spans="1:27" s="32" customFormat="1" x14ac:dyDescent="0.25">
      <c r="A879" s="18">
        <v>883</v>
      </c>
      <c r="B879" s="19">
        <v>46046</v>
      </c>
      <c r="C879" s="19">
        <v>46046</v>
      </c>
      <c r="D879" s="25">
        <v>260124019</v>
      </c>
      <c r="E879" s="21" t="s">
        <v>1696</v>
      </c>
      <c r="F879" s="21" t="s">
        <v>1697</v>
      </c>
      <c r="G879" s="21">
        <v>43</v>
      </c>
      <c r="H879" s="48">
        <v>53</v>
      </c>
      <c r="I879" s="52" t="s">
        <v>57</v>
      </c>
      <c r="J879" s="49" t="s">
        <v>23</v>
      </c>
      <c r="K879" s="23" t="s">
        <v>31</v>
      </c>
      <c r="L879" s="25" t="s">
        <v>37</v>
      </c>
      <c r="M879" s="21" t="s">
        <v>63</v>
      </c>
      <c r="N879" s="37">
        <v>59.54</v>
      </c>
      <c r="O879" s="37">
        <v>15.66</v>
      </c>
      <c r="P879" s="26">
        <f t="shared" si="121"/>
        <v>43.879999999999995</v>
      </c>
      <c r="Q879" s="27">
        <v>425</v>
      </c>
      <c r="R879" s="28">
        <f t="shared" si="126"/>
        <v>18648.999999999996</v>
      </c>
      <c r="S879" s="27"/>
      <c r="T879" s="29"/>
      <c r="V879" s="29" t="s">
        <v>24</v>
      </c>
      <c r="W879" s="27">
        <v>145</v>
      </c>
      <c r="X879" s="30">
        <f t="shared" si="127"/>
        <v>6362.5999999999995</v>
      </c>
      <c r="Y879" s="31">
        <v>210</v>
      </c>
      <c r="Z879" s="31">
        <f t="shared" si="128"/>
        <v>9214.7999999999993</v>
      </c>
      <c r="AA879" s="29">
        <f t="shared" si="129"/>
        <v>34226.399999999994</v>
      </c>
    </row>
    <row r="880" spans="1:27" s="32" customFormat="1" x14ac:dyDescent="0.25">
      <c r="A880" s="18">
        <v>884</v>
      </c>
      <c r="B880" s="19">
        <v>46046</v>
      </c>
      <c r="C880" s="19">
        <v>46046</v>
      </c>
      <c r="D880" s="25">
        <v>260124020</v>
      </c>
      <c r="E880" s="21" t="s">
        <v>1698</v>
      </c>
      <c r="F880" s="21" t="s">
        <v>1699</v>
      </c>
      <c r="G880" s="21">
        <v>42</v>
      </c>
      <c r="H880" s="48">
        <v>53</v>
      </c>
      <c r="I880" s="52" t="s">
        <v>57</v>
      </c>
      <c r="J880" s="49" t="s">
        <v>23</v>
      </c>
      <c r="K880" s="23" t="s">
        <v>31</v>
      </c>
      <c r="L880" s="25" t="s">
        <v>1421</v>
      </c>
      <c r="M880" s="21" t="s">
        <v>63</v>
      </c>
      <c r="N880" s="37">
        <v>61.54</v>
      </c>
      <c r="O880" s="37">
        <v>18.64</v>
      </c>
      <c r="P880" s="26">
        <f t="shared" si="121"/>
        <v>42.9</v>
      </c>
      <c r="Q880" s="27">
        <v>425</v>
      </c>
      <c r="R880" s="28">
        <f t="shared" si="126"/>
        <v>18232.5</v>
      </c>
      <c r="S880" s="27"/>
      <c r="T880" s="29"/>
      <c r="V880" s="29" t="s">
        <v>24</v>
      </c>
      <c r="W880" s="27">
        <v>145</v>
      </c>
      <c r="X880" s="30">
        <f t="shared" si="127"/>
        <v>6220.5</v>
      </c>
      <c r="Y880" s="31">
        <v>210</v>
      </c>
      <c r="Z880" s="31">
        <f t="shared" si="128"/>
        <v>9009</v>
      </c>
      <c r="AA880" s="29">
        <f t="shared" si="129"/>
        <v>33462</v>
      </c>
    </row>
    <row r="881" spans="1:38" s="32" customFormat="1" x14ac:dyDescent="0.25">
      <c r="A881" s="18">
        <v>885</v>
      </c>
      <c r="B881" s="19">
        <v>46046</v>
      </c>
      <c r="C881" s="19">
        <v>46046</v>
      </c>
      <c r="D881" s="25">
        <v>260124021</v>
      </c>
      <c r="E881" s="21" t="s">
        <v>1700</v>
      </c>
      <c r="F881" s="21" t="s">
        <v>1701</v>
      </c>
      <c r="G881" s="21">
        <v>39</v>
      </c>
      <c r="H881" s="36">
        <v>130</v>
      </c>
      <c r="I881" s="23" t="s">
        <v>1499</v>
      </c>
      <c r="J881" s="24" t="s">
        <v>23</v>
      </c>
      <c r="K881" s="23" t="s">
        <v>31</v>
      </c>
      <c r="L881" s="25" t="s">
        <v>660</v>
      </c>
      <c r="M881" s="21" t="s">
        <v>34</v>
      </c>
      <c r="N881" s="37">
        <v>53.92</v>
      </c>
      <c r="O881" s="37">
        <v>14.32</v>
      </c>
      <c r="P881" s="26">
        <f t="shared" si="121"/>
        <v>39.6</v>
      </c>
      <c r="Q881" s="27">
        <v>520</v>
      </c>
      <c r="R881" s="28">
        <f t="shared" si="126"/>
        <v>20592</v>
      </c>
      <c r="S881" s="27"/>
      <c r="T881" s="29"/>
      <c r="V881" s="29" t="s">
        <v>253</v>
      </c>
      <c r="W881" s="27">
        <v>150</v>
      </c>
      <c r="X881" s="30">
        <f t="shared" si="127"/>
        <v>5940</v>
      </c>
      <c r="Y881" s="31"/>
      <c r="Z881" s="31">
        <f t="shared" si="128"/>
        <v>0</v>
      </c>
      <c r="AA881" s="29">
        <f t="shared" si="129"/>
        <v>26532</v>
      </c>
      <c r="AB881" s="40"/>
      <c r="AC881" s="39"/>
      <c r="AD881" s="41"/>
      <c r="AE881" s="42"/>
      <c r="AF881" s="39"/>
      <c r="AG881" s="42"/>
      <c r="AH881" s="39"/>
      <c r="AI881" s="41"/>
      <c r="AJ881" s="39"/>
      <c r="AK881" s="41"/>
      <c r="AL881" s="41"/>
    </row>
    <row r="882" spans="1:38" s="32" customFormat="1" x14ac:dyDescent="0.25">
      <c r="A882" s="18">
        <v>886</v>
      </c>
      <c r="B882" s="19">
        <v>46046</v>
      </c>
      <c r="C882" s="19">
        <v>46046</v>
      </c>
      <c r="D882" s="25">
        <v>260124022</v>
      </c>
      <c r="E882" s="21" t="s">
        <v>1702</v>
      </c>
      <c r="F882" s="21" t="s">
        <v>1703</v>
      </c>
      <c r="G882" s="21">
        <v>44</v>
      </c>
      <c r="H882" s="36">
        <v>130</v>
      </c>
      <c r="I882" s="23" t="s">
        <v>1499</v>
      </c>
      <c r="J882" s="24" t="s">
        <v>23</v>
      </c>
      <c r="K882" s="23" t="s">
        <v>31</v>
      </c>
      <c r="L882" s="25" t="s">
        <v>1500</v>
      </c>
      <c r="M882" s="21" t="s">
        <v>32</v>
      </c>
      <c r="N882" s="37">
        <v>59.66</v>
      </c>
      <c r="O882" s="37">
        <v>15.44</v>
      </c>
      <c r="P882" s="26">
        <f t="shared" si="121"/>
        <v>44.22</v>
      </c>
      <c r="Q882" s="27">
        <v>300</v>
      </c>
      <c r="R882" s="28">
        <f t="shared" si="126"/>
        <v>13266</v>
      </c>
      <c r="S882" s="27"/>
      <c r="T882" s="29"/>
      <c r="V882" s="29" t="s">
        <v>253</v>
      </c>
      <c r="W882" s="27">
        <v>150</v>
      </c>
      <c r="X882" s="30">
        <f t="shared" si="127"/>
        <v>6633</v>
      </c>
      <c r="Y882" s="31"/>
      <c r="Z882" s="31">
        <f t="shared" si="128"/>
        <v>0</v>
      </c>
      <c r="AA882" s="29">
        <f t="shared" si="129"/>
        <v>19899</v>
      </c>
    </row>
    <row r="883" spans="1:38" s="32" customFormat="1" x14ac:dyDescent="0.25">
      <c r="A883" s="18">
        <v>887</v>
      </c>
      <c r="B883" s="19">
        <v>46046</v>
      </c>
      <c r="C883" s="19">
        <v>46046</v>
      </c>
      <c r="D883" s="25">
        <v>260124023</v>
      </c>
      <c r="E883" s="21" t="s">
        <v>1704</v>
      </c>
      <c r="F883" s="21" t="s">
        <v>1705</v>
      </c>
      <c r="G883" s="21">
        <v>36</v>
      </c>
      <c r="H883" s="48">
        <v>53</v>
      </c>
      <c r="I883" s="52" t="s">
        <v>57</v>
      </c>
      <c r="J883" s="49" t="s">
        <v>23</v>
      </c>
      <c r="K883" s="23" t="s">
        <v>31</v>
      </c>
      <c r="L883" s="25" t="s">
        <v>43</v>
      </c>
      <c r="M883" s="21" t="s">
        <v>32</v>
      </c>
      <c r="N883" s="37">
        <v>47.38</v>
      </c>
      <c r="O883" s="37">
        <v>11.2</v>
      </c>
      <c r="P883" s="26">
        <f t="shared" si="121"/>
        <v>36.180000000000007</v>
      </c>
      <c r="Q883" s="27">
        <v>295</v>
      </c>
      <c r="R883" s="28">
        <f t="shared" si="126"/>
        <v>10673.100000000002</v>
      </c>
      <c r="S883" s="27"/>
      <c r="T883" s="29"/>
      <c r="V883" s="29" t="s">
        <v>24</v>
      </c>
      <c r="W883" s="27">
        <v>145</v>
      </c>
      <c r="X883" s="30">
        <f t="shared" si="127"/>
        <v>5246.1000000000013</v>
      </c>
      <c r="Y883" s="31">
        <v>210</v>
      </c>
      <c r="Z883" s="31">
        <f t="shared" si="128"/>
        <v>7597.8000000000011</v>
      </c>
      <c r="AA883" s="29">
        <f t="shared" si="129"/>
        <v>23517.000000000007</v>
      </c>
    </row>
    <row r="884" spans="1:38" s="32" customFormat="1" x14ac:dyDescent="0.25">
      <c r="A884" s="18">
        <v>888</v>
      </c>
      <c r="B884" s="19">
        <v>46046</v>
      </c>
      <c r="C884" s="19">
        <v>46046</v>
      </c>
      <c r="D884" s="25">
        <v>260124024</v>
      </c>
      <c r="E884" s="21"/>
      <c r="F884" s="21" t="s">
        <v>1706</v>
      </c>
      <c r="G884" s="21">
        <v>43</v>
      </c>
      <c r="H884" s="33">
        <v>285</v>
      </c>
      <c r="I884" s="73" t="s">
        <v>703</v>
      </c>
      <c r="J884" s="24" t="s">
        <v>23</v>
      </c>
      <c r="K884" s="23" t="s">
        <v>31</v>
      </c>
      <c r="L884" s="82" t="s">
        <v>711</v>
      </c>
      <c r="M884" s="21" t="s">
        <v>34</v>
      </c>
      <c r="N884" s="37">
        <v>59.46</v>
      </c>
      <c r="O884" s="37">
        <v>15.76</v>
      </c>
      <c r="P884" s="26">
        <f t="shared" ref="P884:P918" si="130">N884-O884</f>
        <v>43.7</v>
      </c>
      <c r="Q884" s="27">
        <v>520</v>
      </c>
      <c r="R884" s="28">
        <f t="shared" si="126"/>
        <v>22724</v>
      </c>
      <c r="S884" s="27"/>
      <c r="T884" s="29"/>
      <c r="V884" s="29" t="s">
        <v>45</v>
      </c>
      <c r="W884" s="27"/>
      <c r="X884" s="30">
        <f t="shared" si="127"/>
        <v>0</v>
      </c>
      <c r="Y884" s="31"/>
      <c r="Z884" s="31">
        <f t="shared" si="128"/>
        <v>0</v>
      </c>
      <c r="AA884" s="29">
        <f t="shared" si="129"/>
        <v>22724</v>
      </c>
    </row>
    <row r="885" spans="1:38" s="32" customFormat="1" x14ac:dyDescent="0.25">
      <c r="A885" s="18">
        <v>889</v>
      </c>
      <c r="B885" s="19">
        <v>46046</v>
      </c>
      <c r="C885" s="19">
        <v>46046</v>
      </c>
      <c r="D885" s="25">
        <v>260124025</v>
      </c>
      <c r="E885" s="21" t="s">
        <v>1707</v>
      </c>
      <c r="F885" s="21" t="s">
        <v>1708</v>
      </c>
      <c r="G885" s="21">
        <v>44</v>
      </c>
      <c r="H885" s="48">
        <v>53</v>
      </c>
      <c r="I885" s="52" t="s">
        <v>57</v>
      </c>
      <c r="J885" s="49" t="s">
        <v>23</v>
      </c>
      <c r="K885" s="23" t="s">
        <v>31</v>
      </c>
      <c r="L885" s="25" t="s">
        <v>534</v>
      </c>
      <c r="M885" s="21" t="s">
        <v>63</v>
      </c>
      <c r="N885" s="37">
        <v>59.82</v>
      </c>
      <c r="O885" s="37">
        <v>15.82</v>
      </c>
      <c r="P885" s="26">
        <f t="shared" si="130"/>
        <v>44</v>
      </c>
      <c r="Q885" s="27">
        <v>425</v>
      </c>
      <c r="R885" s="28">
        <f t="shared" si="126"/>
        <v>18700</v>
      </c>
      <c r="S885" s="27"/>
      <c r="T885" s="29"/>
      <c r="V885" s="29" t="s">
        <v>24</v>
      </c>
      <c r="W885" s="27">
        <v>145</v>
      </c>
      <c r="X885" s="30">
        <f t="shared" si="127"/>
        <v>6380</v>
      </c>
      <c r="Y885" s="31">
        <v>210</v>
      </c>
      <c r="Z885" s="31">
        <f t="shared" si="128"/>
        <v>9240</v>
      </c>
      <c r="AA885" s="29">
        <f t="shared" si="129"/>
        <v>34320</v>
      </c>
    </row>
    <row r="886" spans="1:38" s="38" customFormat="1" x14ac:dyDescent="0.25">
      <c r="A886" s="18">
        <v>890</v>
      </c>
      <c r="B886" s="19">
        <v>46046</v>
      </c>
      <c r="C886" s="19">
        <v>46046</v>
      </c>
      <c r="D886" s="25">
        <v>260124026</v>
      </c>
      <c r="E886" s="21" t="s">
        <v>1709</v>
      </c>
      <c r="F886" s="21" t="s">
        <v>1710</v>
      </c>
      <c r="G886" s="21">
        <v>37</v>
      </c>
      <c r="H886" s="48">
        <v>53</v>
      </c>
      <c r="I886" s="52" t="s">
        <v>57</v>
      </c>
      <c r="J886" s="49" t="s">
        <v>23</v>
      </c>
      <c r="K886" s="23" t="s">
        <v>31</v>
      </c>
      <c r="L886" s="25" t="s">
        <v>893</v>
      </c>
      <c r="M886" s="25" t="s">
        <v>63</v>
      </c>
      <c r="N886" s="37">
        <v>48.56</v>
      </c>
      <c r="O886" s="37">
        <v>11.5</v>
      </c>
      <c r="P886" s="26">
        <f t="shared" si="130"/>
        <v>37.06</v>
      </c>
      <c r="Q886" s="27">
        <v>425</v>
      </c>
      <c r="R886" s="28">
        <f t="shared" si="126"/>
        <v>15750.500000000002</v>
      </c>
      <c r="S886" s="27"/>
      <c r="T886" s="94"/>
      <c r="V886" s="29" t="s">
        <v>24</v>
      </c>
      <c r="W886" s="27">
        <v>145</v>
      </c>
      <c r="X886" s="30">
        <f t="shared" si="127"/>
        <v>5373.7000000000007</v>
      </c>
      <c r="Y886" s="31">
        <v>210</v>
      </c>
      <c r="Z886" s="31">
        <f t="shared" si="128"/>
        <v>7782.6</v>
      </c>
      <c r="AA886" s="29">
        <f t="shared" si="129"/>
        <v>28906.800000000003</v>
      </c>
    </row>
    <row r="887" spans="1:38" s="38" customFormat="1" x14ac:dyDescent="0.25">
      <c r="A887" s="18">
        <v>891</v>
      </c>
      <c r="B887" s="19">
        <v>46046</v>
      </c>
      <c r="C887" s="19">
        <v>46046</v>
      </c>
      <c r="D887" s="25">
        <v>260124027</v>
      </c>
      <c r="E887" s="21" t="s">
        <v>1711</v>
      </c>
      <c r="F887" s="21" t="s">
        <v>1712</v>
      </c>
      <c r="G887" s="21">
        <v>49</v>
      </c>
      <c r="H887" s="48">
        <v>42</v>
      </c>
      <c r="I887" s="23" t="s">
        <v>44</v>
      </c>
      <c r="J887" s="49" t="s">
        <v>23</v>
      </c>
      <c r="K887" s="23" t="s">
        <v>31</v>
      </c>
      <c r="L887" s="25" t="s">
        <v>55</v>
      </c>
      <c r="M887" s="21" t="s">
        <v>32</v>
      </c>
      <c r="N887" s="37">
        <v>67.78</v>
      </c>
      <c r="O887" s="37">
        <v>18.54</v>
      </c>
      <c r="P887" s="26">
        <f t="shared" si="130"/>
        <v>49.24</v>
      </c>
      <c r="Q887" s="27">
        <v>285</v>
      </c>
      <c r="R887" s="28">
        <f t="shared" si="126"/>
        <v>14033.400000000001</v>
      </c>
      <c r="S887" s="27"/>
      <c r="T887" s="29"/>
      <c r="V887" s="29" t="s">
        <v>24</v>
      </c>
      <c r="W887" s="27">
        <v>145</v>
      </c>
      <c r="X887" s="30">
        <f t="shared" si="127"/>
        <v>7139.8</v>
      </c>
      <c r="Y887" s="31">
        <v>260</v>
      </c>
      <c r="Z887" s="31">
        <f t="shared" si="128"/>
        <v>12802.4</v>
      </c>
      <c r="AA887" s="29">
        <f t="shared" si="129"/>
        <v>33975.599999999999</v>
      </c>
    </row>
    <row r="888" spans="1:38" s="38" customFormat="1" x14ac:dyDescent="0.25">
      <c r="A888" s="18">
        <v>892</v>
      </c>
      <c r="B888" s="19">
        <v>46046</v>
      </c>
      <c r="C888" s="19">
        <v>46046</v>
      </c>
      <c r="D888" s="25">
        <v>260124028</v>
      </c>
      <c r="E888" s="21" t="s">
        <v>1713</v>
      </c>
      <c r="F888" s="21" t="s">
        <v>1714</v>
      </c>
      <c r="G888" s="21">
        <v>47</v>
      </c>
      <c r="H888" s="48">
        <v>42</v>
      </c>
      <c r="I888" s="23" t="s">
        <v>44</v>
      </c>
      <c r="J888" s="49" t="s">
        <v>23</v>
      </c>
      <c r="K888" s="23" t="s">
        <v>31</v>
      </c>
      <c r="L888" s="25" t="s">
        <v>1381</v>
      </c>
      <c r="M888" s="21" t="s">
        <v>34</v>
      </c>
      <c r="N888" s="37">
        <v>65.94</v>
      </c>
      <c r="O888" s="37">
        <v>18.420000000000002</v>
      </c>
      <c r="P888" s="26">
        <f t="shared" si="130"/>
        <v>47.519999999999996</v>
      </c>
      <c r="Q888" s="27">
        <v>525</v>
      </c>
      <c r="R888" s="28">
        <f t="shared" si="126"/>
        <v>24947.999999999996</v>
      </c>
      <c r="S888" s="27"/>
      <c r="T888" s="29"/>
      <c r="V888" s="29" t="s">
        <v>24</v>
      </c>
      <c r="W888" s="27">
        <v>145</v>
      </c>
      <c r="X888" s="30">
        <f t="shared" si="127"/>
        <v>6890.4</v>
      </c>
      <c r="Y888" s="31">
        <v>260</v>
      </c>
      <c r="Z888" s="31">
        <f t="shared" si="128"/>
        <v>12355.199999999999</v>
      </c>
      <c r="AA888" s="29">
        <f t="shared" si="129"/>
        <v>44193.599999999991</v>
      </c>
    </row>
    <row r="889" spans="1:38" s="32" customFormat="1" x14ac:dyDescent="0.25">
      <c r="A889" s="18">
        <v>893</v>
      </c>
      <c r="B889" s="19">
        <v>46046</v>
      </c>
      <c r="C889" s="19">
        <v>46046</v>
      </c>
      <c r="D889" s="25">
        <v>260124029</v>
      </c>
      <c r="E889" s="21"/>
      <c r="F889" s="21" t="s">
        <v>1715</v>
      </c>
      <c r="G889" s="21">
        <v>39</v>
      </c>
      <c r="H889" s="33">
        <v>285</v>
      </c>
      <c r="I889" s="73" t="s">
        <v>703</v>
      </c>
      <c r="J889" s="24" t="s">
        <v>23</v>
      </c>
      <c r="K889" s="23" t="s">
        <v>31</v>
      </c>
      <c r="L889" s="25" t="s">
        <v>935</v>
      </c>
      <c r="M889" s="21" t="s">
        <v>49</v>
      </c>
      <c r="N889" s="37">
        <v>51.2</v>
      </c>
      <c r="O889" s="37">
        <v>11.8</v>
      </c>
      <c r="P889" s="26">
        <f t="shared" si="130"/>
        <v>39.400000000000006</v>
      </c>
      <c r="Q889" s="27">
        <v>220</v>
      </c>
      <c r="R889" s="28">
        <f t="shared" si="126"/>
        <v>8668.0000000000018</v>
      </c>
      <c r="S889" s="27"/>
      <c r="T889" s="29"/>
      <c r="V889" s="29" t="s">
        <v>45</v>
      </c>
      <c r="W889" s="27"/>
      <c r="X889" s="30">
        <f t="shared" si="127"/>
        <v>0</v>
      </c>
      <c r="Y889" s="31"/>
      <c r="Z889" s="31">
        <f t="shared" si="128"/>
        <v>0</v>
      </c>
      <c r="AA889" s="29">
        <f t="shared" si="129"/>
        <v>8668.0000000000018</v>
      </c>
    </row>
    <row r="890" spans="1:38" s="32" customFormat="1" x14ac:dyDescent="0.25">
      <c r="A890" s="18">
        <v>894</v>
      </c>
      <c r="B890" s="19">
        <v>46046</v>
      </c>
      <c r="C890" s="19">
        <v>46046</v>
      </c>
      <c r="D890" s="25">
        <v>260124030</v>
      </c>
      <c r="E890" s="21" t="s">
        <v>1716</v>
      </c>
      <c r="F890" s="21" t="s">
        <v>1717</v>
      </c>
      <c r="G890" s="21">
        <v>45</v>
      </c>
      <c r="H890" s="48">
        <v>42</v>
      </c>
      <c r="I890" s="23" t="s">
        <v>44</v>
      </c>
      <c r="J890" s="49" t="s">
        <v>23</v>
      </c>
      <c r="K890" s="23" t="s">
        <v>31</v>
      </c>
      <c r="L890" s="25" t="s">
        <v>36</v>
      </c>
      <c r="M890" s="21" t="s">
        <v>34</v>
      </c>
      <c r="N890" s="37">
        <v>61.66</v>
      </c>
      <c r="O890" s="37">
        <v>15.72</v>
      </c>
      <c r="P890" s="26">
        <f t="shared" si="130"/>
        <v>45.94</v>
      </c>
      <c r="Q890" s="27">
        <v>525</v>
      </c>
      <c r="R890" s="28">
        <f t="shared" si="126"/>
        <v>24118.5</v>
      </c>
      <c r="S890" s="27"/>
      <c r="T890" s="29"/>
      <c r="V890" s="29" t="s">
        <v>24</v>
      </c>
      <c r="W890" s="27">
        <v>145</v>
      </c>
      <c r="X890" s="30">
        <f t="shared" si="127"/>
        <v>6661.2999999999993</v>
      </c>
      <c r="Y890" s="31">
        <v>260</v>
      </c>
      <c r="Z890" s="31">
        <f t="shared" si="128"/>
        <v>11944.4</v>
      </c>
      <c r="AA890" s="29">
        <f t="shared" si="129"/>
        <v>42724.2</v>
      </c>
    </row>
    <row r="891" spans="1:38" s="32" customFormat="1" x14ac:dyDescent="0.25">
      <c r="A891" s="18">
        <v>895</v>
      </c>
      <c r="B891" s="19">
        <v>46046</v>
      </c>
      <c r="C891" s="19">
        <v>46046</v>
      </c>
      <c r="D891" s="25">
        <v>260124031</v>
      </c>
      <c r="E891" s="21" t="s">
        <v>1718</v>
      </c>
      <c r="F891" s="21" t="s">
        <v>1719</v>
      </c>
      <c r="G891" s="21">
        <v>41</v>
      </c>
      <c r="H891" s="48">
        <v>42</v>
      </c>
      <c r="I891" s="23" t="s">
        <v>44</v>
      </c>
      <c r="J891" s="49" t="s">
        <v>23</v>
      </c>
      <c r="K891" s="23" t="s">
        <v>31</v>
      </c>
      <c r="L891" s="25" t="s">
        <v>42</v>
      </c>
      <c r="M891" s="21" t="s">
        <v>35</v>
      </c>
      <c r="N891" s="37">
        <v>53.42</v>
      </c>
      <c r="O891" s="37">
        <v>11.72</v>
      </c>
      <c r="P891" s="26">
        <f t="shared" si="130"/>
        <v>41.7</v>
      </c>
      <c r="Q891" s="27">
        <v>470</v>
      </c>
      <c r="R891" s="28">
        <f t="shared" si="126"/>
        <v>19599</v>
      </c>
      <c r="S891" s="27"/>
      <c r="T891" s="29"/>
      <c r="V891" s="29" t="s">
        <v>24</v>
      </c>
      <c r="W891" s="27">
        <v>145</v>
      </c>
      <c r="X891" s="30">
        <f t="shared" si="127"/>
        <v>6046.5</v>
      </c>
      <c r="Y891" s="31">
        <v>260</v>
      </c>
      <c r="Z891" s="31">
        <f t="shared" si="128"/>
        <v>10842</v>
      </c>
      <c r="AA891" s="29">
        <f t="shared" si="129"/>
        <v>36487.5</v>
      </c>
    </row>
    <row r="892" spans="1:38" s="38" customFormat="1" x14ac:dyDescent="0.25">
      <c r="A892" s="18">
        <v>896</v>
      </c>
      <c r="B892" s="19">
        <v>46046</v>
      </c>
      <c r="C892" s="19">
        <v>46046</v>
      </c>
      <c r="D892" s="25">
        <v>260124032</v>
      </c>
      <c r="E892" s="21" t="s">
        <v>1720</v>
      </c>
      <c r="F892" s="21" t="s">
        <v>1721</v>
      </c>
      <c r="G892" s="21">
        <v>39</v>
      </c>
      <c r="H892" s="48">
        <v>42</v>
      </c>
      <c r="I892" s="23" t="s">
        <v>44</v>
      </c>
      <c r="J892" s="49" t="s">
        <v>23</v>
      </c>
      <c r="K892" s="23" t="s">
        <v>31</v>
      </c>
      <c r="L892" s="25" t="s">
        <v>39</v>
      </c>
      <c r="M892" s="21" t="s">
        <v>35</v>
      </c>
      <c r="N892" s="37">
        <v>51.02</v>
      </c>
      <c r="O892" s="37">
        <v>11.72</v>
      </c>
      <c r="P892" s="26">
        <f t="shared" si="130"/>
        <v>39.300000000000004</v>
      </c>
      <c r="Q892" s="27">
        <v>470</v>
      </c>
      <c r="R892" s="28">
        <f t="shared" si="126"/>
        <v>18471.000000000004</v>
      </c>
      <c r="S892" s="27"/>
      <c r="T892" s="29"/>
      <c r="V892" s="29" t="s">
        <v>24</v>
      </c>
      <c r="W892" s="27">
        <v>145</v>
      </c>
      <c r="X892" s="30">
        <f t="shared" si="127"/>
        <v>5698.5000000000009</v>
      </c>
      <c r="Y892" s="31">
        <v>260</v>
      </c>
      <c r="Z892" s="31">
        <f t="shared" si="128"/>
        <v>10218.000000000002</v>
      </c>
      <c r="AA892" s="29">
        <f t="shared" si="129"/>
        <v>34387.500000000007</v>
      </c>
    </row>
    <row r="893" spans="1:38" s="38" customFormat="1" x14ac:dyDescent="0.25">
      <c r="A893" s="18">
        <v>897</v>
      </c>
      <c r="B893" s="19">
        <v>46046</v>
      </c>
      <c r="C893" s="19">
        <v>46046</v>
      </c>
      <c r="D893" s="25" t="s">
        <v>1722</v>
      </c>
      <c r="E893" s="21"/>
      <c r="F893" s="21"/>
      <c r="G893" s="21"/>
      <c r="H893" s="62"/>
      <c r="I893" s="72" t="s">
        <v>1723</v>
      </c>
      <c r="J893" s="61" t="s">
        <v>23</v>
      </c>
      <c r="K893" s="60" t="s">
        <v>30</v>
      </c>
      <c r="L893" s="25" t="s">
        <v>1543</v>
      </c>
      <c r="M893" s="21" t="s">
        <v>289</v>
      </c>
      <c r="N893" s="37">
        <v>9.5399999999999991</v>
      </c>
      <c r="O893" s="37">
        <v>3.46</v>
      </c>
      <c r="P893" s="26">
        <f t="shared" si="130"/>
        <v>6.0799999999999992</v>
      </c>
      <c r="Q893" s="27">
        <v>150</v>
      </c>
      <c r="R893" s="28">
        <f t="shared" si="126"/>
        <v>911.99999999999989</v>
      </c>
      <c r="S893" s="27">
        <v>912</v>
      </c>
      <c r="T893" s="29"/>
      <c r="V893" s="29" t="s">
        <v>24</v>
      </c>
      <c r="W893" s="27"/>
      <c r="X893" s="30">
        <f t="shared" si="127"/>
        <v>0</v>
      </c>
      <c r="Y893" s="31"/>
      <c r="Z893" s="31">
        <f t="shared" si="128"/>
        <v>0</v>
      </c>
      <c r="AA893" s="29">
        <f t="shared" si="129"/>
        <v>911.99999999999989</v>
      </c>
    </row>
    <row r="894" spans="1:38" s="32" customFormat="1" x14ac:dyDescent="0.25">
      <c r="A894" s="18">
        <v>898</v>
      </c>
      <c r="B894" s="19">
        <v>46046</v>
      </c>
      <c r="C894" s="19">
        <v>46046</v>
      </c>
      <c r="D894" s="92" t="s">
        <v>1724</v>
      </c>
      <c r="E894" s="21"/>
      <c r="F894" s="21"/>
      <c r="G894" s="21"/>
      <c r="H894" s="33">
        <v>291</v>
      </c>
      <c r="I894" s="73" t="s">
        <v>1725</v>
      </c>
      <c r="J894" s="24" t="s">
        <v>23</v>
      </c>
      <c r="K894" s="23" t="s">
        <v>31</v>
      </c>
      <c r="L894" s="20" t="s">
        <v>1726</v>
      </c>
      <c r="M894" s="21" t="s">
        <v>32</v>
      </c>
      <c r="N894" s="37">
        <v>9.02</v>
      </c>
      <c r="O894" s="37">
        <v>3.5</v>
      </c>
      <c r="P894" s="26">
        <f t="shared" si="130"/>
        <v>5.52</v>
      </c>
      <c r="Q894" s="27">
        <v>0</v>
      </c>
      <c r="R894" s="28">
        <f t="shared" si="126"/>
        <v>0</v>
      </c>
      <c r="S894" s="27"/>
      <c r="T894" s="29"/>
      <c r="V894" s="29" t="s">
        <v>24</v>
      </c>
      <c r="W894" s="27"/>
      <c r="X894" s="30">
        <f t="shared" si="127"/>
        <v>0</v>
      </c>
      <c r="Y894" s="31"/>
      <c r="Z894" s="31">
        <f t="shared" si="128"/>
        <v>0</v>
      </c>
      <c r="AA894" s="29">
        <f t="shared" si="129"/>
        <v>0</v>
      </c>
    </row>
    <row r="895" spans="1:38" s="32" customFormat="1" x14ac:dyDescent="0.25">
      <c r="A895" s="18">
        <v>899</v>
      </c>
      <c r="B895" s="19">
        <v>46046</v>
      </c>
      <c r="C895" s="19">
        <v>46046</v>
      </c>
      <c r="D895" s="51">
        <v>260124033</v>
      </c>
      <c r="E895" s="21" t="s">
        <v>1727</v>
      </c>
      <c r="F895" s="21" t="s">
        <v>1728</v>
      </c>
      <c r="G895" s="21">
        <v>45</v>
      </c>
      <c r="H895" s="44">
        <v>115</v>
      </c>
      <c r="I895" s="23" t="s">
        <v>33</v>
      </c>
      <c r="J895" s="24" t="s">
        <v>23</v>
      </c>
      <c r="K895" s="35" t="s">
        <v>31</v>
      </c>
      <c r="L895" s="25" t="s">
        <v>1729</v>
      </c>
      <c r="M895" s="21" t="s">
        <v>34</v>
      </c>
      <c r="N895" s="37">
        <v>63.6</v>
      </c>
      <c r="O895" s="37">
        <v>18.600000000000001</v>
      </c>
      <c r="P895" s="26">
        <f t="shared" si="130"/>
        <v>45</v>
      </c>
      <c r="Q895" s="27">
        <v>545</v>
      </c>
      <c r="R895" s="28">
        <f t="shared" si="126"/>
        <v>24525</v>
      </c>
      <c r="S895" s="27"/>
      <c r="T895" s="29"/>
      <c r="V895" s="29" t="s">
        <v>24</v>
      </c>
      <c r="W895" s="27">
        <v>145</v>
      </c>
      <c r="X895" s="30">
        <f t="shared" si="127"/>
        <v>6525</v>
      </c>
      <c r="Y895" s="31">
        <v>260</v>
      </c>
      <c r="Z895" s="31">
        <f t="shared" si="128"/>
        <v>11700</v>
      </c>
      <c r="AA895" s="29">
        <f t="shared" si="129"/>
        <v>42750</v>
      </c>
    </row>
    <row r="896" spans="1:38" s="32" customFormat="1" x14ac:dyDescent="0.25">
      <c r="A896" s="18">
        <v>900</v>
      </c>
      <c r="B896" s="19">
        <v>46046</v>
      </c>
      <c r="C896" s="19">
        <v>46046</v>
      </c>
      <c r="D896" s="51">
        <v>260124034</v>
      </c>
      <c r="E896" s="21" t="s">
        <v>1730</v>
      </c>
      <c r="F896" s="21" t="s">
        <v>1731</v>
      </c>
      <c r="G896" s="21">
        <v>31</v>
      </c>
      <c r="H896" s="44">
        <v>115</v>
      </c>
      <c r="I896" s="23" t="s">
        <v>33</v>
      </c>
      <c r="J896" s="24" t="s">
        <v>23</v>
      </c>
      <c r="K896" s="35" t="s">
        <v>31</v>
      </c>
      <c r="L896" s="43" t="s">
        <v>43</v>
      </c>
      <c r="M896" s="21" t="s">
        <v>32</v>
      </c>
      <c r="N896" s="37">
        <v>46.28</v>
      </c>
      <c r="O896" s="37">
        <v>11.36</v>
      </c>
      <c r="P896" s="26">
        <f t="shared" si="130"/>
        <v>34.92</v>
      </c>
      <c r="Q896" s="27">
        <v>315</v>
      </c>
      <c r="R896" s="28">
        <f t="shared" si="126"/>
        <v>10999.800000000001</v>
      </c>
      <c r="S896" s="27"/>
      <c r="T896" s="29"/>
      <c r="V896" s="29" t="s">
        <v>24</v>
      </c>
      <c r="W896" s="27">
        <v>145</v>
      </c>
      <c r="X896" s="30">
        <f t="shared" si="127"/>
        <v>5063.4000000000005</v>
      </c>
      <c r="Y896" s="31">
        <v>260</v>
      </c>
      <c r="Z896" s="31">
        <f t="shared" si="128"/>
        <v>9079.2000000000007</v>
      </c>
      <c r="AA896" s="29">
        <f t="shared" si="129"/>
        <v>25142.400000000001</v>
      </c>
    </row>
    <row r="897" spans="1:27" s="32" customFormat="1" x14ac:dyDescent="0.25">
      <c r="A897" s="18">
        <v>901</v>
      </c>
      <c r="B897" s="19">
        <v>46046</v>
      </c>
      <c r="C897" s="19">
        <v>46046</v>
      </c>
      <c r="D897" s="51">
        <v>260124035</v>
      </c>
      <c r="E897" s="21" t="s">
        <v>1732</v>
      </c>
      <c r="F897" s="21" t="s">
        <v>1733</v>
      </c>
      <c r="G897" s="21">
        <v>41</v>
      </c>
      <c r="H897" s="44">
        <v>115</v>
      </c>
      <c r="I897" s="23" t="s">
        <v>33</v>
      </c>
      <c r="J897" s="24" t="s">
        <v>23</v>
      </c>
      <c r="K897" s="35" t="s">
        <v>31</v>
      </c>
      <c r="L897" s="25" t="s">
        <v>37</v>
      </c>
      <c r="M897" s="21" t="s">
        <v>34</v>
      </c>
      <c r="N897" s="37">
        <v>60.54</v>
      </c>
      <c r="O897" s="37">
        <v>15.86</v>
      </c>
      <c r="P897" s="26">
        <f t="shared" si="130"/>
        <v>44.68</v>
      </c>
      <c r="Q897" s="27">
        <v>545</v>
      </c>
      <c r="R897" s="28">
        <f t="shared" si="126"/>
        <v>24350.6</v>
      </c>
      <c r="S897" s="27"/>
      <c r="T897" s="29"/>
      <c r="V897" s="29" t="s">
        <v>24</v>
      </c>
      <c r="W897" s="27">
        <v>145</v>
      </c>
      <c r="X897" s="30">
        <f t="shared" si="127"/>
        <v>6478.6</v>
      </c>
      <c r="Y897" s="31">
        <v>260</v>
      </c>
      <c r="Z897" s="31">
        <f t="shared" si="128"/>
        <v>11616.8</v>
      </c>
      <c r="AA897" s="29">
        <f t="shared" si="129"/>
        <v>42446</v>
      </c>
    </row>
    <row r="898" spans="1:27" s="38" customFormat="1" x14ac:dyDescent="0.25">
      <c r="A898" s="18">
        <v>902</v>
      </c>
      <c r="B898" s="19">
        <v>46046</v>
      </c>
      <c r="C898" s="19">
        <v>46046</v>
      </c>
      <c r="D898" s="51">
        <v>260124036</v>
      </c>
      <c r="E898" s="21" t="s">
        <v>1734</v>
      </c>
      <c r="F898" s="21" t="s">
        <v>1735</v>
      </c>
      <c r="G898" s="21">
        <v>41</v>
      </c>
      <c r="H898" s="44">
        <v>115</v>
      </c>
      <c r="I898" s="23" t="s">
        <v>33</v>
      </c>
      <c r="J898" s="24" t="s">
        <v>23</v>
      </c>
      <c r="K898" s="35" t="s">
        <v>31</v>
      </c>
      <c r="L898" s="20" t="s">
        <v>140</v>
      </c>
      <c r="M898" s="21" t="s">
        <v>32</v>
      </c>
      <c r="N898" s="37">
        <v>67.06</v>
      </c>
      <c r="O898" s="37">
        <v>17.48</v>
      </c>
      <c r="P898" s="26">
        <f t="shared" si="130"/>
        <v>49.58</v>
      </c>
      <c r="Q898" s="27">
        <v>315</v>
      </c>
      <c r="R898" s="28">
        <f t="shared" si="126"/>
        <v>15617.699999999999</v>
      </c>
      <c r="S898" s="21"/>
      <c r="T898" s="29"/>
      <c r="V898" s="29" t="s">
        <v>24</v>
      </c>
      <c r="W898" s="27">
        <v>145</v>
      </c>
      <c r="X898" s="30">
        <f t="shared" si="127"/>
        <v>7189.0999999999995</v>
      </c>
      <c r="Y898" s="31">
        <v>260</v>
      </c>
      <c r="Z898" s="31">
        <f t="shared" si="128"/>
        <v>12890.8</v>
      </c>
      <c r="AA898" s="29">
        <f t="shared" si="129"/>
        <v>35697.599999999999</v>
      </c>
    </row>
    <row r="899" spans="1:27" s="32" customFormat="1" x14ac:dyDescent="0.25">
      <c r="A899" s="18">
        <v>903</v>
      </c>
      <c r="B899" s="19">
        <v>46046</v>
      </c>
      <c r="C899" s="19">
        <v>46046</v>
      </c>
      <c r="D899" s="51">
        <v>260124037</v>
      </c>
      <c r="E899" s="21" t="s">
        <v>1736</v>
      </c>
      <c r="F899" s="21" t="s">
        <v>1737</v>
      </c>
      <c r="G899" s="21">
        <v>42</v>
      </c>
      <c r="H899" s="44">
        <v>115</v>
      </c>
      <c r="I899" s="23" t="s">
        <v>33</v>
      </c>
      <c r="J899" s="24" t="s">
        <v>23</v>
      </c>
      <c r="K899" s="35" t="s">
        <v>31</v>
      </c>
      <c r="L899" s="20" t="s">
        <v>1738</v>
      </c>
      <c r="M899" s="21" t="s">
        <v>35</v>
      </c>
      <c r="N899" s="37">
        <v>69.040000000000006</v>
      </c>
      <c r="O899" s="37">
        <v>18.8</v>
      </c>
      <c r="P899" s="26">
        <f t="shared" si="130"/>
        <v>50.240000000000009</v>
      </c>
      <c r="Q899" s="27">
        <v>445</v>
      </c>
      <c r="R899" s="28">
        <f t="shared" si="126"/>
        <v>22356.800000000003</v>
      </c>
      <c r="S899" s="27"/>
      <c r="T899" s="29"/>
      <c r="V899" s="29" t="s">
        <v>24</v>
      </c>
      <c r="W899" s="27">
        <v>145</v>
      </c>
      <c r="X899" s="30">
        <f t="shared" si="127"/>
        <v>7284.8000000000011</v>
      </c>
      <c r="Y899" s="31">
        <v>260</v>
      </c>
      <c r="Z899" s="31">
        <f t="shared" si="128"/>
        <v>13062.400000000001</v>
      </c>
      <c r="AA899" s="29">
        <f t="shared" si="129"/>
        <v>42704.000000000007</v>
      </c>
    </row>
    <row r="900" spans="1:27" s="32" customFormat="1" x14ac:dyDescent="0.25">
      <c r="A900" s="18">
        <v>904</v>
      </c>
      <c r="B900" s="19">
        <v>46046</v>
      </c>
      <c r="C900" s="19">
        <v>46046</v>
      </c>
      <c r="D900" s="51">
        <v>260124038</v>
      </c>
      <c r="E900" s="21" t="s">
        <v>1739</v>
      </c>
      <c r="F900" s="21" t="s">
        <v>1740</v>
      </c>
      <c r="G900" s="21">
        <v>40</v>
      </c>
      <c r="H900" s="44">
        <v>115</v>
      </c>
      <c r="I900" s="23" t="s">
        <v>33</v>
      </c>
      <c r="J900" s="24" t="s">
        <v>23</v>
      </c>
      <c r="K900" s="35" t="s">
        <v>31</v>
      </c>
      <c r="L900" s="25" t="s">
        <v>66</v>
      </c>
      <c r="M900" s="21" t="s">
        <v>35</v>
      </c>
      <c r="N900" s="37">
        <v>63.86</v>
      </c>
      <c r="O900" s="37">
        <v>15.5</v>
      </c>
      <c r="P900" s="26">
        <f t="shared" si="130"/>
        <v>48.36</v>
      </c>
      <c r="Q900" s="27">
        <v>445</v>
      </c>
      <c r="R900" s="28">
        <f t="shared" si="126"/>
        <v>21520.2</v>
      </c>
      <c r="S900" s="27"/>
      <c r="T900" s="29"/>
      <c r="V900" s="29" t="s">
        <v>24</v>
      </c>
      <c r="W900" s="27">
        <v>145</v>
      </c>
      <c r="X900" s="30">
        <f t="shared" si="127"/>
        <v>7012.2</v>
      </c>
      <c r="Y900" s="31">
        <v>260</v>
      </c>
      <c r="Z900" s="31">
        <f t="shared" si="128"/>
        <v>12573.6</v>
      </c>
      <c r="AA900" s="29">
        <f t="shared" si="129"/>
        <v>41106</v>
      </c>
    </row>
    <row r="901" spans="1:27" s="38" customFormat="1" x14ac:dyDescent="0.25">
      <c r="A901" s="18">
        <v>905</v>
      </c>
      <c r="B901" s="19">
        <v>46046</v>
      </c>
      <c r="C901" s="19">
        <v>46046</v>
      </c>
      <c r="D901" s="51">
        <v>260124039</v>
      </c>
      <c r="E901" s="21" t="s">
        <v>1741</v>
      </c>
      <c r="F901" s="21" t="s">
        <v>1742</v>
      </c>
      <c r="G901" s="21">
        <v>36</v>
      </c>
      <c r="H901" s="44">
        <v>115</v>
      </c>
      <c r="I901" s="23" t="s">
        <v>33</v>
      </c>
      <c r="J901" s="24" t="s">
        <v>23</v>
      </c>
      <c r="K901" s="35" t="s">
        <v>31</v>
      </c>
      <c r="L901" s="25" t="s">
        <v>36</v>
      </c>
      <c r="M901" s="21" t="s">
        <v>34</v>
      </c>
      <c r="N901" s="37">
        <v>59.62</v>
      </c>
      <c r="O901" s="37">
        <v>15.68</v>
      </c>
      <c r="P901" s="26">
        <f t="shared" si="130"/>
        <v>43.94</v>
      </c>
      <c r="Q901" s="27">
        <v>545</v>
      </c>
      <c r="R901" s="28">
        <f t="shared" si="126"/>
        <v>23947.3</v>
      </c>
      <c r="S901" s="27"/>
      <c r="T901" s="29"/>
      <c r="V901" s="29" t="s">
        <v>24</v>
      </c>
      <c r="W901" s="27">
        <v>145</v>
      </c>
      <c r="X901" s="30">
        <f t="shared" si="127"/>
        <v>6371.2999999999993</v>
      </c>
      <c r="Y901" s="31">
        <v>260</v>
      </c>
      <c r="Z901" s="31">
        <f t="shared" si="128"/>
        <v>11424.4</v>
      </c>
      <c r="AA901" s="29">
        <f t="shared" si="129"/>
        <v>41743</v>
      </c>
    </row>
    <row r="902" spans="1:27" s="32" customFormat="1" x14ac:dyDescent="0.25">
      <c r="A902" s="18">
        <v>906</v>
      </c>
      <c r="B902" s="19">
        <v>46046</v>
      </c>
      <c r="C902" s="19">
        <v>46046</v>
      </c>
      <c r="D902" s="51" t="s">
        <v>1743</v>
      </c>
      <c r="E902" s="21"/>
      <c r="F902" s="21"/>
      <c r="G902" s="21"/>
      <c r="H902" s="66"/>
      <c r="I902" s="84" t="s">
        <v>201</v>
      </c>
      <c r="J902" s="95" t="s">
        <v>23</v>
      </c>
      <c r="K902" s="60" t="s">
        <v>31</v>
      </c>
      <c r="L902" s="25" t="s">
        <v>414</v>
      </c>
      <c r="M902" s="21" t="s">
        <v>203</v>
      </c>
      <c r="N902" s="37">
        <v>27.24</v>
      </c>
      <c r="O902" s="37">
        <v>14.22</v>
      </c>
      <c r="P902" s="26">
        <f t="shared" si="130"/>
        <v>13.019999999999998</v>
      </c>
      <c r="Q902" s="27">
        <v>0</v>
      </c>
      <c r="R902" s="28">
        <f t="shared" si="126"/>
        <v>0</v>
      </c>
      <c r="S902" s="27"/>
      <c r="T902" s="29"/>
      <c r="V902" s="29" t="s">
        <v>24</v>
      </c>
      <c r="W902" s="27"/>
      <c r="X902" s="30">
        <f t="shared" si="127"/>
        <v>0</v>
      </c>
      <c r="Y902" s="31"/>
      <c r="Z902" s="31">
        <f t="shared" si="128"/>
        <v>0</v>
      </c>
      <c r="AA902" s="29">
        <f t="shared" si="129"/>
        <v>0</v>
      </c>
    </row>
    <row r="903" spans="1:27" s="38" customFormat="1" x14ac:dyDescent="0.25">
      <c r="A903" s="18">
        <v>907</v>
      </c>
      <c r="B903" s="19">
        <v>46046</v>
      </c>
      <c r="C903" s="19">
        <v>46046</v>
      </c>
      <c r="D903" s="51">
        <v>260124040</v>
      </c>
      <c r="E903" s="21" t="s">
        <v>1744</v>
      </c>
      <c r="F903" s="21" t="s">
        <v>1745</v>
      </c>
      <c r="G903" s="21">
        <v>53</v>
      </c>
      <c r="H903" s="44">
        <v>115</v>
      </c>
      <c r="I903" s="23" t="s">
        <v>33</v>
      </c>
      <c r="J903" s="24" t="s">
        <v>23</v>
      </c>
      <c r="K903" s="35" t="s">
        <v>31</v>
      </c>
      <c r="L903" s="20" t="s">
        <v>206</v>
      </c>
      <c r="M903" s="21" t="s">
        <v>34</v>
      </c>
      <c r="N903" s="37">
        <v>78.92</v>
      </c>
      <c r="O903" s="37">
        <v>17.079999999999998</v>
      </c>
      <c r="P903" s="26">
        <f t="shared" si="130"/>
        <v>61.84</v>
      </c>
      <c r="Q903" s="27">
        <v>545</v>
      </c>
      <c r="R903" s="28">
        <f t="shared" si="126"/>
        <v>33702.800000000003</v>
      </c>
      <c r="S903" s="21"/>
      <c r="T903" s="29"/>
      <c r="V903" s="29" t="s">
        <v>24</v>
      </c>
      <c r="W903" s="27">
        <v>145</v>
      </c>
      <c r="X903" s="30">
        <f t="shared" si="127"/>
        <v>8966.8000000000011</v>
      </c>
      <c r="Y903" s="31">
        <v>260</v>
      </c>
      <c r="Z903" s="31">
        <f t="shared" si="128"/>
        <v>16078.400000000001</v>
      </c>
      <c r="AA903" s="29">
        <f t="shared" si="129"/>
        <v>58748.000000000007</v>
      </c>
    </row>
    <row r="904" spans="1:27" s="32" customFormat="1" x14ac:dyDescent="0.25">
      <c r="A904" s="18">
        <v>908</v>
      </c>
      <c r="B904" s="19">
        <v>46046</v>
      </c>
      <c r="C904" s="19">
        <v>46046</v>
      </c>
      <c r="D904" s="51">
        <v>260124041</v>
      </c>
      <c r="E904" s="21" t="s">
        <v>1746</v>
      </c>
      <c r="F904" s="21" t="s">
        <v>1747</v>
      </c>
      <c r="G904" s="21">
        <v>30</v>
      </c>
      <c r="H904" s="44">
        <v>115</v>
      </c>
      <c r="I904" s="23" t="s">
        <v>33</v>
      </c>
      <c r="J904" s="24" t="s">
        <v>23</v>
      </c>
      <c r="K904" s="35" t="s">
        <v>31</v>
      </c>
      <c r="L904" s="20" t="s">
        <v>39</v>
      </c>
      <c r="M904" s="21" t="s">
        <v>35</v>
      </c>
      <c r="N904" s="37">
        <v>50</v>
      </c>
      <c r="O904" s="37">
        <v>11.68</v>
      </c>
      <c r="P904" s="26">
        <f t="shared" si="130"/>
        <v>38.32</v>
      </c>
      <c r="Q904" s="27">
        <v>445</v>
      </c>
      <c r="R904" s="28">
        <f t="shared" si="126"/>
        <v>17052.400000000001</v>
      </c>
      <c r="S904" s="27"/>
      <c r="T904" s="29"/>
      <c r="V904" s="29" t="s">
        <v>24</v>
      </c>
      <c r="W904" s="27">
        <v>145</v>
      </c>
      <c r="X904" s="30">
        <f t="shared" si="127"/>
        <v>5556.4</v>
      </c>
      <c r="Y904" s="31">
        <v>260</v>
      </c>
      <c r="Z904" s="31">
        <f t="shared" si="128"/>
        <v>9963.2000000000007</v>
      </c>
      <c r="AA904" s="29">
        <f t="shared" si="129"/>
        <v>32572.000000000004</v>
      </c>
    </row>
    <row r="905" spans="1:27" s="32" customFormat="1" x14ac:dyDescent="0.25">
      <c r="A905" s="18">
        <v>909</v>
      </c>
      <c r="B905" s="19">
        <v>46046</v>
      </c>
      <c r="C905" s="19">
        <v>46047</v>
      </c>
      <c r="D905" s="25">
        <v>260125001</v>
      </c>
      <c r="E905" s="21" t="s">
        <v>1748</v>
      </c>
      <c r="F905" s="21" t="s">
        <v>1749</v>
      </c>
      <c r="G905" s="21">
        <v>38</v>
      </c>
      <c r="H905" s="48">
        <v>53</v>
      </c>
      <c r="I905" s="52" t="s">
        <v>57</v>
      </c>
      <c r="J905" s="49" t="s">
        <v>23</v>
      </c>
      <c r="K905" s="23" t="s">
        <v>31</v>
      </c>
      <c r="L905" s="20" t="s">
        <v>534</v>
      </c>
      <c r="M905" s="21" t="s">
        <v>63</v>
      </c>
      <c r="N905" s="37">
        <v>60.26</v>
      </c>
      <c r="O905" s="37">
        <v>15.8</v>
      </c>
      <c r="P905" s="26">
        <f t="shared" si="130"/>
        <v>44.459999999999994</v>
      </c>
      <c r="Q905" s="27">
        <v>425</v>
      </c>
      <c r="R905" s="28">
        <f t="shared" si="126"/>
        <v>18895.499999999996</v>
      </c>
      <c r="S905" s="27"/>
      <c r="T905" s="29"/>
      <c r="V905" s="29" t="s">
        <v>24</v>
      </c>
      <c r="W905" s="27">
        <v>145</v>
      </c>
      <c r="X905" s="30">
        <f t="shared" si="127"/>
        <v>6446.6999999999989</v>
      </c>
      <c r="Y905" s="31">
        <v>210</v>
      </c>
      <c r="Z905" s="31">
        <f t="shared" si="128"/>
        <v>9336.5999999999985</v>
      </c>
      <c r="AA905" s="29">
        <f t="shared" si="129"/>
        <v>34678.799999999996</v>
      </c>
    </row>
    <row r="906" spans="1:27" s="32" customFormat="1" x14ac:dyDescent="0.25">
      <c r="A906" s="18">
        <v>910</v>
      </c>
      <c r="B906" s="19">
        <v>46046</v>
      </c>
      <c r="C906" s="19">
        <v>46047</v>
      </c>
      <c r="D906" s="25">
        <v>260125002</v>
      </c>
      <c r="E906" s="21" t="s">
        <v>1750</v>
      </c>
      <c r="F906" s="21" t="s">
        <v>1751</v>
      </c>
      <c r="G906" s="21">
        <v>44</v>
      </c>
      <c r="H906" s="48">
        <v>53</v>
      </c>
      <c r="I906" s="52" t="s">
        <v>57</v>
      </c>
      <c r="J906" s="49" t="s">
        <v>23</v>
      </c>
      <c r="K906" s="23" t="s">
        <v>31</v>
      </c>
      <c r="L906" s="25" t="s">
        <v>41</v>
      </c>
      <c r="M906" s="21" t="s">
        <v>63</v>
      </c>
      <c r="N906" s="37">
        <v>60.22</v>
      </c>
      <c r="O906" s="37">
        <v>15.74</v>
      </c>
      <c r="P906" s="26">
        <f t="shared" si="130"/>
        <v>44.48</v>
      </c>
      <c r="Q906" s="27">
        <v>425</v>
      </c>
      <c r="R906" s="28">
        <f t="shared" si="126"/>
        <v>18904</v>
      </c>
      <c r="S906" s="27"/>
      <c r="T906" s="29"/>
      <c r="V906" s="29" t="s">
        <v>24</v>
      </c>
      <c r="W906" s="27">
        <v>145</v>
      </c>
      <c r="X906" s="30">
        <f t="shared" si="127"/>
        <v>6449.5999999999995</v>
      </c>
      <c r="Y906" s="31">
        <v>210</v>
      </c>
      <c r="Z906" s="31">
        <f t="shared" si="128"/>
        <v>9340.7999999999993</v>
      </c>
      <c r="AA906" s="29">
        <f t="shared" si="129"/>
        <v>34694.399999999994</v>
      </c>
    </row>
    <row r="907" spans="1:27" s="32" customFormat="1" x14ac:dyDescent="0.25">
      <c r="A907" s="18">
        <v>911</v>
      </c>
      <c r="B907" s="19">
        <v>46046</v>
      </c>
      <c r="C907" s="19">
        <v>46047</v>
      </c>
      <c r="D907" s="25">
        <v>260125003</v>
      </c>
      <c r="E907" s="21" t="s">
        <v>1752</v>
      </c>
      <c r="F907" s="21" t="s">
        <v>1753</v>
      </c>
      <c r="G907" s="21">
        <v>47</v>
      </c>
      <c r="H907" s="48">
        <v>53</v>
      </c>
      <c r="I907" s="52" t="s">
        <v>57</v>
      </c>
      <c r="J907" s="49" t="s">
        <v>23</v>
      </c>
      <c r="K907" s="23" t="s">
        <v>31</v>
      </c>
      <c r="L907" s="25" t="s">
        <v>1381</v>
      </c>
      <c r="M907" s="21" t="s">
        <v>63</v>
      </c>
      <c r="N907" s="37">
        <v>66.56</v>
      </c>
      <c r="O907" s="37">
        <v>18.62</v>
      </c>
      <c r="P907" s="26">
        <f t="shared" si="130"/>
        <v>47.94</v>
      </c>
      <c r="Q907" s="27">
        <v>425</v>
      </c>
      <c r="R907" s="28">
        <f t="shared" si="126"/>
        <v>20374.5</v>
      </c>
      <c r="S907" s="27"/>
      <c r="T907" s="29"/>
      <c r="V907" s="29" t="s">
        <v>24</v>
      </c>
      <c r="W907" s="27">
        <v>145</v>
      </c>
      <c r="X907" s="30">
        <f t="shared" si="127"/>
        <v>6951.2999999999993</v>
      </c>
      <c r="Y907" s="31">
        <v>210</v>
      </c>
      <c r="Z907" s="31">
        <f t="shared" si="128"/>
        <v>10067.4</v>
      </c>
      <c r="AA907" s="29">
        <f t="shared" si="129"/>
        <v>37393.199999999997</v>
      </c>
    </row>
    <row r="908" spans="1:27" s="32" customFormat="1" x14ac:dyDescent="0.25">
      <c r="A908" s="18">
        <v>912</v>
      </c>
      <c r="B908" s="19">
        <v>46046</v>
      </c>
      <c r="C908" s="19">
        <v>46047</v>
      </c>
      <c r="D908" s="25">
        <v>260125004</v>
      </c>
      <c r="E908" s="21" t="s">
        <v>1754</v>
      </c>
      <c r="F908" s="21" t="s">
        <v>1755</v>
      </c>
      <c r="G908" s="21">
        <v>42</v>
      </c>
      <c r="H908" s="48">
        <v>53</v>
      </c>
      <c r="I908" s="52" t="s">
        <v>57</v>
      </c>
      <c r="J908" s="49" t="s">
        <v>23</v>
      </c>
      <c r="K908" s="23" t="s">
        <v>31</v>
      </c>
      <c r="L908" s="21" t="s">
        <v>1756</v>
      </c>
      <c r="M908" s="21" t="s">
        <v>63</v>
      </c>
      <c r="N908" s="37">
        <v>57.84</v>
      </c>
      <c r="O908" s="37">
        <v>14.98</v>
      </c>
      <c r="P908" s="26">
        <f t="shared" si="130"/>
        <v>42.86</v>
      </c>
      <c r="Q908" s="27">
        <v>425</v>
      </c>
      <c r="R908" s="28">
        <f t="shared" si="126"/>
        <v>18215.5</v>
      </c>
      <c r="S908" s="27"/>
      <c r="T908" s="29"/>
      <c r="V908" s="29" t="s">
        <v>24</v>
      </c>
      <c r="W908" s="27">
        <v>145</v>
      </c>
      <c r="X908" s="30">
        <f t="shared" si="127"/>
        <v>6214.7</v>
      </c>
      <c r="Y908" s="31">
        <v>210</v>
      </c>
      <c r="Z908" s="31">
        <f t="shared" si="128"/>
        <v>9000.6</v>
      </c>
      <c r="AA908" s="29">
        <f t="shared" si="129"/>
        <v>33430.800000000003</v>
      </c>
    </row>
    <row r="909" spans="1:27" s="32" customFormat="1" x14ac:dyDescent="0.25">
      <c r="A909" s="18">
        <v>913</v>
      </c>
      <c r="B909" s="19">
        <v>46047</v>
      </c>
      <c r="C909" s="19">
        <v>46047</v>
      </c>
      <c r="D909" s="25">
        <v>260125005</v>
      </c>
      <c r="E909" s="21" t="s">
        <v>1757</v>
      </c>
      <c r="F909" s="21" t="s">
        <v>1758</v>
      </c>
      <c r="G909" s="21">
        <v>46</v>
      </c>
      <c r="H909" s="48">
        <v>53</v>
      </c>
      <c r="I909" s="52" t="s">
        <v>57</v>
      </c>
      <c r="J909" s="49" t="s">
        <v>23</v>
      </c>
      <c r="K909" s="23" t="s">
        <v>31</v>
      </c>
      <c r="L909" s="25" t="s">
        <v>46</v>
      </c>
      <c r="M909" s="21" t="s">
        <v>63</v>
      </c>
      <c r="N909" s="21">
        <v>61.4</v>
      </c>
      <c r="O909" s="21">
        <v>14.8</v>
      </c>
      <c r="P909" s="26">
        <f t="shared" si="130"/>
        <v>46.599999999999994</v>
      </c>
      <c r="Q909" s="27">
        <v>425</v>
      </c>
      <c r="R909" s="28">
        <f t="shared" si="126"/>
        <v>19804.999999999996</v>
      </c>
      <c r="S909" s="27"/>
      <c r="T909" s="29"/>
      <c r="V909" s="29" t="s">
        <v>24</v>
      </c>
      <c r="W909" s="27">
        <v>145</v>
      </c>
      <c r="X909" s="30">
        <f t="shared" si="127"/>
        <v>6756.9999999999991</v>
      </c>
      <c r="Y909" s="31">
        <v>210</v>
      </c>
      <c r="Z909" s="31">
        <f t="shared" si="128"/>
        <v>9785.9999999999982</v>
      </c>
      <c r="AA909" s="29">
        <f t="shared" si="129"/>
        <v>36347.999999999993</v>
      </c>
    </row>
    <row r="910" spans="1:27" s="32" customFormat="1" x14ac:dyDescent="0.25">
      <c r="A910" s="18">
        <v>914</v>
      </c>
      <c r="B910" s="19">
        <v>46047</v>
      </c>
      <c r="C910" s="19">
        <v>46047</v>
      </c>
      <c r="D910" s="25">
        <v>260125006</v>
      </c>
      <c r="E910" s="21" t="s">
        <v>1759</v>
      </c>
      <c r="F910" s="21" t="s">
        <v>1760</v>
      </c>
      <c r="G910" s="21">
        <v>44</v>
      </c>
      <c r="H910" s="48">
        <v>53</v>
      </c>
      <c r="I910" s="52" t="s">
        <v>57</v>
      </c>
      <c r="J910" s="49" t="s">
        <v>23</v>
      </c>
      <c r="K910" s="23" t="s">
        <v>31</v>
      </c>
      <c r="L910" s="25" t="s">
        <v>38</v>
      </c>
      <c r="M910" s="21" t="s">
        <v>63</v>
      </c>
      <c r="N910" s="83">
        <v>59.86</v>
      </c>
      <c r="O910" s="21">
        <v>14.92</v>
      </c>
      <c r="P910" s="26">
        <f t="shared" si="130"/>
        <v>44.94</v>
      </c>
      <c r="Q910" s="27">
        <v>425</v>
      </c>
      <c r="R910" s="28">
        <f t="shared" si="126"/>
        <v>19099.5</v>
      </c>
      <c r="S910" s="27"/>
      <c r="T910" s="29"/>
      <c r="V910" s="29" t="s">
        <v>24</v>
      </c>
      <c r="W910" s="27">
        <v>145</v>
      </c>
      <c r="X910" s="30">
        <f t="shared" si="127"/>
        <v>6516.2999999999993</v>
      </c>
      <c r="Y910" s="31">
        <v>210</v>
      </c>
      <c r="Z910" s="31">
        <f t="shared" si="128"/>
        <v>9437.4</v>
      </c>
      <c r="AA910" s="29">
        <f t="shared" si="129"/>
        <v>35053.199999999997</v>
      </c>
    </row>
    <row r="911" spans="1:27" s="32" customFormat="1" x14ac:dyDescent="0.25">
      <c r="A911" s="18">
        <v>915</v>
      </c>
      <c r="B911" s="19">
        <v>46047</v>
      </c>
      <c r="C911" s="19">
        <v>46047</v>
      </c>
      <c r="D911" s="25">
        <v>260125007</v>
      </c>
      <c r="E911" s="21" t="s">
        <v>1761</v>
      </c>
      <c r="F911" s="21" t="s">
        <v>1762</v>
      </c>
      <c r="G911" s="21">
        <v>33</v>
      </c>
      <c r="H911" s="48">
        <v>53</v>
      </c>
      <c r="I911" s="52" t="s">
        <v>57</v>
      </c>
      <c r="J911" s="49" t="s">
        <v>23</v>
      </c>
      <c r="K911" s="23" t="s">
        <v>31</v>
      </c>
      <c r="L911" s="82" t="s">
        <v>51</v>
      </c>
      <c r="M911" s="21" t="s">
        <v>63</v>
      </c>
      <c r="N911" s="21">
        <v>44.68</v>
      </c>
      <c r="O911" s="21">
        <v>11.46</v>
      </c>
      <c r="P911" s="26">
        <f t="shared" si="130"/>
        <v>33.22</v>
      </c>
      <c r="Q911" s="27">
        <v>425</v>
      </c>
      <c r="R911" s="28">
        <f t="shared" si="126"/>
        <v>14118.5</v>
      </c>
      <c r="S911" s="27"/>
      <c r="T911" s="29"/>
      <c r="V911" s="29" t="s">
        <v>24</v>
      </c>
      <c r="W911" s="27">
        <v>145</v>
      </c>
      <c r="X911" s="30">
        <f t="shared" si="127"/>
        <v>4816.8999999999996</v>
      </c>
      <c r="Y911" s="31">
        <v>210</v>
      </c>
      <c r="Z911" s="31">
        <f t="shared" si="128"/>
        <v>6976.2</v>
      </c>
      <c r="AA911" s="29">
        <f t="shared" si="129"/>
        <v>25911.600000000002</v>
      </c>
    </row>
    <row r="912" spans="1:27" s="38" customFormat="1" x14ac:dyDescent="0.25">
      <c r="A912" s="18">
        <v>916</v>
      </c>
      <c r="B912" s="19">
        <v>46047</v>
      </c>
      <c r="C912" s="19">
        <v>46047</v>
      </c>
      <c r="D912" s="25">
        <v>260125008</v>
      </c>
      <c r="E912" s="21" t="s">
        <v>1763</v>
      </c>
      <c r="F912" s="21" t="s">
        <v>1764</v>
      </c>
      <c r="G912" s="21">
        <v>43</v>
      </c>
      <c r="H912" s="48">
        <v>53</v>
      </c>
      <c r="I912" s="52" t="s">
        <v>57</v>
      </c>
      <c r="J912" s="49" t="s">
        <v>23</v>
      </c>
      <c r="K912" s="23" t="s">
        <v>31</v>
      </c>
      <c r="L912" s="25" t="s">
        <v>1765</v>
      </c>
      <c r="M912" s="21" t="s">
        <v>63</v>
      </c>
      <c r="N912" s="21">
        <v>59.08</v>
      </c>
      <c r="O912" s="37">
        <v>15.74</v>
      </c>
      <c r="P912" s="26">
        <f t="shared" si="130"/>
        <v>43.339999999999996</v>
      </c>
      <c r="Q912" s="27">
        <v>425</v>
      </c>
      <c r="R912" s="28">
        <f t="shared" si="126"/>
        <v>18419.5</v>
      </c>
      <c r="S912" s="27"/>
      <c r="T912" s="29"/>
      <c r="V912" s="29" t="s">
        <v>24</v>
      </c>
      <c r="W912" s="27">
        <v>145</v>
      </c>
      <c r="X912" s="30">
        <f t="shared" si="127"/>
        <v>6284.2999999999993</v>
      </c>
      <c r="Y912" s="31">
        <v>210</v>
      </c>
      <c r="Z912" s="31">
        <f t="shared" si="128"/>
        <v>9101.4</v>
      </c>
      <c r="AA912" s="29">
        <f t="shared" si="129"/>
        <v>33805.199999999997</v>
      </c>
    </row>
    <row r="913" spans="1:38" s="32" customFormat="1" x14ac:dyDescent="0.25">
      <c r="A913" s="18">
        <v>917</v>
      </c>
      <c r="B913" s="19">
        <v>46047</v>
      </c>
      <c r="C913" s="19">
        <v>46047</v>
      </c>
      <c r="D913" s="25" t="s">
        <v>1766</v>
      </c>
      <c r="E913" s="21"/>
      <c r="F913" s="21"/>
      <c r="G913" s="21"/>
      <c r="H913" s="33">
        <v>293</v>
      </c>
      <c r="I913" s="73" t="s">
        <v>825</v>
      </c>
      <c r="J913" s="24" t="s">
        <v>23</v>
      </c>
      <c r="K913" s="23" t="s">
        <v>30</v>
      </c>
      <c r="L913" s="25" t="s">
        <v>826</v>
      </c>
      <c r="M913" s="21" t="s">
        <v>289</v>
      </c>
      <c r="N913" s="37">
        <v>8.52</v>
      </c>
      <c r="O913" s="21">
        <v>3.34</v>
      </c>
      <c r="P913" s="26">
        <f t="shared" si="130"/>
        <v>5.18</v>
      </c>
      <c r="Q913" s="27">
        <v>150</v>
      </c>
      <c r="R913" s="28">
        <f t="shared" si="126"/>
        <v>777</v>
      </c>
      <c r="S913" s="27">
        <v>777</v>
      </c>
      <c r="T913" s="29"/>
      <c r="V913" s="29" t="s">
        <v>24</v>
      </c>
      <c r="W913" s="27"/>
      <c r="X913" s="30">
        <f t="shared" si="127"/>
        <v>0</v>
      </c>
      <c r="Y913" s="31"/>
      <c r="Z913" s="31">
        <f t="shared" si="128"/>
        <v>0</v>
      </c>
      <c r="AA913" s="29">
        <f t="shared" si="129"/>
        <v>777</v>
      </c>
    </row>
    <row r="914" spans="1:38" s="32" customFormat="1" x14ac:dyDescent="0.25">
      <c r="A914" s="18">
        <v>918</v>
      </c>
      <c r="B914" s="19">
        <v>46047</v>
      </c>
      <c r="C914" s="19">
        <v>46047</v>
      </c>
      <c r="D914" s="25" t="s">
        <v>1767</v>
      </c>
      <c r="E914" s="21"/>
      <c r="F914" s="21"/>
      <c r="G914" s="21"/>
      <c r="H914" s="33">
        <v>285</v>
      </c>
      <c r="I914" s="73" t="s">
        <v>703</v>
      </c>
      <c r="J914" s="24" t="s">
        <v>23</v>
      </c>
      <c r="K914" s="23" t="s">
        <v>31</v>
      </c>
      <c r="L914" s="25" t="s">
        <v>53</v>
      </c>
      <c r="M914" s="21" t="s">
        <v>289</v>
      </c>
      <c r="N914" s="37">
        <v>47.16</v>
      </c>
      <c r="O914" s="37">
        <v>11.36</v>
      </c>
      <c r="P914" s="26">
        <f t="shared" si="130"/>
        <v>35.799999999999997</v>
      </c>
      <c r="Q914" s="27">
        <v>130</v>
      </c>
      <c r="R914" s="28">
        <f t="shared" si="126"/>
        <v>4654</v>
      </c>
      <c r="S914" s="27"/>
      <c r="T914" s="29"/>
      <c r="V914" s="29" t="s">
        <v>45</v>
      </c>
      <c r="W914" s="27"/>
      <c r="X914" s="30">
        <f t="shared" si="127"/>
        <v>0</v>
      </c>
      <c r="Y914" s="31"/>
      <c r="Z914" s="31">
        <f t="shared" si="128"/>
        <v>0</v>
      </c>
      <c r="AA914" s="29">
        <f t="shared" si="129"/>
        <v>4654</v>
      </c>
    </row>
    <row r="915" spans="1:38" s="32" customFormat="1" x14ac:dyDescent="0.25">
      <c r="A915" s="18">
        <v>919</v>
      </c>
      <c r="B915" s="19">
        <v>46047</v>
      </c>
      <c r="C915" s="19">
        <v>46047</v>
      </c>
      <c r="D915" s="46" t="s">
        <v>1768</v>
      </c>
      <c r="E915" s="21"/>
      <c r="F915" s="21"/>
      <c r="G915" s="21"/>
      <c r="H915" s="33">
        <v>206</v>
      </c>
      <c r="I915" s="23" t="s">
        <v>1769</v>
      </c>
      <c r="J915" s="24" t="s">
        <v>23</v>
      </c>
      <c r="K915" s="23" t="s">
        <v>30</v>
      </c>
      <c r="L915" s="25" t="s">
        <v>1770</v>
      </c>
      <c r="M915" s="21" t="s">
        <v>34</v>
      </c>
      <c r="N915" s="37">
        <v>17.98</v>
      </c>
      <c r="O915" s="37">
        <v>6.96</v>
      </c>
      <c r="P915" s="26">
        <f t="shared" si="130"/>
        <v>11.02</v>
      </c>
      <c r="Q915" s="27">
        <v>550</v>
      </c>
      <c r="R915" s="28">
        <f t="shared" si="126"/>
        <v>6061</v>
      </c>
      <c r="S915" s="27">
        <v>6061</v>
      </c>
      <c r="T915" s="29"/>
      <c r="V915" s="29" t="s">
        <v>24</v>
      </c>
      <c r="W915" s="27"/>
      <c r="X915" s="30">
        <f t="shared" si="127"/>
        <v>0</v>
      </c>
      <c r="Y915" s="31"/>
      <c r="Z915" s="31">
        <f t="shared" si="128"/>
        <v>0</v>
      </c>
      <c r="AA915" s="29">
        <f t="shared" si="129"/>
        <v>6061</v>
      </c>
    </row>
    <row r="916" spans="1:38" s="32" customFormat="1" x14ac:dyDescent="0.25">
      <c r="A916" s="18">
        <v>920</v>
      </c>
      <c r="B916" s="19">
        <v>46047</v>
      </c>
      <c r="C916" s="19">
        <v>46047</v>
      </c>
      <c r="D916" s="25">
        <v>260126001</v>
      </c>
      <c r="E916" s="21" t="s">
        <v>1771</v>
      </c>
      <c r="F916" s="21" t="s">
        <v>1772</v>
      </c>
      <c r="G916" s="21">
        <v>43</v>
      </c>
      <c r="H916" s="48">
        <v>53</v>
      </c>
      <c r="I916" s="52" t="s">
        <v>57</v>
      </c>
      <c r="J916" s="49" t="s">
        <v>23</v>
      </c>
      <c r="K916" s="23" t="s">
        <v>31</v>
      </c>
      <c r="L916" s="25" t="s">
        <v>37</v>
      </c>
      <c r="M916" s="21" t="s">
        <v>63</v>
      </c>
      <c r="N916" s="37">
        <v>59.28</v>
      </c>
      <c r="O916" s="37">
        <v>15.8</v>
      </c>
      <c r="P916" s="26">
        <f t="shared" si="130"/>
        <v>43.480000000000004</v>
      </c>
      <c r="Q916" s="27">
        <v>425</v>
      </c>
      <c r="R916" s="28">
        <f t="shared" si="126"/>
        <v>18479</v>
      </c>
      <c r="S916" s="27"/>
      <c r="T916" s="29"/>
      <c r="V916" s="29" t="s">
        <v>24</v>
      </c>
      <c r="W916" s="27">
        <v>145</v>
      </c>
      <c r="X916" s="30">
        <f t="shared" si="127"/>
        <v>6304.6</v>
      </c>
      <c r="Y916" s="31">
        <v>210</v>
      </c>
      <c r="Z916" s="31">
        <f t="shared" si="128"/>
        <v>9130.8000000000011</v>
      </c>
      <c r="AA916" s="29">
        <f t="shared" si="129"/>
        <v>33914.400000000001</v>
      </c>
      <c r="AB916" s="40"/>
      <c r="AC916" s="39"/>
      <c r="AD916" s="41"/>
      <c r="AE916" s="42"/>
      <c r="AF916" s="39"/>
      <c r="AG916" s="42"/>
      <c r="AH916" s="39"/>
      <c r="AI916" s="41"/>
      <c r="AJ916" s="39"/>
      <c r="AK916" s="41"/>
      <c r="AL916" s="41"/>
    </row>
    <row r="917" spans="1:38" s="32" customFormat="1" x14ac:dyDescent="0.25">
      <c r="A917" s="18">
        <v>921</v>
      </c>
      <c r="B917" s="19">
        <v>46047</v>
      </c>
      <c r="C917" s="19">
        <v>46047</v>
      </c>
      <c r="D917" s="25">
        <v>260126002</v>
      </c>
      <c r="E917" s="21" t="s">
        <v>1773</v>
      </c>
      <c r="F917" s="21" t="s">
        <v>1774</v>
      </c>
      <c r="G917" s="21">
        <v>33</v>
      </c>
      <c r="H917" s="48">
        <v>53</v>
      </c>
      <c r="I917" s="52" t="s">
        <v>57</v>
      </c>
      <c r="J917" s="49" t="s">
        <v>23</v>
      </c>
      <c r="K917" s="23" t="s">
        <v>31</v>
      </c>
      <c r="L917" s="25" t="s">
        <v>39</v>
      </c>
      <c r="M917" s="21" t="s">
        <v>63</v>
      </c>
      <c r="N917" s="37">
        <v>44.84</v>
      </c>
      <c r="O917" s="37">
        <v>11.72</v>
      </c>
      <c r="P917" s="26">
        <f t="shared" si="130"/>
        <v>33.120000000000005</v>
      </c>
      <c r="Q917" s="27">
        <v>425</v>
      </c>
      <c r="R917" s="28">
        <f t="shared" si="126"/>
        <v>14076.000000000002</v>
      </c>
      <c r="S917" s="27"/>
      <c r="T917" s="29"/>
      <c r="V917" s="29" t="s">
        <v>24</v>
      </c>
      <c r="W917" s="27">
        <v>145</v>
      </c>
      <c r="X917" s="30">
        <f t="shared" si="127"/>
        <v>4802.4000000000005</v>
      </c>
      <c r="Y917" s="31">
        <v>210</v>
      </c>
      <c r="Z917" s="31">
        <f t="shared" si="128"/>
        <v>6955.2000000000007</v>
      </c>
      <c r="AA917" s="29">
        <f t="shared" si="129"/>
        <v>25833.600000000002</v>
      </c>
    </row>
    <row r="918" spans="1:38" s="32" customFormat="1" x14ac:dyDescent="0.25">
      <c r="A918" s="18">
        <v>922</v>
      </c>
      <c r="B918" s="19">
        <v>46047</v>
      </c>
      <c r="C918" s="19">
        <v>46047</v>
      </c>
      <c r="D918" s="25">
        <v>260126003</v>
      </c>
      <c r="E918" s="21" t="s">
        <v>1775</v>
      </c>
      <c r="F918" s="21" t="s">
        <v>1776</v>
      </c>
      <c r="G918" s="21">
        <v>43</v>
      </c>
      <c r="H918" s="48">
        <v>53</v>
      </c>
      <c r="I918" s="52" t="s">
        <v>57</v>
      </c>
      <c r="J918" s="49" t="s">
        <v>23</v>
      </c>
      <c r="K918" s="23" t="s">
        <v>31</v>
      </c>
      <c r="L918" s="25" t="s">
        <v>36</v>
      </c>
      <c r="M918" s="21" t="s">
        <v>63</v>
      </c>
      <c r="N918" s="37">
        <v>58.96</v>
      </c>
      <c r="O918" s="37">
        <v>15.84</v>
      </c>
      <c r="P918" s="26">
        <f t="shared" si="130"/>
        <v>43.120000000000005</v>
      </c>
      <c r="Q918" s="27">
        <v>425</v>
      </c>
      <c r="R918" s="28">
        <f t="shared" si="126"/>
        <v>18326.000000000004</v>
      </c>
      <c r="S918" s="27"/>
      <c r="T918" s="29"/>
      <c r="V918" s="29" t="s">
        <v>24</v>
      </c>
      <c r="W918" s="27">
        <v>145</v>
      </c>
      <c r="X918" s="30">
        <f t="shared" si="127"/>
        <v>6252.4000000000005</v>
      </c>
      <c r="Y918" s="31">
        <v>210</v>
      </c>
      <c r="Z918" s="31">
        <f t="shared" si="128"/>
        <v>9055.2000000000007</v>
      </c>
      <c r="AA918" s="29">
        <f t="shared" si="129"/>
        <v>33633.600000000006</v>
      </c>
    </row>
    <row r="919" spans="1:38" s="32" customFormat="1" x14ac:dyDescent="0.25">
      <c r="A919" s="18">
        <v>923</v>
      </c>
      <c r="B919" s="19">
        <v>46048</v>
      </c>
      <c r="C919" s="19">
        <v>46048</v>
      </c>
      <c r="D919" s="25" t="s">
        <v>1777</v>
      </c>
      <c r="E919" s="21"/>
      <c r="F919" s="21"/>
      <c r="G919" s="21"/>
      <c r="H919" s="33">
        <v>123</v>
      </c>
      <c r="I919" s="60" t="s">
        <v>832</v>
      </c>
      <c r="J919" s="34" t="s">
        <v>23</v>
      </c>
      <c r="K919" s="35" t="s">
        <v>31</v>
      </c>
      <c r="L919" s="25" t="s">
        <v>833</v>
      </c>
      <c r="M919" s="21" t="s">
        <v>203</v>
      </c>
      <c r="N919" s="21">
        <v>54.96</v>
      </c>
      <c r="O919" s="21">
        <v>14.92</v>
      </c>
      <c r="P919" s="26">
        <f>N919-O919</f>
        <v>40.04</v>
      </c>
      <c r="Q919" s="27">
        <v>150</v>
      </c>
      <c r="R919" s="28">
        <f>P919*Q919</f>
        <v>6006</v>
      </c>
      <c r="S919" s="27"/>
      <c r="T919" s="29"/>
      <c r="V919" s="29" t="s">
        <v>24</v>
      </c>
      <c r="W919" s="27"/>
      <c r="X919" s="30">
        <f t="shared" ref="X919:X934" si="131">P919*W919</f>
        <v>0</v>
      </c>
      <c r="Y919" s="31"/>
      <c r="Z919" s="31">
        <f t="shared" ref="Z919:Z934" si="132">P919*Y919</f>
        <v>0</v>
      </c>
      <c r="AA919" s="29">
        <f t="shared" ref="AA919:AA934" si="133">R919+X919+Z919</f>
        <v>6006</v>
      </c>
    </row>
    <row r="920" spans="1:38" s="32" customFormat="1" x14ac:dyDescent="0.25">
      <c r="A920" s="18">
        <v>924</v>
      </c>
      <c r="B920" s="19">
        <v>46048</v>
      </c>
      <c r="C920" s="19">
        <v>46048</v>
      </c>
      <c r="D920" s="25" t="s">
        <v>1778</v>
      </c>
      <c r="E920" s="21"/>
      <c r="F920" s="21"/>
      <c r="G920" s="21"/>
      <c r="H920" s="33">
        <v>123</v>
      </c>
      <c r="I920" s="60" t="s">
        <v>832</v>
      </c>
      <c r="J920" s="34" t="s">
        <v>23</v>
      </c>
      <c r="K920" s="35" t="s">
        <v>31</v>
      </c>
      <c r="L920" s="25" t="s">
        <v>835</v>
      </c>
      <c r="M920" s="21" t="s">
        <v>203</v>
      </c>
      <c r="N920" s="83">
        <v>57.26</v>
      </c>
      <c r="O920" s="21">
        <v>15.12</v>
      </c>
      <c r="P920" s="26">
        <f t="shared" ref="P920:P934" si="134">N920-O920</f>
        <v>42.14</v>
      </c>
      <c r="Q920" s="27">
        <v>150</v>
      </c>
      <c r="R920" s="28">
        <f t="shared" ref="R920:R954" si="135">P920*Q920</f>
        <v>6321</v>
      </c>
      <c r="S920" s="27"/>
      <c r="T920" s="29"/>
      <c r="V920" s="29" t="s">
        <v>24</v>
      </c>
      <c r="W920" s="27"/>
      <c r="X920" s="30">
        <f t="shared" si="131"/>
        <v>0</v>
      </c>
      <c r="Y920" s="31"/>
      <c r="Z920" s="31">
        <f t="shared" si="132"/>
        <v>0</v>
      </c>
      <c r="AA920" s="29">
        <f t="shared" si="133"/>
        <v>6321</v>
      </c>
    </row>
    <row r="921" spans="1:38" s="32" customFormat="1" x14ac:dyDescent="0.25">
      <c r="A921" s="18">
        <v>925</v>
      </c>
      <c r="B921" s="19">
        <v>46048</v>
      </c>
      <c r="C921" s="19">
        <v>46048</v>
      </c>
      <c r="D921" s="25" t="s">
        <v>1779</v>
      </c>
      <c r="E921" s="21"/>
      <c r="F921" s="21"/>
      <c r="G921" s="21"/>
      <c r="H921" s="33">
        <v>123</v>
      </c>
      <c r="I921" s="60" t="s">
        <v>832</v>
      </c>
      <c r="J921" s="34" t="s">
        <v>23</v>
      </c>
      <c r="K921" s="35" t="s">
        <v>31</v>
      </c>
      <c r="L921" s="82" t="s">
        <v>925</v>
      </c>
      <c r="M921" s="21" t="s">
        <v>203</v>
      </c>
      <c r="N921" s="21">
        <v>57.56</v>
      </c>
      <c r="O921" s="21">
        <v>14.9</v>
      </c>
      <c r="P921" s="26">
        <f t="shared" si="134"/>
        <v>42.660000000000004</v>
      </c>
      <c r="Q921" s="27">
        <v>150</v>
      </c>
      <c r="R921" s="28">
        <f t="shared" si="135"/>
        <v>6399.0000000000009</v>
      </c>
      <c r="S921" s="27"/>
      <c r="T921" s="29"/>
      <c r="V921" s="29" t="s">
        <v>24</v>
      </c>
      <c r="W921" s="27"/>
      <c r="X921" s="30">
        <f t="shared" si="131"/>
        <v>0</v>
      </c>
      <c r="Y921" s="31"/>
      <c r="Z921" s="31">
        <f t="shared" si="132"/>
        <v>0</v>
      </c>
      <c r="AA921" s="29">
        <f t="shared" si="133"/>
        <v>6399.0000000000009</v>
      </c>
    </row>
    <row r="922" spans="1:38" s="38" customFormat="1" x14ac:dyDescent="0.25">
      <c r="A922" s="18">
        <v>926</v>
      </c>
      <c r="B922" s="19">
        <v>46048</v>
      </c>
      <c r="C922" s="19">
        <v>46048</v>
      </c>
      <c r="D922" s="25" t="s">
        <v>1780</v>
      </c>
      <c r="E922" s="21"/>
      <c r="F922" s="21"/>
      <c r="G922" s="21"/>
      <c r="H922" s="33">
        <v>123</v>
      </c>
      <c r="I922" s="60" t="s">
        <v>832</v>
      </c>
      <c r="J922" s="34" t="s">
        <v>23</v>
      </c>
      <c r="K922" s="35" t="s">
        <v>31</v>
      </c>
      <c r="L922" s="25" t="s">
        <v>1756</v>
      </c>
      <c r="M922" s="21" t="s">
        <v>203</v>
      </c>
      <c r="N922" s="21">
        <v>54.68</v>
      </c>
      <c r="O922" s="37">
        <v>14.88</v>
      </c>
      <c r="P922" s="26">
        <f t="shared" si="134"/>
        <v>39.799999999999997</v>
      </c>
      <c r="Q922" s="27">
        <v>150</v>
      </c>
      <c r="R922" s="28">
        <f t="shared" si="135"/>
        <v>5970</v>
      </c>
      <c r="S922" s="27"/>
      <c r="T922" s="29"/>
      <c r="V922" s="29" t="s">
        <v>24</v>
      </c>
      <c r="W922" s="27"/>
      <c r="X922" s="30">
        <f t="shared" si="131"/>
        <v>0</v>
      </c>
      <c r="Y922" s="31"/>
      <c r="Z922" s="31">
        <f t="shared" si="132"/>
        <v>0</v>
      </c>
      <c r="AA922" s="29">
        <f t="shared" si="133"/>
        <v>5970</v>
      </c>
    </row>
    <row r="923" spans="1:38" s="32" customFormat="1" x14ac:dyDescent="0.25">
      <c r="A923" s="18">
        <v>927</v>
      </c>
      <c r="B923" s="19">
        <v>46048</v>
      </c>
      <c r="C923" s="19">
        <v>46048</v>
      </c>
      <c r="D923" s="25" t="s">
        <v>1781</v>
      </c>
      <c r="E923" s="21"/>
      <c r="F923" s="21"/>
      <c r="G923" s="21"/>
      <c r="H923" s="33">
        <v>123</v>
      </c>
      <c r="I923" s="60" t="s">
        <v>832</v>
      </c>
      <c r="J923" s="34" t="s">
        <v>23</v>
      </c>
      <c r="K923" s="35" t="s">
        <v>31</v>
      </c>
      <c r="L923" s="25" t="s">
        <v>833</v>
      </c>
      <c r="M923" s="21" t="s">
        <v>203</v>
      </c>
      <c r="N923" s="37">
        <v>58.12</v>
      </c>
      <c r="O923" s="21">
        <v>14.92</v>
      </c>
      <c r="P923" s="26">
        <f t="shared" si="134"/>
        <v>43.199999999999996</v>
      </c>
      <c r="Q923" s="27">
        <v>150</v>
      </c>
      <c r="R923" s="28">
        <f t="shared" si="135"/>
        <v>6479.9999999999991</v>
      </c>
      <c r="S923" s="27"/>
      <c r="T923" s="29"/>
      <c r="V923" s="29" t="s">
        <v>24</v>
      </c>
      <c r="W923" s="27"/>
      <c r="X923" s="30">
        <f t="shared" si="131"/>
        <v>0</v>
      </c>
      <c r="Y923" s="31"/>
      <c r="Z923" s="31">
        <f t="shared" si="132"/>
        <v>0</v>
      </c>
      <c r="AA923" s="29">
        <f t="shared" si="133"/>
        <v>6479.9999999999991</v>
      </c>
    </row>
    <row r="924" spans="1:38" s="32" customFormat="1" x14ac:dyDescent="0.25">
      <c r="A924" s="18">
        <v>928</v>
      </c>
      <c r="B924" s="19">
        <v>46048</v>
      </c>
      <c r="C924" s="19">
        <v>46048</v>
      </c>
      <c r="D924" s="25" t="s">
        <v>1782</v>
      </c>
      <c r="E924" s="21"/>
      <c r="F924" s="21"/>
      <c r="G924" s="21"/>
      <c r="H924" s="33">
        <v>136</v>
      </c>
      <c r="I924" s="23" t="s">
        <v>865</v>
      </c>
      <c r="J924" s="34" t="s">
        <v>23</v>
      </c>
      <c r="K924" s="35" t="s">
        <v>30</v>
      </c>
      <c r="L924" s="25" t="s">
        <v>39</v>
      </c>
      <c r="M924" s="21" t="s">
        <v>396</v>
      </c>
      <c r="N924" s="37">
        <v>40.94</v>
      </c>
      <c r="O924" s="37">
        <v>11.8</v>
      </c>
      <c r="P924" s="26">
        <f t="shared" si="134"/>
        <v>29.139999999999997</v>
      </c>
      <c r="Q924" s="27">
        <v>130</v>
      </c>
      <c r="R924" s="28">
        <f t="shared" si="135"/>
        <v>3788.2</v>
      </c>
      <c r="S924" s="27">
        <v>3790</v>
      </c>
      <c r="T924" s="29"/>
      <c r="V924" s="29" t="s">
        <v>45</v>
      </c>
      <c r="W924" s="27"/>
      <c r="X924" s="30">
        <f t="shared" si="131"/>
        <v>0</v>
      </c>
      <c r="Y924" s="31"/>
      <c r="Z924" s="31">
        <f t="shared" si="132"/>
        <v>0</v>
      </c>
      <c r="AA924" s="29">
        <f t="shared" si="133"/>
        <v>3788.2</v>
      </c>
    </row>
    <row r="925" spans="1:38" s="32" customFormat="1" x14ac:dyDescent="0.25">
      <c r="A925" s="18">
        <v>929</v>
      </c>
      <c r="B925" s="19">
        <v>46048</v>
      </c>
      <c r="C925" s="19">
        <v>46048</v>
      </c>
      <c r="D925" s="25" t="s">
        <v>1783</v>
      </c>
      <c r="E925" s="21"/>
      <c r="F925" s="21"/>
      <c r="G925" s="21"/>
      <c r="H925" s="33">
        <v>123</v>
      </c>
      <c r="I925" s="60" t="s">
        <v>832</v>
      </c>
      <c r="J925" s="34" t="s">
        <v>23</v>
      </c>
      <c r="K925" s="35" t="s">
        <v>31</v>
      </c>
      <c r="L925" s="25" t="s">
        <v>122</v>
      </c>
      <c r="M925" s="21" t="s">
        <v>203</v>
      </c>
      <c r="N925" s="37">
        <v>57.58</v>
      </c>
      <c r="O925" s="37">
        <v>18.079999999999998</v>
      </c>
      <c r="P925" s="26">
        <f t="shared" si="134"/>
        <v>39.5</v>
      </c>
      <c r="Q925" s="27">
        <v>150</v>
      </c>
      <c r="R925" s="28">
        <f t="shared" si="135"/>
        <v>5925</v>
      </c>
      <c r="S925" s="27"/>
      <c r="T925" s="29"/>
      <c r="V925" s="29" t="s">
        <v>24</v>
      </c>
      <c r="W925" s="27"/>
      <c r="X925" s="30">
        <f t="shared" si="131"/>
        <v>0</v>
      </c>
      <c r="Y925" s="31"/>
      <c r="Z925" s="31">
        <f t="shared" si="132"/>
        <v>0</v>
      </c>
      <c r="AA925" s="29">
        <f t="shared" si="133"/>
        <v>5925</v>
      </c>
    </row>
    <row r="926" spans="1:38" s="32" customFormat="1" x14ac:dyDescent="0.25">
      <c r="A926" s="18">
        <v>930</v>
      </c>
      <c r="B926" s="19">
        <v>46048</v>
      </c>
      <c r="C926" s="19">
        <v>46048</v>
      </c>
      <c r="D926" s="25" t="s">
        <v>1784</v>
      </c>
      <c r="E926" s="21"/>
      <c r="F926" s="21"/>
      <c r="G926" s="21"/>
      <c r="H926" s="33">
        <v>171</v>
      </c>
      <c r="I926" s="23" t="s">
        <v>303</v>
      </c>
      <c r="J926" s="34" t="s">
        <v>23</v>
      </c>
      <c r="K926" s="35" t="s">
        <v>30</v>
      </c>
      <c r="L926" s="25" t="s">
        <v>1785</v>
      </c>
      <c r="M926" s="21" t="s">
        <v>396</v>
      </c>
      <c r="N926" s="37">
        <v>8.92</v>
      </c>
      <c r="O926" s="37">
        <v>3.48</v>
      </c>
      <c r="P926" s="26">
        <f t="shared" si="134"/>
        <v>5.4399999999999995</v>
      </c>
      <c r="Q926" s="27">
        <v>150</v>
      </c>
      <c r="R926" s="28">
        <f t="shared" si="135"/>
        <v>815.99999999999989</v>
      </c>
      <c r="S926" s="27">
        <v>820</v>
      </c>
      <c r="T926" s="29"/>
      <c r="V926" s="29" t="s">
        <v>45</v>
      </c>
      <c r="W926" s="27"/>
      <c r="X926" s="30">
        <f t="shared" si="131"/>
        <v>0</v>
      </c>
      <c r="Y926" s="31"/>
      <c r="Z926" s="31">
        <f t="shared" si="132"/>
        <v>0</v>
      </c>
      <c r="AA926" s="29">
        <f t="shared" si="133"/>
        <v>815.99999999999989</v>
      </c>
      <c r="AB926" s="40"/>
      <c r="AC926" s="39"/>
      <c r="AD926" s="41"/>
      <c r="AE926" s="42"/>
      <c r="AF926" s="39"/>
      <c r="AG926" s="42"/>
      <c r="AH926" s="39"/>
      <c r="AI926" s="41"/>
      <c r="AJ926" s="39"/>
      <c r="AK926" s="41"/>
      <c r="AL926" s="41"/>
    </row>
    <row r="927" spans="1:38" s="32" customFormat="1" x14ac:dyDescent="0.25">
      <c r="A927" s="18">
        <v>931</v>
      </c>
      <c r="B927" s="19">
        <v>46048</v>
      </c>
      <c r="C927" s="19">
        <v>46048</v>
      </c>
      <c r="D927" s="92" t="s">
        <v>1786</v>
      </c>
      <c r="E927" s="21"/>
      <c r="F927" s="21"/>
      <c r="G927" s="21"/>
      <c r="H927" s="66"/>
      <c r="I927" s="52" t="s">
        <v>201</v>
      </c>
      <c r="J927" s="34" t="s">
        <v>23</v>
      </c>
      <c r="K927" s="23" t="s">
        <v>31</v>
      </c>
      <c r="L927" s="25" t="s">
        <v>337</v>
      </c>
      <c r="M927" s="21" t="s">
        <v>203</v>
      </c>
      <c r="N927" s="37">
        <v>24.7</v>
      </c>
      <c r="O927" s="37">
        <v>14.9</v>
      </c>
      <c r="P927" s="26">
        <f t="shared" si="134"/>
        <v>9.7999999999999989</v>
      </c>
      <c r="Q927" s="27">
        <v>0</v>
      </c>
      <c r="R927" s="28">
        <f t="shared" si="135"/>
        <v>0</v>
      </c>
      <c r="S927" s="27"/>
      <c r="T927" s="29"/>
      <c r="V927" s="29" t="s">
        <v>24</v>
      </c>
      <c r="W927" s="27"/>
      <c r="X927" s="30">
        <f t="shared" si="131"/>
        <v>0</v>
      </c>
      <c r="Y927" s="31"/>
      <c r="Z927" s="31">
        <f t="shared" si="132"/>
        <v>0</v>
      </c>
      <c r="AA927" s="29">
        <f t="shared" si="133"/>
        <v>0</v>
      </c>
    </row>
    <row r="928" spans="1:38" s="32" customFormat="1" x14ac:dyDescent="0.25">
      <c r="A928" s="18">
        <v>932</v>
      </c>
      <c r="B928" s="19">
        <v>46048</v>
      </c>
      <c r="C928" s="19">
        <v>46048</v>
      </c>
      <c r="D928" s="51" t="s">
        <v>1787</v>
      </c>
      <c r="E928" s="21"/>
      <c r="F928" s="21"/>
      <c r="G928" s="21"/>
      <c r="H928" s="33">
        <v>113</v>
      </c>
      <c r="I928" s="60" t="s">
        <v>890</v>
      </c>
      <c r="J928" s="34" t="s">
        <v>23</v>
      </c>
      <c r="K928" s="35" t="s">
        <v>31</v>
      </c>
      <c r="L928" s="25" t="s">
        <v>249</v>
      </c>
      <c r="M928" s="21" t="s">
        <v>34</v>
      </c>
      <c r="N928" s="37">
        <v>18.940000000000001</v>
      </c>
      <c r="O928" s="37">
        <v>7.32</v>
      </c>
      <c r="P928" s="26">
        <f t="shared" si="134"/>
        <v>11.620000000000001</v>
      </c>
      <c r="Q928" s="27">
        <v>540</v>
      </c>
      <c r="R928" s="28">
        <f t="shared" si="135"/>
        <v>6274.8</v>
      </c>
      <c r="S928" s="27"/>
      <c r="T928" s="29"/>
      <c r="V928" s="29" t="s">
        <v>45</v>
      </c>
      <c r="W928" s="27"/>
      <c r="X928" s="30">
        <f t="shared" si="131"/>
        <v>0</v>
      </c>
      <c r="Y928" s="31"/>
      <c r="Z928" s="31">
        <f t="shared" si="132"/>
        <v>0</v>
      </c>
      <c r="AA928" s="29">
        <f t="shared" si="133"/>
        <v>6274.8</v>
      </c>
    </row>
    <row r="929" spans="1:38" s="32" customFormat="1" x14ac:dyDescent="0.25">
      <c r="A929" s="18">
        <v>933</v>
      </c>
      <c r="B929" s="19">
        <v>46048</v>
      </c>
      <c r="C929" s="19">
        <v>46049</v>
      </c>
      <c r="D929" s="51">
        <v>260127001</v>
      </c>
      <c r="E929" s="21" t="s">
        <v>1788</v>
      </c>
      <c r="F929" s="21" t="s">
        <v>1789</v>
      </c>
      <c r="G929" s="21">
        <v>30</v>
      </c>
      <c r="H929" s="48">
        <v>53</v>
      </c>
      <c r="I929" s="52" t="s">
        <v>57</v>
      </c>
      <c r="J929" s="49" t="s">
        <v>23</v>
      </c>
      <c r="K929" s="23" t="s">
        <v>31</v>
      </c>
      <c r="L929" s="82" t="s">
        <v>893</v>
      </c>
      <c r="M929" s="21" t="s">
        <v>63</v>
      </c>
      <c r="N929" s="37">
        <v>49.94</v>
      </c>
      <c r="O929" s="37">
        <v>11.5</v>
      </c>
      <c r="P929" s="26">
        <f t="shared" si="134"/>
        <v>38.44</v>
      </c>
      <c r="Q929" s="27">
        <v>425</v>
      </c>
      <c r="R929" s="28">
        <f t="shared" si="135"/>
        <v>16336.999999999998</v>
      </c>
      <c r="S929" s="27"/>
      <c r="T929" s="29"/>
      <c r="V929" s="29" t="s">
        <v>24</v>
      </c>
      <c r="W929" s="27">
        <v>145</v>
      </c>
      <c r="X929" s="30">
        <f t="shared" si="131"/>
        <v>5573.7999999999993</v>
      </c>
      <c r="Y929" s="31">
        <v>210</v>
      </c>
      <c r="Z929" s="31">
        <f t="shared" si="132"/>
        <v>8072.4</v>
      </c>
      <c r="AA929" s="29">
        <f t="shared" si="133"/>
        <v>29983.199999999997</v>
      </c>
    </row>
    <row r="930" spans="1:38" s="32" customFormat="1" x14ac:dyDescent="0.25">
      <c r="A930" s="18">
        <v>934</v>
      </c>
      <c r="B930" s="19">
        <v>46048</v>
      </c>
      <c r="C930" s="19">
        <v>46049</v>
      </c>
      <c r="D930" s="51">
        <v>260127002</v>
      </c>
      <c r="E930" s="21" t="s">
        <v>1790</v>
      </c>
      <c r="F930" s="21" t="s">
        <v>1791</v>
      </c>
      <c r="G930" s="21">
        <v>26</v>
      </c>
      <c r="H930" s="48">
        <v>53</v>
      </c>
      <c r="I930" s="52" t="s">
        <v>57</v>
      </c>
      <c r="J930" s="49" t="s">
        <v>23</v>
      </c>
      <c r="K930" s="23" t="s">
        <v>31</v>
      </c>
      <c r="L930" s="25" t="s">
        <v>39</v>
      </c>
      <c r="M930" s="21" t="s">
        <v>63</v>
      </c>
      <c r="N930" s="37">
        <v>46.1</v>
      </c>
      <c r="O930" s="37">
        <v>11.84</v>
      </c>
      <c r="P930" s="26">
        <f t="shared" si="134"/>
        <v>34.260000000000005</v>
      </c>
      <c r="Q930" s="27">
        <v>425</v>
      </c>
      <c r="R930" s="28">
        <f t="shared" si="135"/>
        <v>14560.500000000002</v>
      </c>
      <c r="S930" s="27"/>
      <c r="T930" s="29"/>
      <c r="V930" s="29" t="s">
        <v>24</v>
      </c>
      <c r="W930" s="27">
        <v>145</v>
      </c>
      <c r="X930" s="30">
        <f t="shared" si="131"/>
        <v>4967.7000000000007</v>
      </c>
      <c r="Y930" s="31">
        <v>210</v>
      </c>
      <c r="Z930" s="31">
        <f t="shared" si="132"/>
        <v>7194.6000000000013</v>
      </c>
      <c r="AA930" s="29">
        <f t="shared" si="133"/>
        <v>26722.800000000007</v>
      </c>
    </row>
    <row r="931" spans="1:38" s="38" customFormat="1" x14ac:dyDescent="0.25">
      <c r="A931" s="18">
        <v>935</v>
      </c>
      <c r="B931" s="19">
        <v>46048</v>
      </c>
      <c r="C931" s="19">
        <v>46049</v>
      </c>
      <c r="D931" s="51">
        <v>260127003</v>
      </c>
      <c r="E931" s="21" t="s">
        <v>1792</v>
      </c>
      <c r="F931" s="21" t="s">
        <v>1793</v>
      </c>
      <c r="G931" s="21">
        <v>35</v>
      </c>
      <c r="H931" s="48">
        <v>53</v>
      </c>
      <c r="I931" s="52" t="s">
        <v>57</v>
      </c>
      <c r="J931" s="49" t="s">
        <v>23</v>
      </c>
      <c r="K931" s="23" t="s">
        <v>31</v>
      </c>
      <c r="L931" s="25" t="s">
        <v>534</v>
      </c>
      <c r="M931" s="21" t="s">
        <v>63</v>
      </c>
      <c r="N931" s="37">
        <v>61.78</v>
      </c>
      <c r="O931" s="37">
        <v>15.84</v>
      </c>
      <c r="P931" s="26">
        <f t="shared" si="134"/>
        <v>45.94</v>
      </c>
      <c r="Q931" s="27">
        <v>425</v>
      </c>
      <c r="R931" s="28">
        <f t="shared" si="135"/>
        <v>19524.5</v>
      </c>
      <c r="S931" s="27"/>
      <c r="T931" s="94"/>
      <c r="V931" s="29" t="s">
        <v>24</v>
      </c>
      <c r="W931" s="27">
        <v>145</v>
      </c>
      <c r="X931" s="30">
        <f t="shared" si="131"/>
        <v>6661.2999999999993</v>
      </c>
      <c r="Y931" s="31">
        <v>210</v>
      </c>
      <c r="Z931" s="31">
        <f t="shared" si="132"/>
        <v>9647.4</v>
      </c>
      <c r="AA931" s="29">
        <f t="shared" si="133"/>
        <v>35833.199999999997</v>
      </c>
    </row>
    <row r="932" spans="1:38" s="38" customFormat="1" x14ac:dyDescent="0.25">
      <c r="A932" s="18">
        <v>936</v>
      </c>
      <c r="B932" s="19">
        <v>46048</v>
      </c>
      <c r="C932" s="19">
        <v>46049</v>
      </c>
      <c r="D932" s="51">
        <v>260127004</v>
      </c>
      <c r="E932" s="21" t="s">
        <v>1794</v>
      </c>
      <c r="F932" s="21" t="s">
        <v>1795</v>
      </c>
      <c r="G932" s="21">
        <v>25</v>
      </c>
      <c r="H932" s="48">
        <v>53</v>
      </c>
      <c r="I932" s="52" t="s">
        <v>57</v>
      </c>
      <c r="J932" s="49" t="s">
        <v>23</v>
      </c>
      <c r="K932" s="23" t="s">
        <v>31</v>
      </c>
      <c r="L932" s="25" t="s">
        <v>51</v>
      </c>
      <c r="M932" s="21" t="s">
        <v>63</v>
      </c>
      <c r="N932" s="37">
        <v>46.96</v>
      </c>
      <c r="O932" s="37">
        <v>11.44</v>
      </c>
      <c r="P932" s="26">
        <f t="shared" si="134"/>
        <v>35.520000000000003</v>
      </c>
      <c r="Q932" s="27">
        <v>425</v>
      </c>
      <c r="R932" s="28">
        <f t="shared" si="135"/>
        <v>15096.000000000002</v>
      </c>
      <c r="S932" s="27"/>
      <c r="T932" s="29"/>
      <c r="V932" s="29" t="s">
        <v>24</v>
      </c>
      <c r="W932" s="27">
        <v>145</v>
      </c>
      <c r="X932" s="30">
        <f t="shared" si="131"/>
        <v>5150.4000000000005</v>
      </c>
      <c r="Y932" s="31">
        <v>210</v>
      </c>
      <c r="Z932" s="31">
        <f t="shared" si="132"/>
        <v>7459.2000000000007</v>
      </c>
      <c r="AA932" s="29">
        <f t="shared" si="133"/>
        <v>27705.600000000002</v>
      </c>
    </row>
    <row r="933" spans="1:38" s="38" customFormat="1" x14ac:dyDescent="0.25">
      <c r="A933" s="18">
        <v>937</v>
      </c>
      <c r="B933" s="19">
        <v>46048</v>
      </c>
      <c r="C933" s="19">
        <v>46049</v>
      </c>
      <c r="D933" s="51">
        <v>260127005</v>
      </c>
      <c r="E933" s="21" t="s">
        <v>1796</v>
      </c>
      <c r="F933" s="21" t="s">
        <v>1797</v>
      </c>
      <c r="G933" s="21">
        <v>26</v>
      </c>
      <c r="H933" s="36">
        <v>131</v>
      </c>
      <c r="I933" s="23" t="s">
        <v>1798</v>
      </c>
      <c r="J933" s="24" t="s">
        <v>23</v>
      </c>
      <c r="K933" s="23" t="s">
        <v>31</v>
      </c>
      <c r="L933" s="25" t="s">
        <v>42</v>
      </c>
      <c r="M933" s="21" t="s">
        <v>32</v>
      </c>
      <c r="N933" s="37">
        <v>46.2</v>
      </c>
      <c r="O933" s="37">
        <v>11.72</v>
      </c>
      <c r="P933" s="26">
        <f t="shared" si="134"/>
        <v>34.480000000000004</v>
      </c>
      <c r="Q933" s="27">
        <v>285</v>
      </c>
      <c r="R933" s="28">
        <f t="shared" si="135"/>
        <v>9826.8000000000011</v>
      </c>
      <c r="S933" s="27"/>
      <c r="T933" s="29"/>
      <c r="V933" s="29" t="s">
        <v>24</v>
      </c>
      <c r="W933" s="27">
        <v>145</v>
      </c>
      <c r="X933" s="30">
        <f t="shared" si="131"/>
        <v>4999.6000000000004</v>
      </c>
      <c r="Y933" s="31">
        <v>200</v>
      </c>
      <c r="Z933" s="31">
        <f t="shared" si="132"/>
        <v>6896.0000000000009</v>
      </c>
      <c r="AA933" s="29">
        <f t="shared" si="133"/>
        <v>21722.400000000001</v>
      </c>
    </row>
    <row r="934" spans="1:38" s="32" customFormat="1" x14ac:dyDescent="0.25">
      <c r="A934" s="18">
        <v>938</v>
      </c>
      <c r="B934" s="19">
        <v>46048</v>
      </c>
      <c r="C934" s="19">
        <v>46049</v>
      </c>
      <c r="D934" s="51">
        <v>260127006</v>
      </c>
      <c r="E934" s="21" t="s">
        <v>1799</v>
      </c>
      <c r="F934" s="21" t="s">
        <v>1800</v>
      </c>
      <c r="G934" s="21">
        <v>34</v>
      </c>
      <c r="H934" s="36">
        <v>131</v>
      </c>
      <c r="I934" s="23" t="s">
        <v>1798</v>
      </c>
      <c r="J934" s="24" t="s">
        <v>23</v>
      </c>
      <c r="K934" s="23" t="s">
        <v>31</v>
      </c>
      <c r="L934" s="25" t="s">
        <v>46</v>
      </c>
      <c r="M934" s="21" t="s">
        <v>32</v>
      </c>
      <c r="N934" s="37">
        <v>61.42</v>
      </c>
      <c r="O934" s="37">
        <v>14.86</v>
      </c>
      <c r="P934" s="26">
        <f t="shared" si="134"/>
        <v>46.56</v>
      </c>
      <c r="Q934" s="27">
        <v>285</v>
      </c>
      <c r="R934" s="28">
        <f t="shared" si="135"/>
        <v>13269.6</v>
      </c>
      <c r="S934" s="27"/>
      <c r="T934" s="29"/>
      <c r="V934" s="29" t="s">
        <v>24</v>
      </c>
      <c r="W934" s="27">
        <v>145</v>
      </c>
      <c r="X934" s="30">
        <f t="shared" si="131"/>
        <v>6751.2000000000007</v>
      </c>
      <c r="Y934" s="31">
        <v>200</v>
      </c>
      <c r="Z934" s="31">
        <f t="shared" si="132"/>
        <v>9312</v>
      </c>
      <c r="AA934" s="29">
        <f t="shared" si="133"/>
        <v>29332.800000000003</v>
      </c>
    </row>
    <row r="935" spans="1:38" s="32" customFormat="1" x14ac:dyDescent="0.25">
      <c r="A935" s="18">
        <v>939</v>
      </c>
      <c r="B935" s="19">
        <v>46049</v>
      </c>
      <c r="C935" s="19">
        <v>46049</v>
      </c>
      <c r="D935" s="25">
        <v>260127007</v>
      </c>
      <c r="E935" s="21" t="s">
        <v>1801</v>
      </c>
      <c r="F935" s="21" t="s">
        <v>1802</v>
      </c>
      <c r="G935" s="21">
        <v>29</v>
      </c>
      <c r="H935" s="48">
        <v>53</v>
      </c>
      <c r="I935" s="52" t="s">
        <v>57</v>
      </c>
      <c r="J935" s="49" t="s">
        <v>23</v>
      </c>
      <c r="K935" s="23" t="s">
        <v>31</v>
      </c>
      <c r="L935" s="25" t="s">
        <v>833</v>
      </c>
      <c r="M935" s="21" t="s">
        <v>63</v>
      </c>
      <c r="N935" s="21">
        <v>61.7</v>
      </c>
      <c r="O935" s="21">
        <v>14.8</v>
      </c>
      <c r="P935" s="26">
        <f>N935-O935</f>
        <v>46.900000000000006</v>
      </c>
      <c r="Q935" s="27">
        <v>425</v>
      </c>
      <c r="R935" s="28">
        <f t="shared" si="135"/>
        <v>19932.500000000004</v>
      </c>
      <c r="S935" s="27"/>
      <c r="T935" s="29"/>
      <c r="V935" s="29" t="s">
        <v>24</v>
      </c>
      <c r="W935" s="27">
        <v>145</v>
      </c>
      <c r="X935" s="30">
        <f t="shared" ref="X935:X950" si="136">W935*P935</f>
        <v>6800.5000000000009</v>
      </c>
      <c r="Y935" s="31">
        <v>210</v>
      </c>
      <c r="Z935" s="31">
        <f t="shared" ref="Z935:Z976" si="137">P935*Y935</f>
        <v>9849.0000000000018</v>
      </c>
      <c r="AA935" s="29">
        <f t="shared" ref="AA935:AA959" si="138">R935+X935+Z935</f>
        <v>36582.000000000007</v>
      </c>
    </row>
    <row r="936" spans="1:38" s="32" customFormat="1" x14ac:dyDescent="0.25">
      <c r="A936" s="18">
        <v>940</v>
      </c>
      <c r="B936" s="19">
        <v>46049</v>
      </c>
      <c r="C936" s="19">
        <v>46049</v>
      </c>
      <c r="D936" s="25">
        <v>260127008</v>
      </c>
      <c r="E936" s="21" t="s">
        <v>1803</v>
      </c>
      <c r="F936" s="21" t="s">
        <v>1804</v>
      </c>
      <c r="G936" s="21">
        <v>29</v>
      </c>
      <c r="H936" s="48">
        <v>53</v>
      </c>
      <c r="I936" s="52" t="s">
        <v>57</v>
      </c>
      <c r="J936" s="49" t="s">
        <v>23</v>
      </c>
      <c r="K936" s="23" t="s">
        <v>31</v>
      </c>
      <c r="L936" s="25" t="s">
        <v>835</v>
      </c>
      <c r="M936" s="21" t="s">
        <v>63</v>
      </c>
      <c r="N936" s="83">
        <v>61.62</v>
      </c>
      <c r="O936" s="21">
        <v>15.04</v>
      </c>
      <c r="P936" s="26">
        <f t="shared" ref="P936:P976" si="139">N936-O936</f>
        <v>46.58</v>
      </c>
      <c r="Q936" s="27">
        <v>425</v>
      </c>
      <c r="R936" s="28">
        <f t="shared" si="135"/>
        <v>19796.5</v>
      </c>
      <c r="S936" s="27"/>
      <c r="T936" s="29"/>
      <c r="V936" s="29" t="s">
        <v>24</v>
      </c>
      <c r="W936" s="27">
        <v>145</v>
      </c>
      <c r="X936" s="30">
        <f t="shared" si="136"/>
        <v>6754.0999999999995</v>
      </c>
      <c r="Y936" s="31">
        <v>210</v>
      </c>
      <c r="Z936" s="31">
        <f t="shared" si="137"/>
        <v>9781.7999999999993</v>
      </c>
      <c r="AA936" s="29">
        <f t="shared" si="138"/>
        <v>36332.399999999994</v>
      </c>
    </row>
    <row r="937" spans="1:38" s="32" customFormat="1" x14ac:dyDescent="0.25">
      <c r="A937" s="18">
        <v>941</v>
      </c>
      <c r="B937" s="19">
        <v>46049</v>
      </c>
      <c r="C937" s="19">
        <v>46049</v>
      </c>
      <c r="D937" s="25">
        <v>260127009</v>
      </c>
      <c r="E937" s="21" t="s">
        <v>1805</v>
      </c>
      <c r="F937" s="21" t="s">
        <v>1806</v>
      </c>
      <c r="G937" s="21">
        <v>30</v>
      </c>
      <c r="H937" s="48">
        <v>53</v>
      </c>
      <c r="I937" s="52" t="s">
        <v>57</v>
      </c>
      <c r="J937" s="49" t="s">
        <v>23</v>
      </c>
      <c r="K937" s="23" t="s">
        <v>31</v>
      </c>
      <c r="L937" s="82" t="s">
        <v>925</v>
      </c>
      <c r="M937" s="21" t="s">
        <v>63</v>
      </c>
      <c r="N937" s="21">
        <v>62.58</v>
      </c>
      <c r="O937" s="21">
        <v>14.82</v>
      </c>
      <c r="P937" s="26">
        <f t="shared" si="139"/>
        <v>47.76</v>
      </c>
      <c r="Q937" s="27">
        <v>425</v>
      </c>
      <c r="R937" s="28">
        <f t="shared" si="135"/>
        <v>20298</v>
      </c>
      <c r="S937" s="27"/>
      <c r="T937" s="29"/>
      <c r="V937" s="29" t="s">
        <v>24</v>
      </c>
      <c r="W937" s="27">
        <v>145</v>
      </c>
      <c r="X937" s="30">
        <f t="shared" si="136"/>
        <v>6925.2</v>
      </c>
      <c r="Y937" s="31">
        <v>210</v>
      </c>
      <c r="Z937" s="31">
        <f t="shared" si="137"/>
        <v>10029.6</v>
      </c>
      <c r="AA937" s="29">
        <f t="shared" si="138"/>
        <v>37252.800000000003</v>
      </c>
    </row>
    <row r="938" spans="1:38" s="38" customFormat="1" x14ac:dyDescent="0.25">
      <c r="A938" s="18">
        <v>942</v>
      </c>
      <c r="B938" s="19">
        <v>46049</v>
      </c>
      <c r="C938" s="19">
        <v>46049</v>
      </c>
      <c r="D938" s="25">
        <v>260127010</v>
      </c>
      <c r="E938" s="21" t="s">
        <v>1807</v>
      </c>
      <c r="F938" s="21" t="s">
        <v>1808</v>
      </c>
      <c r="G938" s="21">
        <v>43</v>
      </c>
      <c r="H938" s="36">
        <v>130</v>
      </c>
      <c r="I938" s="23" t="s">
        <v>1499</v>
      </c>
      <c r="J938" s="24" t="s">
        <v>23</v>
      </c>
      <c r="K938" s="23" t="s">
        <v>31</v>
      </c>
      <c r="L938" s="25" t="s">
        <v>1500</v>
      </c>
      <c r="M938" s="21" t="s">
        <v>32</v>
      </c>
      <c r="N938" s="21">
        <v>58.88</v>
      </c>
      <c r="O938" s="37">
        <v>15.46</v>
      </c>
      <c r="P938" s="26">
        <f t="shared" si="139"/>
        <v>43.42</v>
      </c>
      <c r="Q938" s="27">
        <v>300</v>
      </c>
      <c r="R938" s="28">
        <f t="shared" si="135"/>
        <v>13026</v>
      </c>
      <c r="S938" s="27"/>
      <c r="T938" s="29"/>
      <c r="V938" s="29" t="s">
        <v>253</v>
      </c>
      <c r="W938" s="27">
        <v>150</v>
      </c>
      <c r="X938" s="30">
        <f t="shared" si="136"/>
        <v>6513</v>
      </c>
      <c r="Y938" s="31"/>
      <c r="Z938" s="31">
        <f t="shared" si="137"/>
        <v>0</v>
      </c>
      <c r="AA938" s="29">
        <f t="shared" si="138"/>
        <v>19539</v>
      </c>
    </row>
    <row r="939" spans="1:38" s="32" customFormat="1" x14ac:dyDescent="0.25">
      <c r="A939" s="18">
        <v>943</v>
      </c>
      <c r="B939" s="19">
        <v>46049</v>
      </c>
      <c r="C939" s="19">
        <v>46049</v>
      </c>
      <c r="D939" s="25">
        <v>260127011</v>
      </c>
      <c r="E939" s="21" t="s">
        <v>1809</v>
      </c>
      <c r="F939" s="21" t="s">
        <v>1810</v>
      </c>
      <c r="G939" s="21">
        <v>60</v>
      </c>
      <c r="H939" s="48">
        <v>53</v>
      </c>
      <c r="I939" s="52" t="s">
        <v>57</v>
      </c>
      <c r="J939" s="49" t="s">
        <v>23</v>
      </c>
      <c r="K939" s="23" t="s">
        <v>31</v>
      </c>
      <c r="L939" s="25" t="s">
        <v>206</v>
      </c>
      <c r="M939" s="21" t="s">
        <v>63</v>
      </c>
      <c r="N939" s="37">
        <v>77.28</v>
      </c>
      <c r="O939" s="21">
        <v>17.18</v>
      </c>
      <c r="P939" s="26">
        <f t="shared" si="139"/>
        <v>60.1</v>
      </c>
      <c r="Q939" s="27">
        <v>425</v>
      </c>
      <c r="R939" s="28">
        <f t="shared" si="135"/>
        <v>25542.5</v>
      </c>
      <c r="S939" s="27"/>
      <c r="T939" s="29"/>
      <c r="V939" s="29" t="s">
        <v>24</v>
      </c>
      <c r="W939" s="27">
        <v>145</v>
      </c>
      <c r="X939" s="30">
        <f t="shared" si="136"/>
        <v>8714.5</v>
      </c>
      <c r="Y939" s="31">
        <v>210</v>
      </c>
      <c r="Z939" s="31">
        <f t="shared" si="137"/>
        <v>12621</v>
      </c>
      <c r="AA939" s="29">
        <f t="shared" si="138"/>
        <v>46878</v>
      </c>
    </row>
    <row r="940" spans="1:38" s="32" customFormat="1" x14ac:dyDescent="0.25">
      <c r="A940" s="18">
        <v>944</v>
      </c>
      <c r="B940" s="19">
        <v>46049</v>
      </c>
      <c r="C940" s="19">
        <v>46049</v>
      </c>
      <c r="D940" s="25">
        <v>260127012</v>
      </c>
      <c r="E940" s="21" t="s">
        <v>1811</v>
      </c>
      <c r="F940" s="21" t="s">
        <v>1812</v>
      </c>
      <c r="G940" s="21">
        <v>46</v>
      </c>
      <c r="H940" s="48">
        <v>84</v>
      </c>
      <c r="I940" s="71" t="s">
        <v>941</v>
      </c>
      <c r="J940" s="49" t="s">
        <v>23</v>
      </c>
      <c r="K940" s="23" t="s">
        <v>31</v>
      </c>
      <c r="L940" s="25" t="s">
        <v>36</v>
      </c>
      <c r="M940" s="21" t="s">
        <v>34</v>
      </c>
      <c r="N940" s="37">
        <v>62.38</v>
      </c>
      <c r="O940" s="37">
        <v>15.78</v>
      </c>
      <c r="P940" s="26">
        <f t="shared" si="139"/>
        <v>46.6</v>
      </c>
      <c r="Q940" s="27">
        <v>515</v>
      </c>
      <c r="R940" s="28">
        <f t="shared" si="135"/>
        <v>23999</v>
      </c>
      <c r="S940" s="27"/>
      <c r="T940" s="29"/>
      <c r="V940" s="29" t="s">
        <v>24</v>
      </c>
      <c r="W940" s="27">
        <v>145</v>
      </c>
      <c r="X940" s="30">
        <f t="shared" si="136"/>
        <v>6757</v>
      </c>
      <c r="Y940" s="31">
        <v>210</v>
      </c>
      <c r="Z940" s="31">
        <f t="shared" si="137"/>
        <v>9786</v>
      </c>
      <c r="AA940" s="29">
        <f t="shared" si="138"/>
        <v>40542</v>
      </c>
    </row>
    <row r="941" spans="1:38" s="32" customFormat="1" x14ac:dyDescent="0.25">
      <c r="A941" s="18">
        <v>945</v>
      </c>
      <c r="B941" s="19">
        <v>46049</v>
      </c>
      <c r="C941" s="19">
        <v>46049</v>
      </c>
      <c r="D941" s="25">
        <v>260127013</v>
      </c>
      <c r="E941" s="21" t="s">
        <v>1813</v>
      </c>
      <c r="F941" s="21" t="s">
        <v>1814</v>
      </c>
      <c r="G941" s="21">
        <v>49</v>
      </c>
      <c r="H941" s="48">
        <v>84</v>
      </c>
      <c r="I941" s="71" t="s">
        <v>941</v>
      </c>
      <c r="J941" s="24" t="s">
        <v>23</v>
      </c>
      <c r="K941" s="23" t="s">
        <v>31</v>
      </c>
      <c r="L941" s="27" t="s">
        <v>55</v>
      </c>
      <c r="M941" s="27" t="s">
        <v>32</v>
      </c>
      <c r="N941" s="37">
        <v>67.88</v>
      </c>
      <c r="O941" s="37">
        <v>18.66</v>
      </c>
      <c r="P941" s="26">
        <f t="shared" si="139"/>
        <v>49.22</v>
      </c>
      <c r="Q941" s="27">
        <v>295</v>
      </c>
      <c r="R941" s="28">
        <f t="shared" si="135"/>
        <v>14519.9</v>
      </c>
      <c r="S941" s="27"/>
      <c r="T941" s="29"/>
      <c r="V941" s="29" t="s">
        <v>24</v>
      </c>
      <c r="W941" s="27">
        <v>145</v>
      </c>
      <c r="X941" s="30">
        <f t="shared" si="136"/>
        <v>7136.9</v>
      </c>
      <c r="Y941" s="31">
        <v>210</v>
      </c>
      <c r="Z941" s="31">
        <f t="shared" si="137"/>
        <v>10336.199999999999</v>
      </c>
      <c r="AA941" s="29">
        <f t="shared" si="138"/>
        <v>31993</v>
      </c>
    </row>
    <row r="942" spans="1:38" s="32" customFormat="1" x14ac:dyDescent="0.25">
      <c r="A942" s="18">
        <v>946</v>
      </c>
      <c r="B942" s="19">
        <v>46049</v>
      </c>
      <c r="C942" s="19">
        <v>46049</v>
      </c>
      <c r="D942" s="25">
        <v>260127014</v>
      </c>
      <c r="E942" s="21" t="s">
        <v>1815</v>
      </c>
      <c r="F942" s="21" t="s">
        <v>1816</v>
      </c>
      <c r="G942" s="21">
        <v>38</v>
      </c>
      <c r="H942" s="48">
        <v>42</v>
      </c>
      <c r="I942" s="23" t="s">
        <v>44</v>
      </c>
      <c r="J942" s="49" t="s">
        <v>23</v>
      </c>
      <c r="K942" s="23" t="s">
        <v>31</v>
      </c>
      <c r="L942" s="25" t="s">
        <v>40</v>
      </c>
      <c r="M942" s="21" t="s">
        <v>35</v>
      </c>
      <c r="N942" s="37">
        <v>50.36</v>
      </c>
      <c r="O942" s="37">
        <v>11.46</v>
      </c>
      <c r="P942" s="26">
        <f t="shared" si="139"/>
        <v>38.9</v>
      </c>
      <c r="Q942" s="27">
        <v>495</v>
      </c>
      <c r="R942" s="28">
        <f t="shared" si="135"/>
        <v>19255.5</v>
      </c>
      <c r="S942" s="27"/>
      <c r="T942" s="29"/>
      <c r="V942" s="29" t="s">
        <v>24</v>
      </c>
      <c r="W942" s="27">
        <v>145</v>
      </c>
      <c r="X942" s="30">
        <f t="shared" si="136"/>
        <v>5640.5</v>
      </c>
      <c r="Y942" s="31">
        <v>260</v>
      </c>
      <c r="Z942" s="31">
        <f t="shared" si="137"/>
        <v>10114</v>
      </c>
      <c r="AA942" s="29">
        <f t="shared" si="138"/>
        <v>35010</v>
      </c>
      <c r="AB942" s="40"/>
      <c r="AC942" s="39"/>
      <c r="AD942" s="41"/>
      <c r="AE942" s="42"/>
      <c r="AF942" s="39"/>
      <c r="AG942" s="42"/>
      <c r="AH942" s="39"/>
      <c r="AI942" s="41"/>
      <c r="AJ942" s="39"/>
      <c r="AK942" s="41"/>
      <c r="AL942" s="41"/>
    </row>
    <row r="943" spans="1:38" s="32" customFormat="1" x14ac:dyDescent="0.25">
      <c r="A943" s="18">
        <v>947</v>
      </c>
      <c r="B943" s="19">
        <v>46049</v>
      </c>
      <c r="C943" s="19">
        <v>46049</v>
      </c>
      <c r="D943" s="25">
        <v>260127015</v>
      </c>
      <c r="E943" s="21" t="s">
        <v>1817</v>
      </c>
      <c r="F943" s="21" t="s">
        <v>1818</v>
      </c>
      <c r="G943" s="21">
        <v>34</v>
      </c>
      <c r="H943" s="48">
        <v>42</v>
      </c>
      <c r="I943" s="23" t="s">
        <v>44</v>
      </c>
      <c r="J943" s="49" t="s">
        <v>23</v>
      </c>
      <c r="K943" s="23" t="s">
        <v>31</v>
      </c>
      <c r="L943" s="25" t="s">
        <v>42</v>
      </c>
      <c r="M943" s="21" t="s">
        <v>34</v>
      </c>
      <c r="N943" s="37">
        <v>46.28</v>
      </c>
      <c r="O943" s="37">
        <v>11.68</v>
      </c>
      <c r="P943" s="26">
        <f t="shared" si="139"/>
        <v>34.6</v>
      </c>
      <c r="Q943" s="27">
        <v>545</v>
      </c>
      <c r="R943" s="28">
        <f t="shared" si="135"/>
        <v>18857</v>
      </c>
      <c r="S943" s="27"/>
      <c r="T943" s="29"/>
      <c r="V943" s="29" t="s">
        <v>24</v>
      </c>
      <c r="W943" s="27">
        <v>145</v>
      </c>
      <c r="X943" s="30">
        <f t="shared" si="136"/>
        <v>5017</v>
      </c>
      <c r="Y943" s="31">
        <v>260</v>
      </c>
      <c r="Z943" s="31">
        <f t="shared" si="137"/>
        <v>8996</v>
      </c>
      <c r="AA943" s="29">
        <f t="shared" si="138"/>
        <v>32870</v>
      </c>
    </row>
    <row r="944" spans="1:38" s="32" customFormat="1" x14ac:dyDescent="0.25">
      <c r="A944" s="18">
        <v>948</v>
      </c>
      <c r="B944" s="19">
        <v>46049</v>
      </c>
      <c r="C944" s="19">
        <v>46049</v>
      </c>
      <c r="D944" s="25">
        <v>260127017</v>
      </c>
      <c r="E944" s="21" t="s">
        <v>1819</v>
      </c>
      <c r="F944" s="21" t="s">
        <v>1820</v>
      </c>
      <c r="G944" s="21">
        <v>55</v>
      </c>
      <c r="H944" s="48">
        <v>42</v>
      </c>
      <c r="I944" s="23" t="s">
        <v>44</v>
      </c>
      <c r="J944" s="49" t="s">
        <v>23</v>
      </c>
      <c r="K944" s="23" t="s">
        <v>31</v>
      </c>
      <c r="L944" s="82" t="s">
        <v>46</v>
      </c>
      <c r="M944" s="21" t="s">
        <v>35</v>
      </c>
      <c r="N944" s="37">
        <v>70.2</v>
      </c>
      <c r="O944" s="37">
        <v>14.94</v>
      </c>
      <c r="P944" s="26">
        <f t="shared" si="139"/>
        <v>55.260000000000005</v>
      </c>
      <c r="Q944" s="27">
        <v>495</v>
      </c>
      <c r="R944" s="28">
        <f t="shared" si="135"/>
        <v>27353.7</v>
      </c>
      <c r="S944" s="27"/>
      <c r="T944" s="29"/>
      <c r="V944" s="29" t="s">
        <v>24</v>
      </c>
      <c r="W944" s="27">
        <v>145</v>
      </c>
      <c r="X944" s="30">
        <f t="shared" si="136"/>
        <v>8012.7000000000007</v>
      </c>
      <c r="Y944" s="31">
        <v>260</v>
      </c>
      <c r="Z944" s="31">
        <f t="shared" si="137"/>
        <v>14367.600000000002</v>
      </c>
      <c r="AA944" s="29">
        <f t="shared" si="138"/>
        <v>49734</v>
      </c>
    </row>
    <row r="945" spans="1:27" s="32" customFormat="1" x14ac:dyDescent="0.25">
      <c r="A945" s="18">
        <v>949</v>
      </c>
      <c r="B945" s="19">
        <v>46049</v>
      </c>
      <c r="C945" s="19">
        <v>46049</v>
      </c>
      <c r="D945" s="25">
        <v>260127018</v>
      </c>
      <c r="E945" s="21"/>
      <c r="F945" s="21" t="s">
        <v>1821</v>
      </c>
      <c r="G945" s="21">
        <v>41</v>
      </c>
      <c r="H945" s="33">
        <v>244</v>
      </c>
      <c r="I945" s="23" t="s">
        <v>703</v>
      </c>
      <c r="J945" s="24" t="s">
        <v>23</v>
      </c>
      <c r="K945" s="23" t="s">
        <v>31</v>
      </c>
      <c r="L945" s="25" t="s">
        <v>662</v>
      </c>
      <c r="M945" s="21" t="s">
        <v>34</v>
      </c>
      <c r="N945" s="37">
        <v>55.46</v>
      </c>
      <c r="O945" s="37">
        <v>13.86</v>
      </c>
      <c r="P945" s="26">
        <f t="shared" si="139"/>
        <v>41.6</v>
      </c>
      <c r="Q945" s="27">
        <v>520</v>
      </c>
      <c r="R945" s="28">
        <f t="shared" si="135"/>
        <v>21632</v>
      </c>
      <c r="S945" s="27"/>
      <c r="T945" s="29"/>
      <c r="V945" s="29" t="s">
        <v>45</v>
      </c>
      <c r="W945" s="27"/>
      <c r="X945" s="30">
        <f t="shared" si="136"/>
        <v>0</v>
      </c>
      <c r="Y945" s="31"/>
      <c r="Z945" s="31">
        <f t="shared" si="137"/>
        <v>0</v>
      </c>
      <c r="AA945" s="29">
        <f t="shared" si="138"/>
        <v>21632</v>
      </c>
    </row>
    <row r="946" spans="1:27" s="38" customFormat="1" x14ac:dyDescent="0.25">
      <c r="A946" s="18">
        <v>950</v>
      </c>
      <c r="B946" s="19">
        <v>46049</v>
      </c>
      <c r="C946" s="19">
        <v>46049</v>
      </c>
      <c r="D946" s="25">
        <v>260127019</v>
      </c>
      <c r="E946" s="21" t="s">
        <v>1822</v>
      </c>
      <c r="F946" s="21" t="s">
        <v>1823</v>
      </c>
      <c r="G946" s="21">
        <v>45</v>
      </c>
      <c r="H946" s="48">
        <v>84</v>
      </c>
      <c r="I946" s="71" t="s">
        <v>941</v>
      </c>
      <c r="J946" s="24" t="s">
        <v>23</v>
      </c>
      <c r="K946" s="23" t="s">
        <v>31</v>
      </c>
      <c r="L946" s="25" t="s">
        <v>41</v>
      </c>
      <c r="M946" s="21" t="s">
        <v>34</v>
      </c>
      <c r="N946" s="37">
        <v>61.3</v>
      </c>
      <c r="O946" s="37">
        <v>15.7</v>
      </c>
      <c r="P946" s="26">
        <f t="shared" si="139"/>
        <v>45.599999999999994</v>
      </c>
      <c r="Q946" s="27">
        <v>515</v>
      </c>
      <c r="R946" s="28">
        <f t="shared" si="135"/>
        <v>23483.999999999996</v>
      </c>
      <c r="S946" s="27"/>
      <c r="T946" s="94"/>
      <c r="V946" s="29" t="s">
        <v>24</v>
      </c>
      <c r="W946" s="27">
        <v>145</v>
      </c>
      <c r="X946" s="30">
        <f t="shared" si="136"/>
        <v>6611.9999999999991</v>
      </c>
      <c r="Y946" s="31">
        <v>210</v>
      </c>
      <c r="Z946" s="31">
        <f t="shared" si="137"/>
        <v>9575.9999999999982</v>
      </c>
      <c r="AA946" s="29">
        <f t="shared" si="138"/>
        <v>39671.999999999993</v>
      </c>
    </row>
    <row r="947" spans="1:27" s="38" customFormat="1" x14ac:dyDescent="0.25">
      <c r="A947" s="18">
        <v>951</v>
      </c>
      <c r="B947" s="19">
        <v>46049</v>
      </c>
      <c r="C947" s="19">
        <v>46049</v>
      </c>
      <c r="D947" s="25" t="s">
        <v>1824</v>
      </c>
      <c r="E947" s="21"/>
      <c r="F947" s="21"/>
      <c r="G947" s="21"/>
      <c r="H947" s="66"/>
      <c r="I947" s="52" t="s">
        <v>1825</v>
      </c>
      <c r="J947" s="49" t="s">
        <v>23</v>
      </c>
      <c r="K947" s="23" t="s">
        <v>31</v>
      </c>
      <c r="L947" s="25" t="s">
        <v>1826</v>
      </c>
      <c r="M947" s="21" t="s">
        <v>34</v>
      </c>
      <c r="N947" s="37">
        <v>8.48</v>
      </c>
      <c r="O947" s="37">
        <v>3.36</v>
      </c>
      <c r="P947" s="26">
        <f t="shared" si="139"/>
        <v>5.120000000000001</v>
      </c>
      <c r="Q947" s="27">
        <v>500</v>
      </c>
      <c r="R947" s="28">
        <f t="shared" si="135"/>
        <v>2560.0000000000005</v>
      </c>
      <c r="S947" s="27"/>
      <c r="T947" s="29"/>
      <c r="V947" s="29" t="s">
        <v>24</v>
      </c>
      <c r="W947" s="27"/>
      <c r="X947" s="30">
        <f t="shared" si="136"/>
        <v>0</v>
      </c>
      <c r="Y947" s="31"/>
      <c r="Z947" s="31">
        <f t="shared" si="137"/>
        <v>0</v>
      </c>
      <c r="AA947" s="29">
        <f t="shared" si="138"/>
        <v>2560.0000000000005</v>
      </c>
    </row>
    <row r="948" spans="1:27" s="38" customFormat="1" x14ac:dyDescent="0.25">
      <c r="A948" s="18">
        <v>952</v>
      </c>
      <c r="B948" s="19">
        <v>46049</v>
      </c>
      <c r="C948" s="19">
        <v>46049</v>
      </c>
      <c r="D948" s="25" t="s">
        <v>1827</v>
      </c>
      <c r="E948" s="21"/>
      <c r="F948" s="21"/>
      <c r="G948" s="21"/>
      <c r="H948" s="33">
        <v>437</v>
      </c>
      <c r="I948" s="76" t="s">
        <v>251</v>
      </c>
      <c r="J948" s="24" t="s">
        <v>23</v>
      </c>
      <c r="K948" s="23" t="s">
        <v>30</v>
      </c>
      <c r="L948" s="25" t="s">
        <v>252</v>
      </c>
      <c r="M948" s="21" t="s">
        <v>34</v>
      </c>
      <c r="N948" s="37">
        <v>8.8800000000000008</v>
      </c>
      <c r="O948" s="37">
        <v>3.62</v>
      </c>
      <c r="P948" s="26">
        <f t="shared" si="139"/>
        <v>5.2600000000000007</v>
      </c>
      <c r="Q948" s="27">
        <v>540</v>
      </c>
      <c r="R948" s="28">
        <f t="shared" si="135"/>
        <v>2840.4000000000005</v>
      </c>
      <c r="S948" s="27">
        <v>2840</v>
      </c>
      <c r="T948" s="29"/>
      <c r="V948" s="29" t="s">
        <v>253</v>
      </c>
      <c r="W948" s="27"/>
      <c r="X948" s="30">
        <f t="shared" si="136"/>
        <v>0</v>
      </c>
      <c r="Y948" s="31"/>
      <c r="Z948" s="31">
        <f t="shared" si="137"/>
        <v>0</v>
      </c>
      <c r="AA948" s="29">
        <f t="shared" si="138"/>
        <v>2840.4000000000005</v>
      </c>
    </row>
    <row r="949" spans="1:27" s="32" customFormat="1" x14ac:dyDescent="0.25">
      <c r="A949" s="18">
        <v>953</v>
      </c>
      <c r="B949" s="19">
        <v>46049</v>
      </c>
      <c r="C949" s="19">
        <v>46049</v>
      </c>
      <c r="D949" s="25">
        <v>260127020</v>
      </c>
      <c r="E949" s="21" t="s">
        <v>1828</v>
      </c>
      <c r="F949" s="21" t="s">
        <v>1829</v>
      </c>
      <c r="G949" s="21">
        <v>38</v>
      </c>
      <c r="H949" s="48">
        <v>42</v>
      </c>
      <c r="I949" s="23" t="s">
        <v>44</v>
      </c>
      <c r="J949" s="49" t="s">
        <v>23</v>
      </c>
      <c r="K949" s="23" t="s">
        <v>31</v>
      </c>
      <c r="L949" s="25" t="s">
        <v>39</v>
      </c>
      <c r="M949" s="21" t="s">
        <v>35</v>
      </c>
      <c r="N949" s="37">
        <v>50.56</v>
      </c>
      <c r="O949" s="37">
        <v>11.88</v>
      </c>
      <c r="P949" s="26">
        <f t="shared" si="139"/>
        <v>38.68</v>
      </c>
      <c r="Q949" s="27">
        <v>470</v>
      </c>
      <c r="R949" s="28">
        <f t="shared" si="135"/>
        <v>18179.599999999999</v>
      </c>
      <c r="S949" s="27"/>
      <c r="T949" s="29"/>
      <c r="V949" s="29" t="s">
        <v>24</v>
      </c>
      <c r="W949" s="27">
        <v>145</v>
      </c>
      <c r="X949" s="30">
        <f t="shared" si="136"/>
        <v>5608.6</v>
      </c>
      <c r="Y949" s="31">
        <v>260</v>
      </c>
      <c r="Z949" s="31">
        <f t="shared" si="137"/>
        <v>10056.799999999999</v>
      </c>
      <c r="AA949" s="29">
        <f t="shared" si="138"/>
        <v>33845</v>
      </c>
    </row>
    <row r="950" spans="1:27" s="32" customFormat="1" x14ac:dyDescent="0.25">
      <c r="A950" s="18">
        <v>954</v>
      </c>
      <c r="B950" s="19">
        <v>46049</v>
      </c>
      <c r="C950" s="19">
        <v>46049</v>
      </c>
      <c r="D950" s="25">
        <v>260127021</v>
      </c>
      <c r="E950" s="21" t="s">
        <v>1830</v>
      </c>
      <c r="F950" s="21" t="s">
        <v>1831</v>
      </c>
      <c r="G950" s="21">
        <v>33</v>
      </c>
      <c r="H950" s="48">
        <v>42</v>
      </c>
      <c r="I950" s="23" t="s">
        <v>44</v>
      </c>
      <c r="J950" s="49" t="s">
        <v>23</v>
      </c>
      <c r="K950" s="23" t="s">
        <v>31</v>
      </c>
      <c r="L950" s="25" t="s">
        <v>51</v>
      </c>
      <c r="M950" s="21" t="s">
        <v>32</v>
      </c>
      <c r="N950" s="37">
        <v>45</v>
      </c>
      <c r="O950" s="37">
        <v>11.52</v>
      </c>
      <c r="P950" s="26">
        <f t="shared" si="139"/>
        <v>33.480000000000004</v>
      </c>
      <c r="Q950" s="27">
        <v>285</v>
      </c>
      <c r="R950" s="28">
        <f t="shared" si="135"/>
        <v>9541.8000000000011</v>
      </c>
      <c r="S950" s="27"/>
      <c r="T950" s="29"/>
      <c r="V950" s="29" t="s">
        <v>24</v>
      </c>
      <c r="W950" s="27">
        <v>145</v>
      </c>
      <c r="X950" s="30">
        <f t="shared" si="136"/>
        <v>4854.6000000000004</v>
      </c>
      <c r="Y950" s="31">
        <v>260</v>
      </c>
      <c r="Z950" s="31">
        <f t="shared" si="137"/>
        <v>8704.8000000000011</v>
      </c>
      <c r="AA950" s="29">
        <f t="shared" si="138"/>
        <v>23101.200000000004</v>
      </c>
    </row>
    <row r="951" spans="1:27" s="32" customFormat="1" x14ac:dyDescent="0.25">
      <c r="A951" s="18">
        <v>955</v>
      </c>
      <c r="B951" s="19">
        <v>46049</v>
      </c>
      <c r="C951" s="19">
        <v>46049</v>
      </c>
      <c r="D951" s="25">
        <v>260127022</v>
      </c>
      <c r="E951" s="21"/>
      <c r="F951" s="21" t="s">
        <v>1832</v>
      </c>
      <c r="G951" s="21">
        <v>45</v>
      </c>
      <c r="H951" s="33">
        <v>244</v>
      </c>
      <c r="I951" s="23" t="s">
        <v>703</v>
      </c>
      <c r="J951" s="24" t="s">
        <v>23</v>
      </c>
      <c r="K951" s="23" t="s">
        <v>31</v>
      </c>
      <c r="L951" s="25" t="s">
        <v>704</v>
      </c>
      <c r="M951" s="21" t="s">
        <v>34</v>
      </c>
      <c r="N951" s="37">
        <v>60.28</v>
      </c>
      <c r="O951" s="37">
        <v>15.18</v>
      </c>
      <c r="P951" s="26">
        <f t="shared" si="139"/>
        <v>45.1</v>
      </c>
      <c r="Q951" s="27">
        <v>520</v>
      </c>
      <c r="R951" s="28">
        <f t="shared" si="135"/>
        <v>23452</v>
      </c>
      <c r="S951" s="27"/>
      <c r="T951" s="29"/>
      <c r="V951" s="29" t="s">
        <v>45</v>
      </c>
      <c r="W951" s="27"/>
      <c r="X951" s="30">
        <f t="shared" ref="X951:X976" si="140">P951*W951</f>
        <v>0</v>
      </c>
      <c r="Y951" s="31"/>
      <c r="Z951" s="31">
        <f t="shared" si="137"/>
        <v>0</v>
      </c>
      <c r="AA951" s="29">
        <f t="shared" si="138"/>
        <v>23452</v>
      </c>
    </row>
    <row r="952" spans="1:27" s="38" customFormat="1" x14ac:dyDescent="0.25">
      <c r="A952" s="18">
        <v>956</v>
      </c>
      <c r="B952" s="19">
        <v>46049</v>
      </c>
      <c r="C952" s="19">
        <v>46049</v>
      </c>
      <c r="D952" s="25">
        <v>260127023</v>
      </c>
      <c r="E952" s="21" t="s">
        <v>1833</v>
      </c>
      <c r="F952" s="21" t="s">
        <v>1834</v>
      </c>
      <c r="G952" s="21">
        <v>41</v>
      </c>
      <c r="H952" s="36">
        <v>130</v>
      </c>
      <c r="I952" s="23" t="s">
        <v>1499</v>
      </c>
      <c r="J952" s="24" t="s">
        <v>23</v>
      </c>
      <c r="K952" s="23" t="s">
        <v>31</v>
      </c>
      <c r="L952" s="25" t="s">
        <v>1500</v>
      </c>
      <c r="M952" s="21" t="s">
        <v>34</v>
      </c>
      <c r="N952" s="37">
        <v>56.92</v>
      </c>
      <c r="O952" s="37">
        <v>15.46</v>
      </c>
      <c r="P952" s="26">
        <f t="shared" si="139"/>
        <v>41.46</v>
      </c>
      <c r="Q952" s="27">
        <v>520</v>
      </c>
      <c r="R952" s="28">
        <f t="shared" si="135"/>
        <v>21559.200000000001</v>
      </c>
      <c r="S952" s="27"/>
      <c r="T952" s="29"/>
      <c r="V952" s="29" t="s">
        <v>253</v>
      </c>
      <c r="W952" s="27">
        <v>150</v>
      </c>
      <c r="X952" s="30">
        <f t="shared" si="140"/>
        <v>6219</v>
      </c>
      <c r="Y952" s="31"/>
      <c r="Z952" s="31">
        <f t="shared" si="137"/>
        <v>0</v>
      </c>
      <c r="AA952" s="29">
        <f t="shared" si="138"/>
        <v>27778.2</v>
      </c>
    </row>
    <row r="953" spans="1:27" s="38" customFormat="1" x14ac:dyDescent="0.25">
      <c r="A953" s="18">
        <v>957</v>
      </c>
      <c r="B953" s="19">
        <v>46049</v>
      </c>
      <c r="C953" s="19">
        <v>46049</v>
      </c>
      <c r="D953" s="25">
        <v>260127024</v>
      </c>
      <c r="E953" s="21" t="s">
        <v>1835</v>
      </c>
      <c r="F953" s="21" t="s">
        <v>1836</v>
      </c>
      <c r="G953" s="21">
        <v>47</v>
      </c>
      <c r="H953" s="48">
        <v>42</v>
      </c>
      <c r="I953" s="23" t="s">
        <v>44</v>
      </c>
      <c r="J953" s="49" t="s">
        <v>23</v>
      </c>
      <c r="K953" s="23" t="s">
        <v>31</v>
      </c>
      <c r="L953" s="25" t="s">
        <v>1381</v>
      </c>
      <c r="M953" s="21" t="s">
        <v>34</v>
      </c>
      <c r="N953" s="37">
        <v>65.88</v>
      </c>
      <c r="O953" s="37">
        <v>18.600000000000001</v>
      </c>
      <c r="P953" s="26">
        <f t="shared" si="139"/>
        <v>47.279999999999994</v>
      </c>
      <c r="Q953" s="27">
        <v>535</v>
      </c>
      <c r="R953" s="28">
        <f t="shared" si="135"/>
        <v>25294.799999999996</v>
      </c>
      <c r="S953" s="27"/>
      <c r="T953" s="29"/>
      <c r="V953" s="29" t="s">
        <v>24</v>
      </c>
      <c r="W953" s="27">
        <v>145</v>
      </c>
      <c r="X953" s="30">
        <f t="shared" si="140"/>
        <v>6855.5999999999995</v>
      </c>
      <c r="Y953" s="31">
        <v>260</v>
      </c>
      <c r="Z953" s="31">
        <f t="shared" si="137"/>
        <v>12292.8</v>
      </c>
      <c r="AA953" s="29">
        <f t="shared" si="138"/>
        <v>44443.199999999997</v>
      </c>
    </row>
    <row r="954" spans="1:27" s="32" customFormat="1" x14ac:dyDescent="0.25">
      <c r="A954" s="18">
        <v>958</v>
      </c>
      <c r="B954" s="19">
        <v>46049</v>
      </c>
      <c r="C954" s="19">
        <v>46049</v>
      </c>
      <c r="D954" s="25" t="s">
        <v>1837</v>
      </c>
      <c r="E954" s="21"/>
      <c r="F954" s="21"/>
      <c r="G954" s="21"/>
      <c r="H954" s="62"/>
      <c r="I954" s="52" t="s">
        <v>1825</v>
      </c>
      <c r="J954" s="49" t="s">
        <v>23</v>
      </c>
      <c r="K954" s="23" t="s">
        <v>31</v>
      </c>
      <c r="L954" s="25" t="s">
        <v>1826</v>
      </c>
      <c r="M954" s="21" t="s">
        <v>34</v>
      </c>
      <c r="N954" s="37">
        <v>7.28</v>
      </c>
      <c r="O954" s="37">
        <v>3.36</v>
      </c>
      <c r="P954" s="26">
        <f t="shared" si="139"/>
        <v>3.9200000000000004</v>
      </c>
      <c r="Q954" s="27">
        <v>500</v>
      </c>
      <c r="R954" s="28">
        <f t="shared" si="135"/>
        <v>1960.0000000000002</v>
      </c>
      <c r="S954" s="27"/>
      <c r="T954" s="29"/>
      <c r="V954" s="29" t="s">
        <v>24</v>
      </c>
      <c r="W954" s="27"/>
      <c r="X954" s="30">
        <f t="shared" si="140"/>
        <v>0</v>
      </c>
      <c r="Y954" s="31"/>
      <c r="Z954" s="31">
        <f t="shared" si="137"/>
        <v>0</v>
      </c>
      <c r="AA954" s="29">
        <f t="shared" si="138"/>
        <v>1960.0000000000002</v>
      </c>
    </row>
    <row r="955" spans="1:27" s="32" customFormat="1" x14ac:dyDescent="0.25">
      <c r="A955" s="18">
        <v>959</v>
      </c>
      <c r="B955" s="19">
        <v>46049</v>
      </c>
      <c r="C955" s="19">
        <v>46049</v>
      </c>
      <c r="D955" s="25">
        <v>260127025</v>
      </c>
      <c r="E955" s="21" t="s">
        <v>1838</v>
      </c>
      <c r="F955" s="21" t="s">
        <v>1839</v>
      </c>
      <c r="G955" s="21">
        <v>42</v>
      </c>
      <c r="H955" s="48">
        <v>42</v>
      </c>
      <c r="I955" s="23" t="s">
        <v>44</v>
      </c>
      <c r="J955" s="49" t="s">
        <v>23</v>
      </c>
      <c r="K955" s="23" t="s">
        <v>31</v>
      </c>
      <c r="L955" s="27" t="s">
        <v>117</v>
      </c>
      <c r="M955" s="27" t="s">
        <v>32</v>
      </c>
      <c r="N955" s="37">
        <v>58.22</v>
      </c>
      <c r="O955" s="37">
        <v>15.7</v>
      </c>
      <c r="P955" s="26">
        <f t="shared" si="139"/>
        <v>42.519999999999996</v>
      </c>
      <c r="Q955" s="27">
        <v>285</v>
      </c>
      <c r="R955" s="28">
        <f>P955*Q955</f>
        <v>12118.199999999999</v>
      </c>
      <c r="S955" s="27"/>
      <c r="T955" s="29"/>
      <c r="V955" s="29" t="s">
        <v>24</v>
      </c>
      <c r="W955" s="27">
        <v>145</v>
      </c>
      <c r="X955" s="30">
        <f t="shared" si="140"/>
        <v>6165.4</v>
      </c>
      <c r="Y955" s="31">
        <v>260</v>
      </c>
      <c r="Z955" s="31">
        <f t="shared" si="137"/>
        <v>11055.199999999999</v>
      </c>
      <c r="AA955" s="29">
        <f t="shared" si="138"/>
        <v>29338.799999999996</v>
      </c>
    </row>
    <row r="956" spans="1:27" s="32" customFormat="1" x14ac:dyDescent="0.25">
      <c r="A956" s="18">
        <v>960</v>
      </c>
      <c r="B956" s="19">
        <v>46049</v>
      </c>
      <c r="C956" s="19">
        <v>46049</v>
      </c>
      <c r="D956" s="25">
        <v>260127026</v>
      </c>
      <c r="E956" s="21" t="s">
        <v>1840</v>
      </c>
      <c r="F956" s="21" t="s">
        <v>1841</v>
      </c>
      <c r="G956" s="21">
        <v>34</v>
      </c>
      <c r="H956" s="48">
        <v>42</v>
      </c>
      <c r="I956" s="23" t="s">
        <v>44</v>
      </c>
      <c r="J956" s="49" t="s">
        <v>23</v>
      </c>
      <c r="K956" s="23" t="s">
        <v>31</v>
      </c>
      <c r="L956" s="25" t="s">
        <v>43</v>
      </c>
      <c r="M956" s="21" t="s">
        <v>34</v>
      </c>
      <c r="N956" s="37">
        <v>45.82</v>
      </c>
      <c r="O956" s="37">
        <v>11.32</v>
      </c>
      <c r="P956" s="26">
        <f t="shared" si="139"/>
        <v>34.5</v>
      </c>
      <c r="Q956" s="27">
        <v>545</v>
      </c>
      <c r="R956" s="28">
        <f>P956*Q956</f>
        <v>18802.5</v>
      </c>
      <c r="S956" s="27"/>
      <c r="T956" s="29"/>
      <c r="V956" s="29" t="s">
        <v>24</v>
      </c>
      <c r="W956" s="27">
        <v>145</v>
      </c>
      <c r="X956" s="30">
        <f t="shared" si="140"/>
        <v>5002.5</v>
      </c>
      <c r="Y956" s="31">
        <v>260</v>
      </c>
      <c r="Z956" s="31">
        <f t="shared" si="137"/>
        <v>8970</v>
      </c>
      <c r="AA956" s="29">
        <f t="shared" si="138"/>
        <v>32775</v>
      </c>
    </row>
    <row r="957" spans="1:27" s="32" customFormat="1" x14ac:dyDescent="0.25">
      <c r="A957" s="18">
        <v>961</v>
      </c>
      <c r="B957" s="19">
        <v>46049</v>
      </c>
      <c r="C957" s="19">
        <v>46049</v>
      </c>
      <c r="D957" s="25">
        <v>260127027</v>
      </c>
      <c r="E957" s="21"/>
      <c r="F957" s="21" t="s">
        <v>1842</v>
      </c>
      <c r="G957" s="21">
        <v>34</v>
      </c>
      <c r="H957" s="33">
        <v>244</v>
      </c>
      <c r="I957" s="23" t="s">
        <v>703</v>
      </c>
      <c r="J957" s="24" t="s">
        <v>23</v>
      </c>
      <c r="K957" s="23" t="s">
        <v>31</v>
      </c>
      <c r="L957" s="25" t="s">
        <v>53</v>
      </c>
      <c r="M957" s="21" t="s">
        <v>34</v>
      </c>
      <c r="N957" s="37">
        <v>45.64</v>
      </c>
      <c r="O957" s="37">
        <v>11.34</v>
      </c>
      <c r="P957" s="26">
        <f t="shared" si="139"/>
        <v>34.299999999999997</v>
      </c>
      <c r="Q957" s="27">
        <v>520</v>
      </c>
      <c r="R957" s="28">
        <f>P957*Q957</f>
        <v>17836</v>
      </c>
      <c r="S957" s="27"/>
      <c r="T957" s="29"/>
      <c r="V957" s="29" t="s">
        <v>45</v>
      </c>
      <c r="W957" s="27"/>
      <c r="X957" s="30">
        <f t="shared" si="140"/>
        <v>0</v>
      </c>
      <c r="Y957" s="31"/>
      <c r="Z957" s="31">
        <f t="shared" si="137"/>
        <v>0</v>
      </c>
      <c r="AA957" s="29">
        <f t="shared" si="138"/>
        <v>17836</v>
      </c>
    </row>
    <row r="958" spans="1:27" s="38" customFormat="1" x14ac:dyDescent="0.25">
      <c r="A958" s="18">
        <v>962</v>
      </c>
      <c r="B958" s="19">
        <v>46049</v>
      </c>
      <c r="C958" s="19">
        <v>46049</v>
      </c>
      <c r="D958" s="25">
        <v>260127028</v>
      </c>
      <c r="E958" s="21" t="s">
        <v>1843</v>
      </c>
      <c r="F958" s="21" t="s">
        <v>1844</v>
      </c>
      <c r="G958" s="21">
        <v>48</v>
      </c>
      <c r="H958" s="44">
        <v>115</v>
      </c>
      <c r="I958" s="23" t="s">
        <v>33</v>
      </c>
      <c r="J958" s="24" t="s">
        <v>23</v>
      </c>
      <c r="K958" s="35" t="s">
        <v>31</v>
      </c>
      <c r="L958" s="20" t="s">
        <v>55</v>
      </c>
      <c r="M958" s="21" t="s">
        <v>32</v>
      </c>
      <c r="N958" s="37">
        <v>66.36</v>
      </c>
      <c r="O958" s="37">
        <v>18.14</v>
      </c>
      <c r="P958" s="26">
        <f t="shared" si="139"/>
        <v>48.22</v>
      </c>
      <c r="Q958" s="27">
        <v>315</v>
      </c>
      <c r="R958" s="28">
        <f>P958*Q958</f>
        <v>15189.3</v>
      </c>
      <c r="S958" s="21"/>
      <c r="T958" s="29"/>
      <c r="V958" s="29" t="s">
        <v>24</v>
      </c>
      <c r="W958" s="27">
        <v>145</v>
      </c>
      <c r="X958" s="30">
        <f t="shared" si="140"/>
        <v>6991.9</v>
      </c>
      <c r="Y958" s="31">
        <v>260</v>
      </c>
      <c r="Z958" s="31">
        <f t="shared" si="137"/>
        <v>12537.199999999999</v>
      </c>
      <c r="AA958" s="29">
        <f t="shared" si="138"/>
        <v>34718.399999999994</v>
      </c>
    </row>
    <row r="959" spans="1:27" s="32" customFormat="1" x14ac:dyDescent="0.25">
      <c r="A959" s="18">
        <v>963</v>
      </c>
      <c r="B959" s="19">
        <v>46049</v>
      </c>
      <c r="C959" s="19">
        <v>46049</v>
      </c>
      <c r="D959" s="25">
        <v>260127029</v>
      </c>
      <c r="E959" s="21"/>
      <c r="F959" s="21" t="s">
        <v>1845</v>
      </c>
      <c r="G959" s="21">
        <v>30</v>
      </c>
      <c r="H959" s="33">
        <v>244</v>
      </c>
      <c r="I959" s="23" t="s">
        <v>703</v>
      </c>
      <c r="J959" s="61" t="s">
        <v>23</v>
      </c>
      <c r="K959" s="23" t="s">
        <v>31</v>
      </c>
      <c r="L959" s="20" t="s">
        <v>563</v>
      </c>
      <c r="M959" s="21" t="s">
        <v>34</v>
      </c>
      <c r="N959" s="37">
        <v>42.26</v>
      </c>
      <c r="O959" s="37">
        <v>11.62</v>
      </c>
      <c r="P959" s="26">
        <f t="shared" si="139"/>
        <v>30.64</v>
      </c>
      <c r="Q959" s="27">
        <v>520</v>
      </c>
      <c r="R959" s="28">
        <f>P959*Q959</f>
        <v>15932.800000000001</v>
      </c>
      <c r="S959" s="27"/>
      <c r="T959" s="29"/>
      <c r="V959" s="29" t="s">
        <v>45</v>
      </c>
      <c r="W959" s="27"/>
      <c r="X959" s="30">
        <f t="shared" si="140"/>
        <v>0</v>
      </c>
      <c r="Y959" s="31"/>
      <c r="Z959" s="31">
        <f t="shared" si="137"/>
        <v>0</v>
      </c>
      <c r="AA959" s="29">
        <f t="shared" si="138"/>
        <v>15932.800000000001</v>
      </c>
    </row>
    <row r="960" spans="1:27" s="32" customFormat="1" x14ac:dyDescent="0.25">
      <c r="A960" s="18">
        <v>964</v>
      </c>
      <c r="B960" s="19">
        <v>46049</v>
      </c>
      <c r="C960" s="19">
        <v>46049</v>
      </c>
      <c r="D960" s="96" t="s">
        <v>1846</v>
      </c>
      <c r="E960" s="21"/>
      <c r="F960" s="21"/>
      <c r="G960" s="21"/>
      <c r="H960" s="97"/>
      <c r="I960" s="23" t="s">
        <v>201</v>
      </c>
      <c r="J960" s="24" t="s">
        <v>23</v>
      </c>
      <c r="K960" s="23" t="s">
        <v>31</v>
      </c>
      <c r="L960" s="20" t="s">
        <v>414</v>
      </c>
      <c r="M960" s="21" t="s">
        <v>203</v>
      </c>
      <c r="N960" s="37">
        <v>24.96</v>
      </c>
      <c r="O960" s="37">
        <v>14.22</v>
      </c>
      <c r="P960" s="26">
        <f t="shared" si="139"/>
        <v>10.74</v>
      </c>
      <c r="Q960" s="27">
        <v>0</v>
      </c>
      <c r="R960" s="28">
        <v>0</v>
      </c>
      <c r="S960" s="27"/>
      <c r="T960" s="29"/>
      <c r="V960" s="29" t="s">
        <v>24</v>
      </c>
      <c r="W960" s="27"/>
      <c r="X960" s="30">
        <f t="shared" si="140"/>
        <v>0</v>
      </c>
      <c r="Y960" s="31"/>
      <c r="Z960" s="31">
        <f t="shared" si="137"/>
        <v>0</v>
      </c>
      <c r="AA960" s="29"/>
    </row>
    <row r="961" spans="1:27" s="32" customFormat="1" x14ac:dyDescent="0.25">
      <c r="A961" s="18">
        <v>965</v>
      </c>
      <c r="B961" s="19">
        <v>46049</v>
      </c>
      <c r="C961" s="19">
        <v>46049</v>
      </c>
      <c r="D961" s="25">
        <v>260127030</v>
      </c>
      <c r="E961" s="21" t="s">
        <v>1847</v>
      </c>
      <c r="F961" s="21" t="s">
        <v>1848</v>
      </c>
      <c r="G961" s="21">
        <v>43</v>
      </c>
      <c r="H961" s="44">
        <v>115</v>
      </c>
      <c r="I961" s="23" t="s">
        <v>33</v>
      </c>
      <c r="J961" s="24" t="s">
        <v>23</v>
      </c>
      <c r="K961" s="35" t="s">
        <v>31</v>
      </c>
      <c r="L961" s="25" t="s">
        <v>36</v>
      </c>
      <c r="M961" s="21" t="s">
        <v>32</v>
      </c>
      <c r="N961" s="37">
        <v>59.2</v>
      </c>
      <c r="O961" s="37">
        <v>15.76</v>
      </c>
      <c r="P961" s="26">
        <f t="shared" si="139"/>
        <v>43.440000000000005</v>
      </c>
      <c r="Q961" s="27">
        <v>315</v>
      </c>
      <c r="R961" s="28">
        <f t="shared" ref="R961:R992" si="141">P961*Q961</f>
        <v>13683.600000000002</v>
      </c>
      <c r="S961" s="27"/>
      <c r="T961" s="29"/>
      <c r="V961" s="29" t="s">
        <v>24</v>
      </c>
      <c r="W961" s="27">
        <v>145</v>
      </c>
      <c r="X961" s="30">
        <f t="shared" si="140"/>
        <v>6298.8000000000011</v>
      </c>
      <c r="Y961" s="31">
        <v>260</v>
      </c>
      <c r="Z961" s="31">
        <f t="shared" si="137"/>
        <v>11294.400000000001</v>
      </c>
      <c r="AA961" s="29">
        <f t="shared" ref="AA961:AA976" si="142">R961+X961+Z961</f>
        <v>31276.800000000003</v>
      </c>
    </row>
    <row r="962" spans="1:27" s="38" customFormat="1" x14ac:dyDescent="0.25">
      <c r="A962" s="18">
        <v>966</v>
      </c>
      <c r="B962" s="19">
        <v>46049</v>
      </c>
      <c r="C962" s="19">
        <v>46049</v>
      </c>
      <c r="D962" s="25">
        <v>260127031</v>
      </c>
      <c r="E962" s="21" t="s">
        <v>1849</v>
      </c>
      <c r="F962" s="21" t="s">
        <v>1850</v>
      </c>
      <c r="G962" s="21">
        <v>43</v>
      </c>
      <c r="H962" s="44">
        <v>115</v>
      </c>
      <c r="I962" s="23" t="s">
        <v>33</v>
      </c>
      <c r="J962" s="24" t="s">
        <v>23</v>
      </c>
      <c r="K962" s="35" t="s">
        <v>31</v>
      </c>
      <c r="L962" s="25" t="s">
        <v>41</v>
      </c>
      <c r="M962" s="21" t="s">
        <v>32</v>
      </c>
      <c r="N962" s="37">
        <v>59.3</v>
      </c>
      <c r="O962" s="37">
        <v>15.66</v>
      </c>
      <c r="P962" s="26">
        <f t="shared" si="139"/>
        <v>43.64</v>
      </c>
      <c r="Q962" s="27">
        <v>315</v>
      </c>
      <c r="R962" s="28">
        <f t="shared" si="141"/>
        <v>13746.6</v>
      </c>
      <c r="S962" s="27"/>
      <c r="T962" s="29"/>
      <c r="V962" s="29" t="s">
        <v>24</v>
      </c>
      <c r="W962" s="27">
        <v>145</v>
      </c>
      <c r="X962" s="30">
        <f t="shared" si="140"/>
        <v>6327.8</v>
      </c>
      <c r="Y962" s="31">
        <v>260</v>
      </c>
      <c r="Z962" s="31">
        <f t="shared" si="137"/>
        <v>11346.4</v>
      </c>
      <c r="AA962" s="29">
        <f t="shared" si="142"/>
        <v>31420.800000000003</v>
      </c>
    </row>
    <row r="963" spans="1:27" s="32" customFormat="1" x14ac:dyDescent="0.25">
      <c r="A963" s="18">
        <v>967</v>
      </c>
      <c r="B963" s="19">
        <v>46049</v>
      </c>
      <c r="C963" s="19">
        <v>46049</v>
      </c>
      <c r="D963" s="25">
        <v>260127032</v>
      </c>
      <c r="E963" s="21" t="s">
        <v>1851</v>
      </c>
      <c r="F963" s="21" t="s">
        <v>1852</v>
      </c>
      <c r="G963" s="21">
        <v>44</v>
      </c>
      <c r="H963" s="44">
        <v>115</v>
      </c>
      <c r="I963" s="23" t="s">
        <v>33</v>
      </c>
      <c r="J963" s="24" t="s">
        <v>23</v>
      </c>
      <c r="K963" s="35" t="s">
        <v>31</v>
      </c>
      <c r="L963" s="25" t="s">
        <v>62</v>
      </c>
      <c r="M963" s="21" t="s">
        <v>34</v>
      </c>
      <c r="N963" s="37">
        <v>59.68</v>
      </c>
      <c r="O963" s="37">
        <v>15.4</v>
      </c>
      <c r="P963" s="26">
        <f t="shared" si="139"/>
        <v>44.28</v>
      </c>
      <c r="Q963" s="27">
        <v>545</v>
      </c>
      <c r="R963" s="28">
        <f t="shared" si="141"/>
        <v>24132.600000000002</v>
      </c>
      <c r="S963" s="27"/>
      <c r="T963" s="29"/>
      <c r="V963" s="29" t="s">
        <v>24</v>
      </c>
      <c r="W963" s="27">
        <v>145</v>
      </c>
      <c r="X963" s="30">
        <f t="shared" si="140"/>
        <v>6420.6</v>
      </c>
      <c r="Y963" s="31">
        <v>260</v>
      </c>
      <c r="Z963" s="31">
        <f t="shared" si="137"/>
        <v>11512.800000000001</v>
      </c>
      <c r="AA963" s="29">
        <f t="shared" si="142"/>
        <v>42066.000000000007</v>
      </c>
    </row>
    <row r="964" spans="1:27" s="38" customFormat="1" x14ac:dyDescent="0.25">
      <c r="A964" s="18">
        <v>968</v>
      </c>
      <c r="B964" s="19">
        <v>46049</v>
      </c>
      <c r="C964" s="19">
        <v>46050</v>
      </c>
      <c r="D964" s="70">
        <v>260128001</v>
      </c>
      <c r="E964" s="21" t="s">
        <v>1853</v>
      </c>
      <c r="F964" s="21" t="s">
        <v>1854</v>
      </c>
      <c r="G964" s="21">
        <v>38</v>
      </c>
      <c r="H964" s="44">
        <v>115</v>
      </c>
      <c r="I964" s="23" t="s">
        <v>33</v>
      </c>
      <c r="J964" s="24" t="s">
        <v>23</v>
      </c>
      <c r="K964" s="35" t="s">
        <v>31</v>
      </c>
      <c r="L964" s="20" t="s">
        <v>39</v>
      </c>
      <c r="M964" s="21" t="s">
        <v>35</v>
      </c>
      <c r="N964" s="37">
        <v>50.16</v>
      </c>
      <c r="O964" s="37">
        <v>11.82</v>
      </c>
      <c r="P964" s="26">
        <f t="shared" si="139"/>
        <v>38.339999999999996</v>
      </c>
      <c r="Q964" s="27">
        <v>445</v>
      </c>
      <c r="R964" s="28">
        <f t="shared" si="141"/>
        <v>17061.3</v>
      </c>
      <c r="S964" s="21"/>
      <c r="T964" s="29"/>
      <c r="V964" s="29" t="s">
        <v>24</v>
      </c>
      <c r="W964" s="27">
        <v>145</v>
      </c>
      <c r="X964" s="30">
        <f t="shared" si="140"/>
        <v>5559.2999999999993</v>
      </c>
      <c r="Y964" s="31">
        <v>260</v>
      </c>
      <c r="Z964" s="31">
        <f t="shared" si="137"/>
        <v>9968.4</v>
      </c>
      <c r="AA964" s="29">
        <f t="shared" si="142"/>
        <v>32589</v>
      </c>
    </row>
    <row r="965" spans="1:27" s="32" customFormat="1" x14ac:dyDescent="0.25">
      <c r="A965" s="18">
        <v>969</v>
      </c>
      <c r="B965" s="19">
        <v>46049</v>
      </c>
      <c r="C965" s="19">
        <v>46050</v>
      </c>
      <c r="D965" s="70">
        <v>260128002</v>
      </c>
      <c r="E965" s="21" t="s">
        <v>1855</v>
      </c>
      <c r="F965" s="21" t="s">
        <v>1856</v>
      </c>
      <c r="G965" s="21">
        <v>38</v>
      </c>
      <c r="H965" s="44">
        <v>115</v>
      </c>
      <c r="I965" s="23" t="s">
        <v>33</v>
      </c>
      <c r="J965" s="24" t="s">
        <v>23</v>
      </c>
      <c r="K965" s="35" t="s">
        <v>31</v>
      </c>
      <c r="L965" s="20" t="s">
        <v>51</v>
      </c>
      <c r="M965" s="21" t="s">
        <v>35</v>
      </c>
      <c r="N965" s="37">
        <v>50.14</v>
      </c>
      <c r="O965" s="37">
        <v>11.46</v>
      </c>
      <c r="P965" s="26">
        <f t="shared" si="139"/>
        <v>38.68</v>
      </c>
      <c r="Q965" s="27">
        <v>445</v>
      </c>
      <c r="R965" s="28">
        <f t="shared" si="141"/>
        <v>17212.599999999999</v>
      </c>
      <c r="S965" s="27"/>
      <c r="T965" s="29"/>
      <c r="V965" s="29" t="s">
        <v>24</v>
      </c>
      <c r="W965" s="27">
        <v>145</v>
      </c>
      <c r="X965" s="30">
        <f t="shared" si="140"/>
        <v>5608.6</v>
      </c>
      <c r="Y965" s="31">
        <v>260</v>
      </c>
      <c r="Z965" s="31">
        <f t="shared" si="137"/>
        <v>10056.799999999999</v>
      </c>
      <c r="AA965" s="29">
        <f t="shared" si="142"/>
        <v>32878</v>
      </c>
    </row>
    <row r="966" spans="1:27" s="32" customFormat="1" x14ac:dyDescent="0.25">
      <c r="A966" s="18">
        <v>970</v>
      </c>
      <c r="B966" s="19">
        <v>46049</v>
      </c>
      <c r="C966" s="19">
        <v>46050</v>
      </c>
      <c r="D966" s="70">
        <v>260128003</v>
      </c>
      <c r="E966" s="21" t="s">
        <v>1857</v>
      </c>
      <c r="F966" s="21" t="s">
        <v>1858</v>
      </c>
      <c r="G966" s="21">
        <v>50</v>
      </c>
      <c r="H966" s="44">
        <v>115</v>
      </c>
      <c r="I966" s="23" t="s">
        <v>33</v>
      </c>
      <c r="J966" s="24" t="s">
        <v>23</v>
      </c>
      <c r="K966" s="35" t="s">
        <v>31</v>
      </c>
      <c r="L966" s="20" t="s">
        <v>1381</v>
      </c>
      <c r="M966" s="21" t="s">
        <v>34</v>
      </c>
      <c r="N966" s="37">
        <v>68.86</v>
      </c>
      <c r="O966" s="37">
        <v>18.52</v>
      </c>
      <c r="P966" s="26">
        <f t="shared" si="139"/>
        <v>50.34</v>
      </c>
      <c r="Q966" s="27">
        <v>545</v>
      </c>
      <c r="R966" s="28">
        <f t="shared" si="141"/>
        <v>27435.300000000003</v>
      </c>
      <c r="S966" s="27"/>
      <c r="T966" s="29"/>
      <c r="V966" s="29" t="s">
        <v>24</v>
      </c>
      <c r="W966" s="27">
        <v>145</v>
      </c>
      <c r="X966" s="30">
        <f t="shared" si="140"/>
        <v>7299.3</v>
      </c>
      <c r="Y966" s="31">
        <v>260</v>
      </c>
      <c r="Z966" s="31">
        <f t="shared" si="137"/>
        <v>13088.400000000001</v>
      </c>
      <c r="AA966" s="29">
        <f t="shared" si="142"/>
        <v>47823.000000000007</v>
      </c>
    </row>
    <row r="967" spans="1:27" s="32" customFormat="1" x14ac:dyDescent="0.25">
      <c r="A967" s="18">
        <v>971</v>
      </c>
      <c r="B967" s="19">
        <v>46049</v>
      </c>
      <c r="C967" s="19">
        <v>46050</v>
      </c>
      <c r="D967" s="51" t="s">
        <v>1859</v>
      </c>
      <c r="E967" s="21"/>
      <c r="F967" s="21"/>
      <c r="G967" s="21"/>
      <c r="H967" s="66"/>
      <c r="I967" s="84" t="s">
        <v>1860</v>
      </c>
      <c r="J967" s="95" t="s">
        <v>23</v>
      </c>
      <c r="K967" s="60" t="s">
        <v>30</v>
      </c>
      <c r="L967" s="25" t="s">
        <v>1861</v>
      </c>
      <c r="M967" s="21" t="s">
        <v>34</v>
      </c>
      <c r="N967" s="37">
        <v>18.68</v>
      </c>
      <c r="O967" s="37">
        <v>7.46</v>
      </c>
      <c r="P967" s="26">
        <f t="shared" si="139"/>
        <v>11.219999999999999</v>
      </c>
      <c r="Q967" s="27">
        <v>550</v>
      </c>
      <c r="R967" s="28">
        <f t="shared" si="141"/>
        <v>6170.9999999999991</v>
      </c>
      <c r="S967" s="27">
        <v>6171</v>
      </c>
      <c r="T967" s="29"/>
      <c r="V967" s="29" t="s">
        <v>24</v>
      </c>
      <c r="W967" s="27"/>
      <c r="X967" s="30">
        <f t="shared" si="140"/>
        <v>0</v>
      </c>
      <c r="Y967" s="31"/>
      <c r="Z967" s="31">
        <f t="shared" si="137"/>
        <v>0</v>
      </c>
      <c r="AA967" s="29">
        <f t="shared" si="142"/>
        <v>6170.9999999999991</v>
      </c>
    </row>
    <row r="968" spans="1:27" s="32" customFormat="1" x14ac:dyDescent="0.25">
      <c r="A968" s="18">
        <v>972</v>
      </c>
      <c r="B968" s="19">
        <v>46049</v>
      </c>
      <c r="C968" s="19">
        <v>46050</v>
      </c>
      <c r="D968" s="51">
        <v>260128004</v>
      </c>
      <c r="E968" s="21"/>
      <c r="F968" s="21" t="s">
        <v>1862</v>
      </c>
      <c r="G968" s="21">
        <v>26</v>
      </c>
      <c r="H968" s="33">
        <v>244</v>
      </c>
      <c r="I968" s="23" t="s">
        <v>703</v>
      </c>
      <c r="J968" s="24" t="s">
        <v>23</v>
      </c>
      <c r="K968" s="23" t="s">
        <v>31</v>
      </c>
      <c r="L968" s="25" t="s">
        <v>459</v>
      </c>
      <c r="M968" s="21" t="s">
        <v>63</v>
      </c>
      <c r="N968" s="37">
        <v>42.06</v>
      </c>
      <c r="O968" s="37">
        <v>11.82</v>
      </c>
      <c r="P968" s="26">
        <f t="shared" si="139"/>
        <v>30.240000000000002</v>
      </c>
      <c r="Q968" s="27">
        <v>425</v>
      </c>
      <c r="R968" s="28">
        <f t="shared" si="141"/>
        <v>12852</v>
      </c>
      <c r="S968" s="27"/>
      <c r="T968" s="29"/>
      <c r="V968" s="29" t="s">
        <v>45</v>
      </c>
      <c r="W968" s="27"/>
      <c r="X968" s="30">
        <f t="shared" si="140"/>
        <v>0</v>
      </c>
      <c r="Y968" s="31"/>
      <c r="Z968" s="31">
        <f t="shared" si="137"/>
        <v>0</v>
      </c>
      <c r="AA968" s="29">
        <f t="shared" si="142"/>
        <v>12852</v>
      </c>
    </row>
    <row r="969" spans="1:27" s="32" customFormat="1" x14ac:dyDescent="0.25">
      <c r="A969" s="18">
        <v>973</v>
      </c>
      <c r="B969" s="19">
        <v>46049</v>
      </c>
      <c r="C969" s="19">
        <v>46050</v>
      </c>
      <c r="D969" s="51">
        <v>260128005</v>
      </c>
      <c r="E969" s="21"/>
      <c r="F969" s="21" t="s">
        <v>1863</v>
      </c>
      <c r="G969" s="21">
        <v>25</v>
      </c>
      <c r="H969" s="33">
        <v>244</v>
      </c>
      <c r="I969" s="23" t="s">
        <v>703</v>
      </c>
      <c r="J969" s="24" t="s">
        <v>23</v>
      </c>
      <c r="K969" s="23" t="s">
        <v>31</v>
      </c>
      <c r="L969" s="21" t="s">
        <v>53</v>
      </c>
      <c r="M969" s="21" t="s">
        <v>63</v>
      </c>
      <c r="N969" s="37">
        <v>39.78</v>
      </c>
      <c r="O969" s="37">
        <v>11.36</v>
      </c>
      <c r="P969" s="26">
        <f t="shared" si="139"/>
        <v>28.42</v>
      </c>
      <c r="Q969" s="27">
        <v>425</v>
      </c>
      <c r="R969" s="28">
        <f t="shared" si="141"/>
        <v>12078.5</v>
      </c>
      <c r="S969" s="27"/>
      <c r="T969" s="29"/>
      <c r="V969" s="29" t="s">
        <v>45</v>
      </c>
      <c r="W969" s="27"/>
      <c r="X969" s="30">
        <f t="shared" si="140"/>
        <v>0</v>
      </c>
      <c r="Y969" s="31"/>
      <c r="Z969" s="31">
        <f t="shared" si="137"/>
        <v>0</v>
      </c>
      <c r="AA969" s="29">
        <f t="shared" si="142"/>
        <v>12078.5</v>
      </c>
    </row>
    <row r="970" spans="1:27" s="38" customFormat="1" x14ac:dyDescent="0.25">
      <c r="A970" s="18">
        <v>974</v>
      </c>
      <c r="B970" s="19">
        <v>46049</v>
      </c>
      <c r="C970" s="19">
        <v>46050</v>
      </c>
      <c r="D970" s="51">
        <v>260128006</v>
      </c>
      <c r="E970" s="21" t="s">
        <v>1864</v>
      </c>
      <c r="F970" s="21" t="s">
        <v>1865</v>
      </c>
      <c r="G970" s="21">
        <v>44</v>
      </c>
      <c r="H970" s="48">
        <v>53</v>
      </c>
      <c r="I970" s="52" t="s">
        <v>57</v>
      </c>
      <c r="J970" s="49" t="s">
        <v>23</v>
      </c>
      <c r="K970" s="23" t="s">
        <v>31</v>
      </c>
      <c r="L970" s="21" t="s">
        <v>37</v>
      </c>
      <c r="M970" s="21" t="s">
        <v>63</v>
      </c>
      <c r="N970" s="37">
        <v>60.5</v>
      </c>
      <c r="O970" s="37">
        <v>15.68</v>
      </c>
      <c r="P970" s="26">
        <f t="shared" si="139"/>
        <v>44.82</v>
      </c>
      <c r="Q970" s="27">
        <v>425</v>
      </c>
      <c r="R970" s="28">
        <f t="shared" si="141"/>
        <v>19048.5</v>
      </c>
      <c r="S970" s="27"/>
      <c r="T970" s="29"/>
      <c r="V970" s="29" t="s">
        <v>24</v>
      </c>
      <c r="W970" s="27">
        <v>145</v>
      </c>
      <c r="X970" s="30">
        <f t="shared" si="140"/>
        <v>6498.9</v>
      </c>
      <c r="Y970" s="31">
        <v>210</v>
      </c>
      <c r="Z970" s="31">
        <f t="shared" si="137"/>
        <v>9412.2000000000007</v>
      </c>
      <c r="AA970" s="29">
        <f t="shared" si="142"/>
        <v>34959.600000000006</v>
      </c>
    </row>
    <row r="971" spans="1:27" s="32" customFormat="1" x14ac:dyDescent="0.25">
      <c r="A971" s="18">
        <v>975</v>
      </c>
      <c r="B971" s="19">
        <v>46049</v>
      </c>
      <c r="C971" s="19">
        <v>46050</v>
      </c>
      <c r="D971" s="51">
        <v>260128007</v>
      </c>
      <c r="E971" s="21" t="s">
        <v>1866</v>
      </c>
      <c r="F971" s="21" t="s">
        <v>1867</v>
      </c>
      <c r="G971" s="21">
        <v>46</v>
      </c>
      <c r="H971" s="48">
        <v>53</v>
      </c>
      <c r="I971" s="52" t="s">
        <v>57</v>
      </c>
      <c r="J971" s="49" t="s">
        <v>23</v>
      </c>
      <c r="K971" s="23" t="s">
        <v>31</v>
      </c>
      <c r="L971" s="21" t="s">
        <v>38</v>
      </c>
      <c r="M971" s="21" t="s">
        <v>63</v>
      </c>
      <c r="N971" s="37">
        <v>61.08</v>
      </c>
      <c r="O971" s="37">
        <v>14.9</v>
      </c>
      <c r="P971" s="26">
        <f t="shared" si="139"/>
        <v>46.18</v>
      </c>
      <c r="Q971" s="27">
        <v>425</v>
      </c>
      <c r="R971" s="28">
        <f t="shared" si="141"/>
        <v>19626.5</v>
      </c>
      <c r="S971" s="27"/>
      <c r="T971" s="29"/>
      <c r="V971" s="29" t="s">
        <v>24</v>
      </c>
      <c r="W971" s="27">
        <v>145</v>
      </c>
      <c r="X971" s="30">
        <f t="shared" si="140"/>
        <v>6696.1</v>
      </c>
      <c r="Y971" s="31">
        <v>210</v>
      </c>
      <c r="Z971" s="31">
        <f t="shared" si="137"/>
        <v>9697.7999999999993</v>
      </c>
      <c r="AA971" s="29">
        <f t="shared" si="142"/>
        <v>36020.399999999994</v>
      </c>
    </row>
    <row r="972" spans="1:27" s="32" customFormat="1" x14ac:dyDescent="0.25">
      <c r="A972" s="18">
        <v>976</v>
      </c>
      <c r="B972" s="19">
        <v>46049</v>
      </c>
      <c r="C972" s="19">
        <v>46050</v>
      </c>
      <c r="D972" s="51">
        <v>260128008</v>
      </c>
      <c r="E972" s="21" t="s">
        <v>1868</v>
      </c>
      <c r="F972" s="21" t="s">
        <v>1869</v>
      </c>
      <c r="G972" s="21">
        <v>62</v>
      </c>
      <c r="H972" s="48">
        <v>53</v>
      </c>
      <c r="I972" s="52" t="s">
        <v>57</v>
      </c>
      <c r="J972" s="49" t="s">
        <v>23</v>
      </c>
      <c r="K972" s="23" t="s">
        <v>31</v>
      </c>
      <c r="L972" s="21" t="s">
        <v>206</v>
      </c>
      <c r="M972" s="21" t="s">
        <v>63</v>
      </c>
      <c r="N972" s="37">
        <v>79.88</v>
      </c>
      <c r="O972" s="37">
        <v>17.239999999999998</v>
      </c>
      <c r="P972" s="26">
        <f t="shared" si="139"/>
        <v>62.64</v>
      </c>
      <c r="Q972" s="27">
        <v>425</v>
      </c>
      <c r="R972" s="28">
        <f t="shared" si="141"/>
        <v>26622</v>
      </c>
      <c r="S972" s="27"/>
      <c r="T972" s="29"/>
      <c r="V972" s="29" t="s">
        <v>24</v>
      </c>
      <c r="W972" s="27">
        <v>145</v>
      </c>
      <c r="X972" s="30">
        <f t="shared" si="140"/>
        <v>9082.7999999999993</v>
      </c>
      <c r="Y972" s="31">
        <v>210</v>
      </c>
      <c r="Z972" s="31">
        <f t="shared" si="137"/>
        <v>13154.4</v>
      </c>
      <c r="AA972" s="29">
        <f t="shared" si="142"/>
        <v>48859.200000000004</v>
      </c>
    </row>
    <row r="973" spans="1:27" s="32" customFormat="1" x14ac:dyDescent="0.25">
      <c r="A973" s="18">
        <v>977</v>
      </c>
      <c r="B973" s="19">
        <v>46049</v>
      </c>
      <c r="C973" s="19">
        <v>46050</v>
      </c>
      <c r="D973" s="51">
        <v>260128009</v>
      </c>
      <c r="E973" s="21" t="s">
        <v>1870</v>
      </c>
      <c r="F973" s="21" t="s">
        <v>1871</v>
      </c>
      <c r="G973" s="21">
        <v>47</v>
      </c>
      <c r="H973" s="48">
        <v>53</v>
      </c>
      <c r="I973" s="52" t="s">
        <v>57</v>
      </c>
      <c r="J973" s="49" t="s">
        <v>23</v>
      </c>
      <c r="K973" s="23" t="s">
        <v>31</v>
      </c>
      <c r="L973" s="21" t="s">
        <v>534</v>
      </c>
      <c r="M973" s="21" t="s">
        <v>63</v>
      </c>
      <c r="N973" s="37">
        <v>62.9</v>
      </c>
      <c r="O973" s="37">
        <v>15.78</v>
      </c>
      <c r="P973" s="26">
        <f t="shared" si="139"/>
        <v>47.12</v>
      </c>
      <c r="Q973" s="27">
        <v>425</v>
      </c>
      <c r="R973" s="28">
        <f t="shared" si="141"/>
        <v>20026</v>
      </c>
      <c r="S973" s="27"/>
      <c r="T973" s="29"/>
      <c r="V973" s="29" t="s">
        <v>24</v>
      </c>
      <c r="W973" s="27">
        <v>145</v>
      </c>
      <c r="X973" s="30">
        <f t="shared" si="140"/>
        <v>6832.4</v>
      </c>
      <c r="Y973" s="31">
        <v>210</v>
      </c>
      <c r="Z973" s="31">
        <f t="shared" si="137"/>
        <v>9895.1999999999989</v>
      </c>
      <c r="AA973" s="29">
        <f t="shared" si="142"/>
        <v>36753.599999999999</v>
      </c>
    </row>
    <row r="974" spans="1:27" s="32" customFormat="1" x14ac:dyDescent="0.25">
      <c r="A974" s="18">
        <v>978</v>
      </c>
      <c r="B974" s="19">
        <v>46049</v>
      </c>
      <c r="C974" s="19">
        <v>46050</v>
      </c>
      <c r="D974" s="51">
        <v>260128010</v>
      </c>
      <c r="E974" s="21" t="s">
        <v>1872</v>
      </c>
      <c r="F974" s="21" t="s">
        <v>1873</v>
      </c>
      <c r="G974" s="21">
        <v>51</v>
      </c>
      <c r="H974" s="48">
        <v>53</v>
      </c>
      <c r="I974" s="52" t="s">
        <v>57</v>
      </c>
      <c r="J974" s="49" t="s">
        <v>23</v>
      </c>
      <c r="K974" s="23" t="s">
        <v>31</v>
      </c>
      <c r="L974" s="21" t="s">
        <v>55</v>
      </c>
      <c r="M974" s="21" t="s">
        <v>63</v>
      </c>
      <c r="N974" s="37">
        <v>69.62</v>
      </c>
      <c r="O974" s="37">
        <v>18.079999999999998</v>
      </c>
      <c r="P974" s="26">
        <f t="shared" si="139"/>
        <v>51.540000000000006</v>
      </c>
      <c r="Q974" s="27">
        <v>425</v>
      </c>
      <c r="R974" s="28">
        <f t="shared" si="141"/>
        <v>21904.500000000004</v>
      </c>
      <c r="S974" s="27"/>
      <c r="T974" s="29"/>
      <c r="V974" s="29" t="s">
        <v>24</v>
      </c>
      <c r="W974" s="27">
        <v>145</v>
      </c>
      <c r="X974" s="30">
        <f t="shared" si="140"/>
        <v>7473.3000000000011</v>
      </c>
      <c r="Y974" s="31">
        <v>210</v>
      </c>
      <c r="Z974" s="31">
        <f t="shared" si="137"/>
        <v>10823.400000000001</v>
      </c>
      <c r="AA974" s="29">
        <f t="shared" si="142"/>
        <v>40201.200000000004</v>
      </c>
    </row>
    <row r="975" spans="1:27" s="32" customFormat="1" x14ac:dyDescent="0.25">
      <c r="A975" s="18">
        <v>979</v>
      </c>
      <c r="B975" s="19">
        <v>46049</v>
      </c>
      <c r="C975" s="19">
        <v>46050</v>
      </c>
      <c r="D975" s="51">
        <v>260128012</v>
      </c>
      <c r="E975" s="21" t="s">
        <v>1874</v>
      </c>
      <c r="F975" s="21" t="s">
        <v>1875</v>
      </c>
      <c r="G975" s="21">
        <v>37</v>
      </c>
      <c r="H975" s="44">
        <v>115</v>
      </c>
      <c r="I975" s="23" t="s">
        <v>33</v>
      </c>
      <c r="J975" s="24" t="s">
        <v>23</v>
      </c>
      <c r="K975" s="35" t="s">
        <v>31</v>
      </c>
      <c r="L975" s="20" t="s">
        <v>42</v>
      </c>
      <c r="M975" s="21" t="s">
        <v>35</v>
      </c>
      <c r="N975" s="37">
        <v>48.72</v>
      </c>
      <c r="O975" s="21">
        <v>11.7</v>
      </c>
      <c r="P975" s="26">
        <f t="shared" si="139"/>
        <v>37.019999999999996</v>
      </c>
      <c r="Q975" s="27">
        <v>445</v>
      </c>
      <c r="R975" s="28">
        <f t="shared" si="141"/>
        <v>16473.899999999998</v>
      </c>
      <c r="S975" s="27"/>
      <c r="V975" s="29" t="s">
        <v>24</v>
      </c>
      <c r="W975" s="27">
        <v>145</v>
      </c>
      <c r="X975" s="30">
        <f t="shared" si="140"/>
        <v>5367.9</v>
      </c>
      <c r="Y975" s="31">
        <v>260</v>
      </c>
      <c r="Z975" s="31">
        <f t="shared" si="137"/>
        <v>9625.1999999999989</v>
      </c>
      <c r="AA975" s="29">
        <f t="shared" si="142"/>
        <v>31466.999999999993</v>
      </c>
    </row>
    <row r="976" spans="1:27" s="32" customFormat="1" x14ac:dyDescent="0.25">
      <c r="A976" s="18">
        <v>980</v>
      </c>
      <c r="B976" s="19">
        <v>46049</v>
      </c>
      <c r="C976" s="19">
        <v>46050</v>
      </c>
      <c r="D976" s="51" t="s">
        <v>1876</v>
      </c>
      <c r="E976" s="21"/>
      <c r="F976" s="21"/>
      <c r="G976" s="21"/>
      <c r="H976" s="33">
        <v>437</v>
      </c>
      <c r="I976" s="76" t="s">
        <v>251</v>
      </c>
      <c r="J976" s="24" t="s">
        <v>23</v>
      </c>
      <c r="K976" s="23" t="s">
        <v>30</v>
      </c>
      <c r="L976" s="21" t="s">
        <v>252</v>
      </c>
      <c r="M976" s="21" t="s">
        <v>34</v>
      </c>
      <c r="N976" s="21">
        <v>8.9600000000000009</v>
      </c>
      <c r="O976" s="37">
        <v>3.6</v>
      </c>
      <c r="P976" s="26">
        <f t="shared" si="139"/>
        <v>5.3600000000000012</v>
      </c>
      <c r="Q976" s="27">
        <v>540</v>
      </c>
      <c r="R976" s="28">
        <f t="shared" si="141"/>
        <v>2894.4000000000005</v>
      </c>
      <c r="S976" s="27">
        <v>2894</v>
      </c>
      <c r="T976" s="29"/>
      <c r="V976" s="29" t="s">
        <v>253</v>
      </c>
      <c r="W976" s="27"/>
      <c r="X976" s="30">
        <f t="shared" si="140"/>
        <v>0</v>
      </c>
      <c r="Y976" s="31"/>
      <c r="Z976" s="31">
        <f t="shared" si="137"/>
        <v>0</v>
      </c>
      <c r="AA976" s="29">
        <f t="shared" si="142"/>
        <v>2894.4000000000005</v>
      </c>
    </row>
    <row r="977" spans="1:38" s="32" customFormat="1" x14ac:dyDescent="0.25">
      <c r="A977" s="18">
        <v>981</v>
      </c>
      <c r="B977" s="19">
        <v>46050</v>
      </c>
      <c r="C977" s="19">
        <v>46050</v>
      </c>
      <c r="D977" s="25" t="s">
        <v>1877</v>
      </c>
      <c r="E977" s="21"/>
      <c r="F977" s="21"/>
      <c r="G977" s="21"/>
      <c r="H977" s="66"/>
      <c r="I977" s="84" t="s">
        <v>865</v>
      </c>
      <c r="J977" s="95" t="s">
        <v>23</v>
      </c>
      <c r="K977" s="60" t="s">
        <v>31</v>
      </c>
      <c r="L977" s="25" t="s">
        <v>1456</v>
      </c>
      <c r="M977" s="21" t="s">
        <v>289</v>
      </c>
      <c r="N977" s="21">
        <v>52.86</v>
      </c>
      <c r="O977" s="21">
        <v>15.84</v>
      </c>
      <c r="P977" s="26">
        <f>N977-O977</f>
        <v>37.019999999999996</v>
      </c>
      <c r="Q977" s="27">
        <v>130</v>
      </c>
      <c r="R977" s="28">
        <f t="shared" si="141"/>
        <v>4812.5999999999995</v>
      </c>
      <c r="S977" s="27"/>
      <c r="T977" s="29"/>
      <c r="V977" s="29" t="s">
        <v>45</v>
      </c>
      <c r="W977" s="27"/>
      <c r="X977" s="30">
        <f t="shared" ref="X977:X992" si="143">W977*P977</f>
        <v>0</v>
      </c>
      <c r="Y977" s="31"/>
      <c r="Z977" s="31">
        <f t="shared" ref="Z977:Z1007" si="144">P977*Y977</f>
        <v>0</v>
      </c>
      <c r="AA977" s="29">
        <f t="shared" ref="AA977:AA1007" si="145">R977+X977+Z977</f>
        <v>4812.5999999999995</v>
      </c>
    </row>
    <row r="978" spans="1:38" s="32" customFormat="1" x14ac:dyDescent="0.25">
      <c r="A978" s="18">
        <v>982</v>
      </c>
      <c r="B978" s="19">
        <v>46050</v>
      </c>
      <c r="C978" s="19">
        <v>46050</v>
      </c>
      <c r="D978" s="25">
        <v>260128013</v>
      </c>
      <c r="E978" s="21" t="s">
        <v>1878</v>
      </c>
      <c r="F978" s="21" t="s">
        <v>1879</v>
      </c>
      <c r="G978" s="21">
        <v>46</v>
      </c>
      <c r="H978" s="48">
        <v>84</v>
      </c>
      <c r="I978" s="71" t="s">
        <v>941</v>
      </c>
      <c r="J978" s="49" t="s">
        <v>23</v>
      </c>
      <c r="K978" s="23" t="s">
        <v>31</v>
      </c>
      <c r="L978" s="25" t="s">
        <v>41</v>
      </c>
      <c r="M978" s="21" t="s">
        <v>34</v>
      </c>
      <c r="N978" s="83">
        <v>62.62</v>
      </c>
      <c r="O978" s="21">
        <v>15.7</v>
      </c>
      <c r="P978" s="26">
        <f t="shared" ref="P978:P1005" si="146">N978-O978</f>
        <v>46.92</v>
      </c>
      <c r="Q978" s="27">
        <v>515</v>
      </c>
      <c r="R978" s="28">
        <f t="shared" si="141"/>
        <v>24163.8</v>
      </c>
      <c r="S978" s="27"/>
      <c r="T978" s="29"/>
      <c r="V978" s="29" t="s">
        <v>24</v>
      </c>
      <c r="W978" s="27">
        <v>145</v>
      </c>
      <c r="X978" s="30">
        <f t="shared" si="143"/>
        <v>6803.4000000000005</v>
      </c>
      <c r="Y978" s="31">
        <v>200</v>
      </c>
      <c r="Z978" s="31">
        <f t="shared" si="144"/>
        <v>9384</v>
      </c>
      <c r="AA978" s="29">
        <f t="shared" si="145"/>
        <v>40351.199999999997</v>
      </c>
    </row>
    <row r="979" spans="1:38" s="32" customFormat="1" x14ac:dyDescent="0.25">
      <c r="A979" s="18">
        <v>983</v>
      </c>
      <c r="B979" s="19">
        <v>46050</v>
      </c>
      <c r="C979" s="19">
        <v>46050</v>
      </c>
      <c r="D979" s="25">
        <v>260128014</v>
      </c>
      <c r="E979" s="21" t="s">
        <v>1880</v>
      </c>
      <c r="F979" s="21" t="s">
        <v>1881</v>
      </c>
      <c r="G979" s="21">
        <v>48</v>
      </c>
      <c r="H979" s="48">
        <v>84</v>
      </c>
      <c r="I979" s="71" t="s">
        <v>941</v>
      </c>
      <c r="J979" s="49" t="s">
        <v>23</v>
      </c>
      <c r="K979" s="23" t="s">
        <v>31</v>
      </c>
      <c r="L979" s="82" t="s">
        <v>1738</v>
      </c>
      <c r="M979" s="21" t="s">
        <v>34</v>
      </c>
      <c r="N979" s="21">
        <v>66.72</v>
      </c>
      <c r="O979" s="21">
        <v>18.579999999999998</v>
      </c>
      <c r="P979" s="26">
        <f t="shared" si="146"/>
        <v>48.14</v>
      </c>
      <c r="Q979" s="27">
        <v>515</v>
      </c>
      <c r="R979" s="28">
        <f t="shared" si="141"/>
        <v>24792.1</v>
      </c>
      <c r="S979" s="27"/>
      <c r="T979" s="29"/>
      <c r="V979" s="29" t="s">
        <v>24</v>
      </c>
      <c r="W979" s="27">
        <v>145</v>
      </c>
      <c r="X979" s="30">
        <f t="shared" si="143"/>
        <v>6980.3</v>
      </c>
      <c r="Y979" s="31">
        <v>200</v>
      </c>
      <c r="Z979" s="31">
        <f t="shared" si="144"/>
        <v>9628</v>
      </c>
      <c r="AA979" s="29">
        <f t="shared" si="145"/>
        <v>41400.399999999994</v>
      </c>
    </row>
    <row r="980" spans="1:38" s="38" customFormat="1" x14ac:dyDescent="0.25">
      <c r="A980" s="18">
        <v>984</v>
      </c>
      <c r="B980" s="19">
        <v>46050</v>
      </c>
      <c r="C980" s="19">
        <v>46050</v>
      </c>
      <c r="D980" s="25">
        <v>260128015</v>
      </c>
      <c r="E980" s="21"/>
      <c r="F980" s="21" t="s">
        <v>1882</v>
      </c>
      <c r="G980" s="21">
        <v>49</v>
      </c>
      <c r="H980" s="33">
        <v>285</v>
      </c>
      <c r="I980" s="73" t="s">
        <v>703</v>
      </c>
      <c r="J980" s="24" t="s">
        <v>23</v>
      </c>
      <c r="K980" s="23" t="s">
        <v>31</v>
      </c>
      <c r="L980" s="25" t="s">
        <v>711</v>
      </c>
      <c r="M980" s="21" t="s">
        <v>49</v>
      </c>
      <c r="N980" s="21">
        <v>64.92</v>
      </c>
      <c r="O980" s="37">
        <v>15.82</v>
      </c>
      <c r="P980" s="26">
        <f t="shared" si="146"/>
        <v>49.1</v>
      </c>
      <c r="Q980" s="27">
        <v>250</v>
      </c>
      <c r="R980" s="28">
        <f t="shared" si="141"/>
        <v>12275</v>
      </c>
      <c r="S980" s="27"/>
      <c r="T980" s="29"/>
      <c r="V980" s="29" t="s">
        <v>45</v>
      </c>
      <c r="W980" s="27"/>
      <c r="X980" s="30">
        <f t="shared" si="143"/>
        <v>0</v>
      </c>
      <c r="Y980" s="31"/>
      <c r="Z980" s="31">
        <f t="shared" si="144"/>
        <v>0</v>
      </c>
      <c r="AA980" s="29">
        <f t="shared" si="145"/>
        <v>12275</v>
      </c>
    </row>
    <row r="981" spans="1:38" s="32" customFormat="1" x14ac:dyDescent="0.25">
      <c r="A981" s="18">
        <v>985</v>
      </c>
      <c r="B981" s="19">
        <v>46050</v>
      </c>
      <c r="C981" s="19">
        <v>46050</v>
      </c>
      <c r="D981" s="25">
        <v>260128016</v>
      </c>
      <c r="E981" s="21" t="s">
        <v>1883</v>
      </c>
      <c r="F981" s="21" t="s">
        <v>1884</v>
      </c>
      <c r="G981" s="21">
        <v>38</v>
      </c>
      <c r="H981" s="44">
        <v>115</v>
      </c>
      <c r="I981" s="23" t="s">
        <v>33</v>
      </c>
      <c r="J981" s="24" t="s">
        <v>23</v>
      </c>
      <c r="K981" s="35" t="s">
        <v>31</v>
      </c>
      <c r="L981" s="25" t="s">
        <v>1381</v>
      </c>
      <c r="M981" s="21" t="s">
        <v>32</v>
      </c>
      <c r="N981" s="37">
        <v>56.78</v>
      </c>
      <c r="O981" s="21">
        <v>18.68</v>
      </c>
      <c r="P981" s="26">
        <f t="shared" si="146"/>
        <v>38.1</v>
      </c>
      <c r="Q981" s="27">
        <v>315</v>
      </c>
      <c r="R981" s="28">
        <f t="shared" si="141"/>
        <v>12001.5</v>
      </c>
      <c r="S981" s="27"/>
      <c r="T981" s="29"/>
      <c r="V981" s="23" t="s">
        <v>1885</v>
      </c>
      <c r="W981" s="27">
        <v>145</v>
      </c>
      <c r="X981" s="30">
        <f t="shared" si="143"/>
        <v>5524.5</v>
      </c>
      <c r="Y981" s="31">
        <v>260</v>
      </c>
      <c r="Z981" s="31">
        <f t="shared" si="144"/>
        <v>9906</v>
      </c>
      <c r="AA981" s="29">
        <f t="shared" si="145"/>
        <v>27432</v>
      </c>
    </row>
    <row r="982" spans="1:38" s="32" customFormat="1" x14ac:dyDescent="0.25">
      <c r="A982" s="18">
        <v>986</v>
      </c>
      <c r="B982" s="19">
        <v>46050</v>
      </c>
      <c r="C982" s="19">
        <v>46050</v>
      </c>
      <c r="D982" s="25">
        <v>260128017</v>
      </c>
      <c r="E982" s="21" t="s">
        <v>1886</v>
      </c>
      <c r="F982" s="21" t="s">
        <v>1887</v>
      </c>
      <c r="G982" s="21">
        <v>40</v>
      </c>
      <c r="H982" s="44">
        <v>115</v>
      </c>
      <c r="I982" s="23" t="s">
        <v>33</v>
      </c>
      <c r="J982" s="24" t="s">
        <v>23</v>
      </c>
      <c r="K982" s="35" t="s">
        <v>31</v>
      </c>
      <c r="L982" s="25" t="s">
        <v>39</v>
      </c>
      <c r="M982" s="21" t="s">
        <v>35</v>
      </c>
      <c r="N982" s="37">
        <v>51.94</v>
      </c>
      <c r="O982" s="37">
        <v>11.78</v>
      </c>
      <c r="P982" s="26">
        <f t="shared" si="146"/>
        <v>40.159999999999997</v>
      </c>
      <c r="Q982" s="27">
        <v>445</v>
      </c>
      <c r="R982" s="28">
        <f t="shared" si="141"/>
        <v>17871.199999999997</v>
      </c>
      <c r="S982" s="27"/>
      <c r="T982" s="29"/>
      <c r="V982" s="29" t="s">
        <v>24</v>
      </c>
      <c r="W982" s="27">
        <v>145</v>
      </c>
      <c r="X982" s="30">
        <f t="shared" si="143"/>
        <v>5823.2</v>
      </c>
      <c r="Y982" s="31">
        <v>260</v>
      </c>
      <c r="Z982" s="31">
        <f t="shared" si="144"/>
        <v>10441.599999999999</v>
      </c>
      <c r="AA982" s="29">
        <f t="shared" si="145"/>
        <v>34136</v>
      </c>
    </row>
    <row r="983" spans="1:38" s="32" customFormat="1" x14ac:dyDescent="0.25">
      <c r="A983" s="18">
        <v>987</v>
      </c>
      <c r="B983" s="19">
        <v>46050</v>
      </c>
      <c r="C983" s="19">
        <v>46050</v>
      </c>
      <c r="D983" s="25">
        <v>260128018</v>
      </c>
      <c r="E983" s="21" t="s">
        <v>1888</v>
      </c>
      <c r="F983" s="21" t="s">
        <v>1889</v>
      </c>
      <c r="G983" s="21">
        <v>33</v>
      </c>
      <c r="H983" s="44">
        <v>115</v>
      </c>
      <c r="I983" s="23" t="s">
        <v>33</v>
      </c>
      <c r="J983" s="24" t="s">
        <v>23</v>
      </c>
      <c r="K983" s="35" t="s">
        <v>31</v>
      </c>
      <c r="L983" s="21" t="s">
        <v>51</v>
      </c>
      <c r="M983" s="21" t="s">
        <v>34</v>
      </c>
      <c r="N983" s="37">
        <v>45.32</v>
      </c>
      <c r="O983" s="37">
        <v>11.46</v>
      </c>
      <c r="P983" s="26">
        <f t="shared" si="146"/>
        <v>33.86</v>
      </c>
      <c r="Q983" s="27">
        <v>545</v>
      </c>
      <c r="R983" s="28">
        <f t="shared" si="141"/>
        <v>18453.7</v>
      </c>
      <c r="S983" s="27"/>
      <c r="T983" s="29"/>
      <c r="V983" s="29" t="s">
        <v>24</v>
      </c>
      <c r="W983" s="27">
        <v>145</v>
      </c>
      <c r="X983" s="30">
        <f t="shared" si="143"/>
        <v>4909.7</v>
      </c>
      <c r="Y983" s="31">
        <v>260</v>
      </c>
      <c r="Z983" s="31">
        <f t="shared" si="144"/>
        <v>8803.6</v>
      </c>
      <c r="AA983" s="29">
        <f t="shared" si="145"/>
        <v>32167</v>
      </c>
    </row>
    <row r="984" spans="1:38" s="32" customFormat="1" x14ac:dyDescent="0.25">
      <c r="A984" s="18">
        <v>988</v>
      </c>
      <c r="B984" s="19">
        <v>46050</v>
      </c>
      <c r="C984" s="19">
        <v>46050</v>
      </c>
      <c r="D984" s="25" t="s">
        <v>1890</v>
      </c>
      <c r="E984" s="21"/>
      <c r="F984" s="21"/>
      <c r="G984" s="21"/>
      <c r="H984" s="66"/>
      <c r="I984" s="60" t="s">
        <v>201</v>
      </c>
      <c r="J984" s="95" t="s">
        <v>23</v>
      </c>
      <c r="K984" s="60" t="s">
        <v>31</v>
      </c>
      <c r="L984" s="25" t="s">
        <v>414</v>
      </c>
      <c r="M984" s="21" t="s">
        <v>203</v>
      </c>
      <c r="N984" s="37">
        <v>26.12</v>
      </c>
      <c r="O984" s="37">
        <v>14.1</v>
      </c>
      <c r="P984" s="26">
        <f t="shared" si="146"/>
        <v>12.020000000000001</v>
      </c>
      <c r="Q984" s="27">
        <v>0</v>
      </c>
      <c r="R984" s="28">
        <f t="shared" si="141"/>
        <v>0</v>
      </c>
      <c r="S984" s="27"/>
      <c r="T984" s="29"/>
      <c r="V984" s="29" t="s">
        <v>24</v>
      </c>
      <c r="W984" s="27"/>
      <c r="X984" s="30">
        <f t="shared" si="143"/>
        <v>0</v>
      </c>
      <c r="Y984" s="31"/>
      <c r="Z984" s="31">
        <f t="shared" si="144"/>
        <v>0</v>
      </c>
      <c r="AA984" s="29">
        <f t="shared" si="145"/>
        <v>0</v>
      </c>
      <c r="AB984" s="40"/>
      <c r="AC984" s="39"/>
      <c r="AD984" s="41"/>
      <c r="AE984" s="42"/>
      <c r="AF984" s="39"/>
      <c r="AG984" s="42"/>
      <c r="AH984" s="39"/>
      <c r="AI984" s="41"/>
      <c r="AJ984" s="39"/>
      <c r="AK984" s="41"/>
      <c r="AL984" s="41"/>
    </row>
    <row r="985" spans="1:38" s="32" customFormat="1" x14ac:dyDescent="0.25">
      <c r="A985" s="18">
        <v>989</v>
      </c>
      <c r="B985" s="19">
        <v>46050</v>
      </c>
      <c r="C985" s="19">
        <v>46050</v>
      </c>
      <c r="D985" s="25" t="s">
        <v>1891</v>
      </c>
      <c r="E985" s="21"/>
      <c r="F985" s="21"/>
      <c r="G985" s="21"/>
      <c r="H985" s="66"/>
      <c r="I985" s="60" t="s">
        <v>201</v>
      </c>
      <c r="J985" s="95" t="s">
        <v>23</v>
      </c>
      <c r="K985" s="60" t="s">
        <v>31</v>
      </c>
      <c r="L985" s="25" t="s">
        <v>946</v>
      </c>
      <c r="M985" s="21" t="s">
        <v>203</v>
      </c>
      <c r="N985" s="37">
        <v>27.7</v>
      </c>
      <c r="O985" s="37">
        <v>14.36</v>
      </c>
      <c r="P985" s="26">
        <f t="shared" si="146"/>
        <v>13.34</v>
      </c>
      <c r="Q985" s="27">
        <v>0</v>
      </c>
      <c r="R985" s="28">
        <f t="shared" si="141"/>
        <v>0</v>
      </c>
      <c r="S985" s="27"/>
      <c r="T985" s="29"/>
      <c r="V985" s="29" t="s">
        <v>24</v>
      </c>
      <c r="W985" s="27"/>
      <c r="X985" s="30">
        <f t="shared" si="143"/>
        <v>0</v>
      </c>
      <c r="Y985" s="31"/>
      <c r="Z985" s="31">
        <f t="shared" si="144"/>
        <v>0</v>
      </c>
      <c r="AA985" s="29">
        <f t="shared" si="145"/>
        <v>0</v>
      </c>
    </row>
    <row r="986" spans="1:38" s="32" customFormat="1" x14ac:dyDescent="0.25">
      <c r="A986" s="18">
        <v>990</v>
      </c>
      <c r="B986" s="19">
        <v>46050</v>
      </c>
      <c r="C986" s="19">
        <v>46050</v>
      </c>
      <c r="D986" s="25">
        <v>260128019</v>
      </c>
      <c r="E986" s="21"/>
      <c r="F986" s="21"/>
      <c r="G986" s="21"/>
      <c r="H986" s="33">
        <v>285</v>
      </c>
      <c r="I986" s="73" t="s">
        <v>703</v>
      </c>
      <c r="J986" s="24" t="s">
        <v>23</v>
      </c>
      <c r="K986" s="23" t="s">
        <v>31</v>
      </c>
      <c r="L986" s="82" t="s">
        <v>664</v>
      </c>
      <c r="M986" s="21" t="s">
        <v>767</v>
      </c>
      <c r="N986" s="37">
        <v>66</v>
      </c>
      <c r="O986" s="37">
        <v>14.2</v>
      </c>
      <c r="P986" s="26">
        <f t="shared" si="146"/>
        <v>51.8</v>
      </c>
      <c r="Q986" s="27">
        <v>300</v>
      </c>
      <c r="R986" s="28">
        <f t="shared" si="141"/>
        <v>15540</v>
      </c>
      <c r="S986" s="27"/>
      <c r="T986" s="29"/>
      <c r="V986" s="29" t="s">
        <v>45</v>
      </c>
      <c r="W986" s="27"/>
      <c r="X986" s="30">
        <f t="shared" si="143"/>
        <v>0</v>
      </c>
      <c r="Y986" s="31"/>
      <c r="Z986" s="31">
        <f t="shared" si="144"/>
        <v>0</v>
      </c>
      <c r="AA986" s="29">
        <f t="shared" si="145"/>
        <v>15540</v>
      </c>
    </row>
    <row r="987" spans="1:38" s="32" customFormat="1" x14ac:dyDescent="0.25">
      <c r="A987" s="18">
        <v>991</v>
      </c>
      <c r="B987" s="19">
        <v>46050</v>
      </c>
      <c r="C987" s="19">
        <v>46050</v>
      </c>
      <c r="D987" s="25">
        <v>260128020</v>
      </c>
      <c r="E987" s="21"/>
      <c r="F987" s="21"/>
      <c r="G987" s="21"/>
      <c r="H987" s="33">
        <v>285</v>
      </c>
      <c r="I987" s="73" t="s">
        <v>703</v>
      </c>
      <c r="J987" s="24" t="s">
        <v>23</v>
      </c>
      <c r="K987" s="23" t="s">
        <v>31</v>
      </c>
      <c r="L987" s="25" t="s">
        <v>704</v>
      </c>
      <c r="M987" s="21" t="s">
        <v>767</v>
      </c>
      <c r="N987" s="37">
        <v>68.34</v>
      </c>
      <c r="O987" s="37">
        <v>15.45</v>
      </c>
      <c r="P987" s="26">
        <f t="shared" si="146"/>
        <v>52.89</v>
      </c>
      <c r="Q987" s="27">
        <v>300</v>
      </c>
      <c r="R987" s="28">
        <f t="shared" si="141"/>
        <v>15867</v>
      </c>
      <c r="S987" s="27"/>
      <c r="T987" s="29"/>
      <c r="V987" s="29" t="s">
        <v>45</v>
      </c>
      <c r="W987" s="27"/>
      <c r="X987" s="30">
        <f t="shared" si="143"/>
        <v>0</v>
      </c>
      <c r="Y987" s="31"/>
      <c r="Z987" s="31">
        <f t="shared" si="144"/>
        <v>0</v>
      </c>
      <c r="AA987" s="29">
        <f t="shared" si="145"/>
        <v>15867</v>
      </c>
    </row>
    <row r="988" spans="1:38" s="38" customFormat="1" x14ac:dyDescent="0.25">
      <c r="A988" s="18">
        <v>992</v>
      </c>
      <c r="B988" s="19">
        <v>46050</v>
      </c>
      <c r="C988" s="19">
        <v>46050</v>
      </c>
      <c r="D988" s="25">
        <v>260128021</v>
      </c>
      <c r="E988" s="21"/>
      <c r="F988" s="21"/>
      <c r="G988" s="21"/>
      <c r="H988" s="33">
        <v>285</v>
      </c>
      <c r="I988" s="73" t="s">
        <v>703</v>
      </c>
      <c r="J988" s="24" t="s">
        <v>23</v>
      </c>
      <c r="K988" s="23" t="s">
        <v>31</v>
      </c>
      <c r="L988" s="25" t="s">
        <v>459</v>
      </c>
      <c r="M988" s="21" t="s">
        <v>767</v>
      </c>
      <c r="N988" s="37">
        <v>51.16</v>
      </c>
      <c r="O988" s="37">
        <v>11.86</v>
      </c>
      <c r="P988" s="26">
        <f t="shared" si="146"/>
        <v>39.299999999999997</v>
      </c>
      <c r="Q988" s="27">
        <v>300</v>
      </c>
      <c r="R988" s="28">
        <f t="shared" si="141"/>
        <v>11790</v>
      </c>
      <c r="S988" s="27"/>
      <c r="T988" s="94"/>
      <c r="V988" s="29" t="s">
        <v>45</v>
      </c>
      <c r="W988" s="27"/>
      <c r="X988" s="30">
        <f t="shared" si="143"/>
        <v>0</v>
      </c>
      <c r="Y988" s="31"/>
      <c r="Z988" s="31">
        <f t="shared" si="144"/>
        <v>0</v>
      </c>
      <c r="AA988" s="29">
        <f t="shared" si="145"/>
        <v>11790</v>
      </c>
    </row>
    <row r="989" spans="1:38" s="38" customFormat="1" x14ac:dyDescent="0.25">
      <c r="A989" s="18">
        <v>993</v>
      </c>
      <c r="B989" s="19">
        <v>46050</v>
      </c>
      <c r="C989" s="19">
        <v>46050</v>
      </c>
      <c r="D989" s="25">
        <v>260128022</v>
      </c>
      <c r="E989" s="21"/>
      <c r="F989" s="21"/>
      <c r="G989" s="21"/>
      <c r="H989" s="33">
        <v>285</v>
      </c>
      <c r="I989" s="73" t="s">
        <v>703</v>
      </c>
      <c r="J989" s="24" t="s">
        <v>23</v>
      </c>
      <c r="K989" s="23" t="s">
        <v>31</v>
      </c>
      <c r="L989" s="25" t="s">
        <v>662</v>
      </c>
      <c r="M989" s="21" t="s">
        <v>767</v>
      </c>
      <c r="N989" s="37">
        <v>62.32</v>
      </c>
      <c r="O989" s="37">
        <v>13.8</v>
      </c>
      <c r="P989" s="26">
        <f t="shared" si="146"/>
        <v>48.519999999999996</v>
      </c>
      <c r="Q989" s="27">
        <v>300</v>
      </c>
      <c r="R989" s="28">
        <f t="shared" si="141"/>
        <v>14555.999999999998</v>
      </c>
      <c r="S989" s="27"/>
      <c r="T989" s="29"/>
      <c r="V989" s="29" t="s">
        <v>45</v>
      </c>
      <c r="W989" s="27"/>
      <c r="X989" s="30">
        <f t="shared" si="143"/>
        <v>0</v>
      </c>
      <c r="Y989" s="31"/>
      <c r="Z989" s="31">
        <f t="shared" si="144"/>
        <v>0</v>
      </c>
      <c r="AA989" s="29">
        <f t="shared" si="145"/>
        <v>14555.999999999998</v>
      </c>
    </row>
    <row r="990" spans="1:38" s="38" customFormat="1" x14ac:dyDescent="0.25">
      <c r="A990" s="18">
        <v>994</v>
      </c>
      <c r="B990" s="19">
        <v>46050</v>
      </c>
      <c r="C990" s="19">
        <v>46050</v>
      </c>
      <c r="D990" s="25">
        <v>260128023</v>
      </c>
      <c r="E990" s="21" t="s">
        <v>1892</v>
      </c>
      <c r="F990" s="21" t="s">
        <v>1893</v>
      </c>
      <c r="G990" s="21">
        <v>40</v>
      </c>
      <c r="H990" s="44">
        <v>115</v>
      </c>
      <c r="I990" s="23" t="s">
        <v>33</v>
      </c>
      <c r="J990" s="24" t="s">
        <v>23</v>
      </c>
      <c r="K990" s="35" t="s">
        <v>31</v>
      </c>
      <c r="L990" s="25" t="s">
        <v>36</v>
      </c>
      <c r="M990" s="21" t="s">
        <v>32</v>
      </c>
      <c r="N990" s="37">
        <v>56.08</v>
      </c>
      <c r="O990" s="37">
        <v>15.72</v>
      </c>
      <c r="P990" s="26">
        <f t="shared" si="146"/>
        <v>40.36</v>
      </c>
      <c r="Q990" s="27">
        <v>315</v>
      </c>
      <c r="R990" s="28">
        <f t="shared" si="141"/>
        <v>12713.4</v>
      </c>
      <c r="S990" s="27"/>
      <c r="T990" s="29"/>
      <c r="V990" s="29" t="s">
        <v>1894</v>
      </c>
      <c r="W990" s="27">
        <v>145</v>
      </c>
      <c r="X990" s="30">
        <f t="shared" si="143"/>
        <v>5852.2</v>
      </c>
      <c r="Y990" s="31">
        <v>260</v>
      </c>
      <c r="Z990" s="31">
        <f t="shared" si="144"/>
        <v>10493.6</v>
      </c>
      <c r="AA990" s="29">
        <f t="shared" si="145"/>
        <v>29059.199999999997</v>
      </c>
    </row>
    <row r="991" spans="1:38" s="32" customFormat="1" x14ac:dyDescent="0.25">
      <c r="A991" s="18">
        <v>995</v>
      </c>
      <c r="B991" s="19">
        <v>46050</v>
      </c>
      <c r="C991" s="19">
        <v>46050</v>
      </c>
      <c r="D991" s="25">
        <v>260128024</v>
      </c>
      <c r="E991" s="21" t="s">
        <v>1895</v>
      </c>
      <c r="F991" s="21" t="s">
        <v>1896</v>
      </c>
      <c r="G991" s="21">
        <v>42</v>
      </c>
      <c r="H991" s="44">
        <v>115</v>
      </c>
      <c r="I991" s="23" t="s">
        <v>33</v>
      </c>
      <c r="J991" s="24" t="s">
        <v>23</v>
      </c>
      <c r="K991" s="35" t="s">
        <v>31</v>
      </c>
      <c r="L991" s="25" t="s">
        <v>1738</v>
      </c>
      <c r="M991" s="21" t="s">
        <v>32</v>
      </c>
      <c r="N991" s="37">
        <v>61.7</v>
      </c>
      <c r="O991" s="37">
        <v>18.760000000000002</v>
      </c>
      <c r="P991" s="26">
        <f t="shared" si="146"/>
        <v>42.94</v>
      </c>
      <c r="Q991" s="27">
        <v>315</v>
      </c>
      <c r="R991" s="28">
        <f t="shared" si="141"/>
        <v>13526.099999999999</v>
      </c>
      <c r="S991" s="27"/>
      <c r="T991" s="29"/>
      <c r="V991" s="29" t="s">
        <v>1894</v>
      </c>
      <c r="W991" s="27">
        <v>145</v>
      </c>
      <c r="X991" s="30">
        <f t="shared" si="143"/>
        <v>6226.2999999999993</v>
      </c>
      <c r="Y991" s="31">
        <v>260</v>
      </c>
      <c r="Z991" s="31">
        <f t="shared" si="144"/>
        <v>11164.4</v>
      </c>
      <c r="AA991" s="29">
        <f t="shared" si="145"/>
        <v>30916.799999999996</v>
      </c>
    </row>
    <row r="992" spans="1:38" s="32" customFormat="1" x14ac:dyDescent="0.25">
      <c r="A992" s="18">
        <v>996</v>
      </c>
      <c r="B992" s="19">
        <v>46050</v>
      </c>
      <c r="C992" s="19">
        <v>46050</v>
      </c>
      <c r="D992" s="25">
        <v>260128025</v>
      </c>
      <c r="E992" s="21" t="s">
        <v>1897</v>
      </c>
      <c r="F992" s="21" t="s">
        <v>1898</v>
      </c>
      <c r="G992" s="21">
        <v>47</v>
      </c>
      <c r="H992" s="36">
        <v>130</v>
      </c>
      <c r="I992" s="23" t="s">
        <v>1499</v>
      </c>
      <c r="J992" s="24" t="s">
        <v>23</v>
      </c>
      <c r="K992" s="23" t="s">
        <v>31</v>
      </c>
      <c r="L992" s="25" t="s">
        <v>876</v>
      </c>
      <c r="M992" s="21" t="s">
        <v>34</v>
      </c>
      <c r="N992" s="37">
        <v>62.56</v>
      </c>
      <c r="O992" s="37">
        <v>15.48</v>
      </c>
      <c r="P992" s="26">
        <f t="shared" si="146"/>
        <v>47.08</v>
      </c>
      <c r="Q992" s="27">
        <v>520</v>
      </c>
      <c r="R992" s="28">
        <f t="shared" si="141"/>
        <v>24481.599999999999</v>
      </c>
      <c r="S992" s="27"/>
      <c r="T992" s="29"/>
      <c r="V992" s="29" t="s">
        <v>253</v>
      </c>
      <c r="W992" s="27">
        <v>150</v>
      </c>
      <c r="X992" s="30">
        <f t="shared" si="143"/>
        <v>7062</v>
      </c>
      <c r="Y992" s="31"/>
      <c r="Z992" s="31">
        <f t="shared" si="144"/>
        <v>0</v>
      </c>
      <c r="AA992" s="29">
        <f t="shared" si="145"/>
        <v>31543.599999999999</v>
      </c>
    </row>
    <row r="993" spans="1:27" s="32" customFormat="1" x14ac:dyDescent="0.25">
      <c r="A993" s="18">
        <v>997</v>
      </c>
      <c r="B993" s="19">
        <v>46050</v>
      </c>
      <c r="C993" s="19">
        <v>46050</v>
      </c>
      <c r="D993" s="25">
        <v>260127016</v>
      </c>
      <c r="E993" s="21" t="s">
        <v>1899</v>
      </c>
      <c r="F993" s="21" t="s">
        <v>1900</v>
      </c>
      <c r="G993" s="21">
        <v>46</v>
      </c>
      <c r="H993" s="44">
        <v>115</v>
      </c>
      <c r="I993" s="23" t="s">
        <v>33</v>
      </c>
      <c r="J993" s="24" t="s">
        <v>23</v>
      </c>
      <c r="K993" s="35" t="s">
        <v>31</v>
      </c>
      <c r="L993" s="25" t="s">
        <v>1421</v>
      </c>
      <c r="M993" s="21" t="s">
        <v>32</v>
      </c>
      <c r="N993" s="37">
        <v>65.16</v>
      </c>
      <c r="O993" s="37">
        <v>18.66</v>
      </c>
      <c r="P993" s="26">
        <f t="shared" si="146"/>
        <v>46.5</v>
      </c>
      <c r="Q993" s="27">
        <v>315</v>
      </c>
      <c r="R993" s="28">
        <f>P993*Q993</f>
        <v>14647.5</v>
      </c>
      <c r="S993" s="27"/>
      <c r="T993" s="29"/>
      <c r="V993" s="29" t="s">
        <v>24</v>
      </c>
      <c r="W993" s="27">
        <v>145</v>
      </c>
      <c r="X993" s="30">
        <f t="shared" ref="X993:X1007" si="147">P993*W993</f>
        <v>6742.5</v>
      </c>
      <c r="Y993" s="31">
        <v>260</v>
      </c>
      <c r="Z993" s="31">
        <f t="shared" si="144"/>
        <v>12090</v>
      </c>
      <c r="AA993" s="29">
        <f t="shared" si="145"/>
        <v>33480</v>
      </c>
    </row>
    <row r="994" spans="1:27" s="38" customFormat="1" x14ac:dyDescent="0.25">
      <c r="A994" s="18">
        <v>998</v>
      </c>
      <c r="B994" s="19">
        <v>46050</v>
      </c>
      <c r="C994" s="19">
        <v>46050</v>
      </c>
      <c r="D994" s="92">
        <v>260128026</v>
      </c>
      <c r="E994" s="21"/>
      <c r="F994" s="21"/>
      <c r="G994" s="21"/>
      <c r="H994" s="33">
        <v>285</v>
      </c>
      <c r="I994" s="73" t="s">
        <v>703</v>
      </c>
      <c r="J994" s="24" t="s">
        <v>23</v>
      </c>
      <c r="K994" s="23" t="s">
        <v>31</v>
      </c>
      <c r="L994" s="25" t="s">
        <v>37</v>
      </c>
      <c r="M994" s="21" t="s">
        <v>767</v>
      </c>
      <c r="N994" s="37">
        <v>70.16</v>
      </c>
      <c r="O994" s="37">
        <v>15.64</v>
      </c>
      <c r="P994" s="26">
        <f t="shared" si="146"/>
        <v>54.519999999999996</v>
      </c>
      <c r="Q994" s="27">
        <v>300</v>
      </c>
      <c r="R994" s="28">
        <f t="shared" ref="R994:R1001" si="148">P994*Q994</f>
        <v>16355.999999999998</v>
      </c>
      <c r="S994" s="27"/>
      <c r="T994" s="29"/>
      <c r="V994" s="29" t="s">
        <v>45</v>
      </c>
      <c r="W994" s="27"/>
      <c r="X994" s="30">
        <f t="shared" si="147"/>
        <v>0</v>
      </c>
      <c r="Y994" s="31"/>
      <c r="Z994" s="31">
        <f t="shared" si="144"/>
        <v>0</v>
      </c>
      <c r="AA994" s="29">
        <f t="shared" si="145"/>
        <v>16355.999999999998</v>
      </c>
    </row>
    <row r="995" spans="1:27" s="38" customFormat="1" x14ac:dyDescent="0.25">
      <c r="A995" s="18">
        <v>999</v>
      </c>
      <c r="B995" s="19">
        <v>46050</v>
      </c>
      <c r="C995" s="19">
        <v>46050</v>
      </c>
      <c r="D995" s="25">
        <v>260128027</v>
      </c>
      <c r="E995" s="21"/>
      <c r="F995" s="21"/>
      <c r="G995" s="21"/>
      <c r="H995" s="33">
        <v>285</v>
      </c>
      <c r="I995" s="73" t="s">
        <v>703</v>
      </c>
      <c r="J995" s="24" t="s">
        <v>23</v>
      </c>
      <c r="K995" s="23" t="s">
        <v>31</v>
      </c>
      <c r="L995" s="25" t="s">
        <v>53</v>
      </c>
      <c r="M995" s="21" t="s">
        <v>767</v>
      </c>
      <c r="N995" s="37">
        <v>53.32</v>
      </c>
      <c r="O995" s="37">
        <v>11.36</v>
      </c>
      <c r="P995" s="26">
        <f t="shared" si="146"/>
        <v>41.96</v>
      </c>
      <c r="Q995" s="27">
        <v>300</v>
      </c>
      <c r="R995" s="28">
        <f t="shared" si="148"/>
        <v>12588</v>
      </c>
      <c r="S995" s="27"/>
      <c r="T995" s="29"/>
      <c r="V995" s="29" t="s">
        <v>45</v>
      </c>
      <c r="W995" s="27"/>
      <c r="X995" s="30">
        <f t="shared" si="147"/>
        <v>0</v>
      </c>
      <c r="Y995" s="31"/>
      <c r="Z995" s="31">
        <f t="shared" si="144"/>
        <v>0</v>
      </c>
      <c r="AA995" s="29">
        <f t="shared" si="145"/>
        <v>12588</v>
      </c>
    </row>
    <row r="996" spans="1:27" s="32" customFormat="1" x14ac:dyDescent="0.25">
      <c r="A996" s="18">
        <v>1000</v>
      </c>
      <c r="B996" s="19">
        <v>46050</v>
      </c>
      <c r="C996" s="19">
        <v>46050</v>
      </c>
      <c r="D996" s="25">
        <v>260128028</v>
      </c>
      <c r="E996" s="21"/>
      <c r="F996" s="21"/>
      <c r="G996" s="21"/>
      <c r="H996" s="33">
        <v>285</v>
      </c>
      <c r="I996" s="73" t="s">
        <v>703</v>
      </c>
      <c r="J996" s="24" t="s">
        <v>23</v>
      </c>
      <c r="K996" s="23" t="s">
        <v>31</v>
      </c>
      <c r="L996" s="25" t="s">
        <v>649</v>
      </c>
      <c r="M996" s="21" t="s">
        <v>767</v>
      </c>
      <c r="N996" s="37">
        <v>53.48</v>
      </c>
      <c r="O996" s="37">
        <v>12.34</v>
      </c>
      <c r="P996" s="26">
        <f t="shared" si="146"/>
        <v>41.14</v>
      </c>
      <c r="Q996" s="27">
        <v>300</v>
      </c>
      <c r="R996" s="28">
        <f t="shared" si="148"/>
        <v>12342</v>
      </c>
      <c r="S996" s="27"/>
      <c r="T996" s="29"/>
      <c r="V996" s="29" t="s">
        <v>45</v>
      </c>
      <c r="W996" s="27"/>
      <c r="X996" s="30">
        <f t="shared" si="147"/>
        <v>0</v>
      </c>
      <c r="Y996" s="31"/>
      <c r="Z996" s="31">
        <f t="shared" si="144"/>
        <v>0</v>
      </c>
      <c r="AA996" s="29">
        <f t="shared" si="145"/>
        <v>12342</v>
      </c>
    </row>
    <row r="997" spans="1:27" s="32" customFormat="1" x14ac:dyDescent="0.25">
      <c r="A997" s="18">
        <v>1001</v>
      </c>
      <c r="B997" s="19">
        <v>46050</v>
      </c>
      <c r="C997" s="19">
        <v>46050</v>
      </c>
      <c r="D997" s="25">
        <v>260128029</v>
      </c>
      <c r="E997" s="21"/>
      <c r="F997" s="21"/>
      <c r="G997" s="21"/>
      <c r="H997" s="33">
        <v>285</v>
      </c>
      <c r="I997" s="73" t="s">
        <v>703</v>
      </c>
      <c r="J997" s="24" t="s">
        <v>23</v>
      </c>
      <c r="K997" s="23" t="s">
        <v>31</v>
      </c>
      <c r="L997" s="21" t="s">
        <v>711</v>
      </c>
      <c r="M997" s="21" t="s">
        <v>767</v>
      </c>
      <c r="N997" s="37">
        <v>68.099999999999994</v>
      </c>
      <c r="O997" s="37">
        <v>15.78</v>
      </c>
      <c r="P997" s="26">
        <f t="shared" si="146"/>
        <v>52.319999999999993</v>
      </c>
      <c r="Q997" s="27">
        <v>300</v>
      </c>
      <c r="R997" s="28">
        <f t="shared" si="148"/>
        <v>15695.999999999998</v>
      </c>
      <c r="S997" s="27"/>
      <c r="T997" s="29"/>
      <c r="V997" s="29" t="s">
        <v>45</v>
      </c>
      <c r="W997" s="27"/>
      <c r="X997" s="30">
        <f t="shared" si="147"/>
        <v>0</v>
      </c>
      <c r="Y997" s="31"/>
      <c r="Z997" s="31">
        <f t="shared" si="144"/>
        <v>0</v>
      </c>
      <c r="AA997" s="29">
        <f t="shared" si="145"/>
        <v>15695.999999999998</v>
      </c>
    </row>
    <row r="998" spans="1:27" s="32" customFormat="1" x14ac:dyDescent="0.25">
      <c r="A998" s="18">
        <v>1002</v>
      </c>
      <c r="B998" s="19">
        <v>46050</v>
      </c>
      <c r="C998" s="19">
        <v>46051</v>
      </c>
      <c r="D998" s="51">
        <v>260129001</v>
      </c>
      <c r="E998" s="21" t="s">
        <v>1901</v>
      </c>
      <c r="F998" s="21" t="s">
        <v>1902</v>
      </c>
      <c r="G998" s="21">
        <v>49</v>
      </c>
      <c r="H998" s="44">
        <v>115</v>
      </c>
      <c r="I998" s="23" t="s">
        <v>33</v>
      </c>
      <c r="J998" s="24" t="s">
        <v>23</v>
      </c>
      <c r="K998" s="35" t="s">
        <v>31</v>
      </c>
      <c r="L998" s="25" t="s">
        <v>1381</v>
      </c>
      <c r="M998" s="21" t="s">
        <v>34</v>
      </c>
      <c r="N998" s="37">
        <v>67.66</v>
      </c>
      <c r="O998" s="37">
        <v>18.64</v>
      </c>
      <c r="P998" s="26">
        <f t="shared" si="146"/>
        <v>49.019999999999996</v>
      </c>
      <c r="Q998" s="27">
        <v>545</v>
      </c>
      <c r="R998" s="28">
        <f t="shared" si="148"/>
        <v>26715.899999999998</v>
      </c>
      <c r="S998" s="27"/>
      <c r="T998" s="29"/>
      <c r="V998" s="29" t="s">
        <v>24</v>
      </c>
      <c r="W998" s="27">
        <v>145</v>
      </c>
      <c r="X998" s="30">
        <f t="shared" si="147"/>
        <v>7107.9</v>
      </c>
      <c r="Y998" s="31">
        <v>260</v>
      </c>
      <c r="Z998" s="31">
        <f t="shared" si="144"/>
        <v>12745.199999999999</v>
      </c>
      <c r="AA998" s="29">
        <f t="shared" si="145"/>
        <v>46568.999999999993</v>
      </c>
    </row>
    <row r="999" spans="1:27" s="32" customFormat="1" x14ac:dyDescent="0.25">
      <c r="A999" s="18">
        <v>1003</v>
      </c>
      <c r="B999" s="19">
        <v>46050</v>
      </c>
      <c r="C999" s="19">
        <v>46051</v>
      </c>
      <c r="D999" s="51">
        <v>260129002</v>
      </c>
      <c r="E999" s="21" t="s">
        <v>1903</v>
      </c>
      <c r="F999" s="21" t="s">
        <v>1904</v>
      </c>
      <c r="G999" s="21">
        <v>37</v>
      </c>
      <c r="H999" s="44">
        <v>115</v>
      </c>
      <c r="I999" s="23" t="s">
        <v>33</v>
      </c>
      <c r="J999" s="24" t="s">
        <v>23</v>
      </c>
      <c r="K999" s="35" t="s">
        <v>31</v>
      </c>
      <c r="L999" s="25" t="s">
        <v>40</v>
      </c>
      <c r="M999" s="21" t="s">
        <v>35</v>
      </c>
      <c r="N999" s="37">
        <v>48.86</v>
      </c>
      <c r="O999" s="37">
        <v>11.5</v>
      </c>
      <c r="P999" s="26">
        <f t="shared" si="146"/>
        <v>37.36</v>
      </c>
      <c r="Q999" s="27">
        <v>445</v>
      </c>
      <c r="R999" s="28">
        <f t="shared" si="148"/>
        <v>16625.2</v>
      </c>
      <c r="S999" s="27"/>
      <c r="T999" s="29"/>
      <c r="V999" s="29" t="s">
        <v>24</v>
      </c>
      <c r="W999" s="27">
        <v>145</v>
      </c>
      <c r="X999" s="30">
        <f t="shared" si="147"/>
        <v>5417.2</v>
      </c>
      <c r="Y999" s="31">
        <v>260</v>
      </c>
      <c r="Z999" s="31">
        <f t="shared" si="144"/>
        <v>9713.6</v>
      </c>
      <c r="AA999" s="29">
        <f t="shared" si="145"/>
        <v>31756</v>
      </c>
    </row>
    <row r="1000" spans="1:27" s="38" customFormat="1" x14ac:dyDescent="0.25">
      <c r="A1000" s="18">
        <v>1004</v>
      </c>
      <c r="B1000" s="19">
        <v>46050</v>
      </c>
      <c r="C1000" s="19">
        <v>46051</v>
      </c>
      <c r="D1000" s="51">
        <v>260129003</v>
      </c>
      <c r="E1000" s="21"/>
      <c r="F1000" s="21"/>
      <c r="G1000" s="21"/>
      <c r="H1000" s="33">
        <v>285</v>
      </c>
      <c r="I1000" s="73" t="s">
        <v>703</v>
      </c>
      <c r="J1000" s="24" t="s">
        <v>23</v>
      </c>
      <c r="K1000" s="23" t="s">
        <v>31</v>
      </c>
      <c r="L1000" s="20" t="s">
        <v>60</v>
      </c>
      <c r="M1000" s="21" t="s">
        <v>767</v>
      </c>
      <c r="N1000" s="37">
        <v>62.86</v>
      </c>
      <c r="O1000" s="37">
        <v>14.04</v>
      </c>
      <c r="P1000" s="26">
        <f t="shared" si="146"/>
        <v>48.82</v>
      </c>
      <c r="Q1000" s="27">
        <v>300</v>
      </c>
      <c r="R1000" s="28">
        <f t="shared" si="148"/>
        <v>14646</v>
      </c>
      <c r="S1000" s="21"/>
      <c r="T1000" s="29"/>
      <c r="V1000" s="29" t="s">
        <v>45</v>
      </c>
      <c r="W1000" s="27"/>
      <c r="X1000" s="30">
        <f t="shared" si="147"/>
        <v>0</v>
      </c>
      <c r="Y1000" s="31"/>
      <c r="Z1000" s="31">
        <f t="shared" si="144"/>
        <v>0</v>
      </c>
      <c r="AA1000" s="29">
        <f t="shared" si="145"/>
        <v>14646</v>
      </c>
    </row>
    <row r="1001" spans="1:27" s="32" customFormat="1" x14ac:dyDescent="0.25">
      <c r="A1001" s="18">
        <v>1005</v>
      </c>
      <c r="B1001" s="19">
        <v>46050</v>
      </c>
      <c r="C1001" s="19">
        <v>46051</v>
      </c>
      <c r="D1001" s="51">
        <v>260129004</v>
      </c>
      <c r="E1001" s="21"/>
      <c r="F1001" s="21"/>
      <c r="G1001" s="21"/>
      <c r="H1001" s="33">
        <v>285</v>
      </c>
      <c r="I1001" s="73" t="s">
        <v>703</v>
      </c>
      <c r="J1001" s="24" t="s">
        <v>23</v>
      </c>
      <c r="K1001" s="23" t="s">
        <v>31</v>
      </c>
      <c r="L1001" s="20" t="s">
        <v>61</v>
      </c>
      <c r="M1001" s="21" t="s">
        <v>767</v>
      </c>
      <c r="N1001" s="37">
        <v>64.44</v>
      </c>
      <c r="O1001" s="37">
        <v>15.38</v>
      </c>
      <c r="P1001" s="26">
        <f t="shared" si="146"/>
        <v>49.059999999999995</v>
      </c>
      <c r="Q1001" s="27">
        <v>300</v>
      </c>
      <c r="R1001" s="28">
        <f t="shared" si="148"/>
        <v>14717.999999999998</v>
      </c>
      <c r="S1001" s="27"/>
      <c r="T1001" s="29"/>
      <c r="V1001" s="29" t="s">
        <v>45</v>
      </c>
      <c r="W1001" s="27"/>
      <c r="X1001" s="30">
        <f t="shared" si="147"/>
        <v>0</v>
      </c>
      <c r="Y1001" s="31"/>
      <c r="Z1001" s="31">
        <f t="shared" si="144"/>
        <v>0</v>
      </c>
      <c r="AA1001" s="29">
        <f t="shared" si="145"/>
        <v>14717.999999999998</v>
      </c>
    </row>
    <row r="1002" spans="1:27" s="32" customFormat="1" x14ac:dyDescent="0.25">
      <c r="A1002" s="18">
        <v>1006</v>
      </c>
      <c r="B1002" s="19">
        <v>46050</v>
      </c>
      <c r="C1002" s="19">
        <v>46051</v>
      </c>
      <c r="D1002" s="51">
        <v>260129005</v>
      </c>
      <c r="E1002" s="21"/>
      <c r="F1002" s="21"/>
      <c r="G1002" s="21"/>
      <c r="H1002" s="33">
        <v>285</v>
      </c>
      <c r="I1002" s="73" t="s">
        <v>703</v>
      </c>
      <c r="J1002" s="24" t="s">
        <v>23</v>
      </c>
      <c r="K1002" s="23" t="s">
        <v>31</v>
      </c>
      <c r="L1002" s="20" t="s">
        <v>348</v>
      </c>
      <c r="M1002" s="21" t="s">
        <v>767</v>
      </c>
      <c r="N1002" s="37">
        <v>65.739999999999995</v>
      </c>
      <c r="O1002" s="37">
        <v>15.52</v>
      </c>
      <c r="P1002" s="26">
        <f t="shared" si="146"/>
        <v>50.22</v>
      </c>
      <c r="Q1002" s="27">
        <v>300</v>
      </c>
      <c r="R1002" s="28">
        <f>P1002*Q1002</f>
        <v>15066</v>
      </c>
      <c r="S1002" s="27"/>
      <c r="T1002" s="29"/>
      <c r="V1002" s="29" t="s">
        <v>45</v>
      </c>
      <c r="W1002" s="27"/>
      <c r="X1002" s="30">
        <f t="shared" si="147"/>
        <v>0</v>
      </c>
      <c r="Y1002" s="31"/>
      <c r="Z1002" s="31">
        <f t="shared" si="144"/>
        <v>0</v>
      </c>
      <c r="AA1002" s="29">
        <f t="shared" si="145"/>
        <v>15066</v>
      </c>
    </row>
    <row r="1003" spans="1:27" s="32" customFormat="1" x14ac:dyDescent="0.25">
      <c r="A1003" s="18">
        <v>1007</v>
      </c>
      <c r="B1003" s="19">
        <v>46050</v>
      </c>
      <c r="C1003" s="19">
        <v>46051</v>
      </c>
      <c r="D1003" s="51">
        <v>260129006</v>
      </c>
      <c r="E1003" s="21"/>
      <c r="F1003" s="21"/>
      <c r="G1003" s="21"/>
      <c r="H1003" s="33">
        <v>285</v>
      </c>
      <c r="I1003" s="73" t="s">
        <v>703</v>
      </c>
      <c r="J1003" s="24" t="s">
        <v>23</v>
      </c>
      <c r="K1003" s="23" t="s">
        <v>31</v>
      </c>
      <c r="L1003" s="25" t="s">
        <v>52</v>
      </c>
      <c r="M1003" s="21" t="s">
        <v>767</v>
      </c>
      <c r="N1003" s="37">
        <v>63.34</v>
      </c>
      <c r="O1003" s="37">
        <v>15.24</v>
      </c>
      <c r="P1003" s="26">
        <f t="shared" si="146"/>
        <v>48.1</v>
      </c>
      <c r="Q1003" s="27">
        <v>300</v>
      </c>
      <c r="R1003" s="28">
        <f t="shared" ref="R1003:R1007" si="149">P1003*Q1003</f>
        <v>14430</v>
      </c>
      <c r="S1003" s="27"/>
      <c r="T1003" s="29"/>
      <c r="V1003" s="29" t="s">
        <v>45</v>
      </c>
      <c r="W1003" s="27"/>
      <c r="X1003" s="30">
        <f t="shared" si="147"/>
        <v>0</v>
      </c>
      <c r="Y1003" s="31"/>
      <c r="Z1003" s="31">
        <f t="shared" si="144"/>
        <v>0</v>
      </c>
      <c r="AA1003" s="29">
        <f t="shared" si="145"/>
        <v>14430</v>
      </c>
    </row>
    <row r="1004" spans="1:27" s="38" customFormat="1" x14ac:dyDescent="0.25">
      <c r="A1004" s="18">
        <v>1008</v>
      </c>
      <c r="B1004" s="19">
        <v>46050</v>
      </c>
      <c r="C1004" s="19">
        <v>46051</v>
      </c>
      <c r="D1004" s="51">
        <v>260129007</v>
      </c>
      <c r="E1004" s="21"/>
      <c r="F1004" s="21"/>
      <c r="G1004" s="21"/>
      <c r="H1004" s="33">
        <v>285</v>
      </c>
      <c r="I1004" s="73" t="s">
        <v>703</v>
      </c>
      <c r="J1004" s="24" t="s">
        <v>23</v>
      </c>
      <c r="K1004" s="23" t="s">
        <v>31</v>
      </c>
      <c r="L1004" s="25" t="s">
        <v>935</v>
      </c>
      <c r="M1004" s="21" t="s">
        <v>767</v>
      </c>
      <c r="N1004" s="37">
        <v>55.02</v>
      </c>
      <c r="O1004" s="37">
        <v>11.56</v>
      </c>
      <c r="P1004" s="26">
        <f t="shared" si="146"/>
        <v>43.46</v>
      </c>
      <c r="Q1004" s="27">
        <v>300</v>
      </c>
      <c r="R1004" s="28">
        <f t="shared" si="149"/>
        <v>13038</v>
      </c>
      <c r="S1004" s="27"/>
      <c r="T1004" s="29"/>
      <c r="V1004" s="29" t="s">
        <v>45</v>
      </c>
      <c r="W1004" s="27"/>
      <c r="X1004" s="30">
        <f t="shared" si="147"/>
        <v>0</v>
      </c>
      <c r="Y1004" s="31"/>
      <c r="Z1004" s="31">
        <f t="shared" si="144"/>
        <v>0</v>
      </c>
      <c r="AA1004" s="29">
        <f t="shared" si="145"/>
        <v>13038</v>
      </c>
    </row>
    <row r="1005" spans="1:27" s="32" customFormat="1" x14ac:dyDescent="0.25">
      <c r="A1005" s="18">
        <v>1009</v>
      </c>
      <c r="B1005" s="19">
        <v>46050</v>
      </c>
      <c r="C1005" s="19">
        <v>46051</v>
      </c>
      <c r="D1005" s="51">
        <v>260129008</v>
      </c>
      <c r="E1005" s="21" t="s">
        <v>1905</v>
      </c>
      <c r="F1005" s="21" t="s">
        <v>1906</v>
      </c>
      <c r="G1005" s="21">
        <v>45</v>
      </c>
      <c r="H1005" s="36">
        <v>130</v>
      </c>
      <c r="I1005" s="23" t="s">
        <v>1499</v>
      </c>
      <c r="J1005" s="24" t="s">
        <v>23</v>
      </c>
      <c r="K1005" s="23" t="s">
        <v>31</v>
      </c>
      <c r="L1005" s="25" t="s">
        <v>876</v>
      </c>
      <c r="M1005" s="21" t="s">
        <v>34</v>
      </c>
      <c r="N1005" s="37">
        <v>60.7</v>
      </c>
      <c r="O1005" s="37">
        <v>15.44</v>
      </c>
      <c r="P1005" s="26">
        <f t="shared" si="146"/>
        <v>45.260000000000005</v>
      </c>
      <c r="Q1005" s="27">
        <v>520</v>
      </c>
      <c r="R1005" s="28">
        <f t="shared" si="149"/>
        <v>23535.200000000004</v>
      </c>
      <c r="S1005" s="27"/>
      <c r="T1005" s="29"/>
      <c r="V1005" s="29" t="s">
        <v>253</v>
      </c>
      <c r="W1005" s="27">
        <v>145</v>
      </c>
      <c r="X1005" s="30">
        <f t="shared" si="147"/>
        <v>6562.7000000000007</v>
      </c>
      <c r="Y1005" s="31"/>
      <c r="Z1005" s="31">
        <f t="shared" si="144"/>
        <v>0</v>
      </c>
      <c r="AA1005" s="29">
        <f t="shared" si="145"/>
        <v>30097.900000000005</v>
      </c>
    </row>
    <row r="1006" spans="1:27" s="38" customFormat="1" x14ac:dyDescent="0.25">
      <c r="A1006" s="18">
        <v>1010</v>
      </c>
      <c r="B1006" s="19">
        <v>46050</v>
      </c>
      <c r="C1006" s="19">
        <v>46051</v>
      </c>
      <c r="D1006" s="51">
        <v>260129009</v>
      </c>
      <c r="E1006" s="21" t="s">
        <v>1907</v>
      </c>
      <c r="F1006" s="21" t="s">
        <v>1908</v>
      </c>
      <c r="G1006" s="21">
        <v>35</v>
      </c>
      <c r="H1006" s="44">
        <v>115</v>
      </c>
      <c r="I1006" s="23" t="s">
        <v>33</v>
      </c>
      <c r="J1006" s="24" t="s">
        <v>23</v>
      </c>
      <c r="K1006" s="35" t="s">
        <v>31</v>
      </c>
      <c r="L1006" s="20" t="s">
        <v>39</v>
      </c>
      <c r="M1006" s="21" t="s">
        <v>34</v>
      </c>
      <c r="N1006" s="37">
        <v>46.96</v>
      </c>
      <c r="O1006" s="37">
        <v>11.86</v>
      </c>
      <c r="P1006" s="98">
        <f>N1006-O1006</f>
        <v>35.1</v>
      </c>
      <c r="Q1006" s="27">
        <v>545</v>
      </c>
      <c r="R1006" s="28">
        <f t="shared" si="149"/>
        <v>19129.5</v>
      </c>
      <c r="S1006" s="21"/>
      <c r="T1006" s="29"/>
      <c r="V1006" s="29" t="s">
        <v>24</v>
      </c>
      <c r="W1006" s="27">
        <v>145</v>
      </c>
      <c r="X1006" s="30">
        <f t="shared" si="147"/>
        <v>5089.5</v>
      </c>
      <c r="Y1006" s="31">
        <v>260</v>
      </c>
      <c r="Z1006" s="31">
        <f t="shared" si="144"/>
        <v>9126</v>
      </c>
      <c r="AA1006" s="29">
        <f t="shared" si="145"/>
        <v>33345</v>
      </c>
    </row>
    <row r="1007" spans="1:27" s="32" customFormat="1" x14ac:dyDescent="0.25">
      <c r="A1007" s="18">
        <v>1011</v>
      </c>
      <c r="B1007" s="19">
        <v>46050</v>
      </c>
      <c r="C1007" s="19">
        <v>46051</v>
      </c>
      <c r="D1007" s="51">
        <v>260129010</v>
      </c>
      <c r="E1007" s="21" t="s">
        <v>1909</v>
      </c>
      <c r="F1007" s="21" t="s">
        <v>1910</v>
      </c>
      <c r="G1007" s="21">
        <v>61</v>
      </c>
      <c r="H1007" s="44">
        <v>115</v>
      </c>
      <c r="I1007" s="23" t="s">
        <v>33</v>
      </c>
      <c r="J1007" s="24" t="s">
        <v>23</v>
      </c>
      <c r="K1007" s="35" t="s">
        <v>31</v>
      </c>
      <c r="L1007" s="20" t="s">
        <v>206</v>
      </c>
      <c r="M1007" s="21" t="s">
        <v>34</v>
      </c>
      <c r="N1007" s="37">
        <v>78.36</v>
      </c>
      <c r="O1007" s="37">
        <v>17.2</v>
      </c>
      <c r="P1007" s="98">
        <f>N1007-O1007</f>
        <v>61.16</v>
      </c>
      <c r="Q1007" s="27">
        <v>545</v>
      </c>
      <c r="R1007" s="28">
        <f t="shared" si="149"/>
        <v>33332.199999999997</v>
      </c>
      <c r="S1007" s="27"/>
      <c r="T1007" s="29"/>
      <c r="V1007" s="29" t="s">
        <v>24</v>
      </c>
      <c r="W1007" s="27">
        <v>145</v>
      </c>
      <c r="X1007" s="30">
        <f t="shared" si="147"/>
        <v>8868.1999999999989</v>
      </c>
      <c r="Y1007" s="31">
        <v>260</v>
      </c>
      <c r="Z1007" s="31">
        <f t="shared" si="144"/>
        <v>15901.599999999999</v>
      </c>
      <c r="AA1007" s="29">
        <f t="shared" si="145"/>
        <v>58101.999999999993</v>
      </c>
    </row>
    <row r="1008" spans="1:27" s="32" customFormat="1" x14ac:dyDescent="0.25">
      <c r="A1008" s="18">
        <v>1012</v>
      </c>
      <c r="B1008" s="19">
        <v>46051</v>
      </c>
      <c r="C1008" s="19">
        <v>46051</v>
      </c>
      <c r="D1008" s="25">
        <v>260129011</v>
      </c>
      <c r="E1008" s="21" t="s">
        <v>1911</v>
      </c>
      <c r="F1008" s="21" t="s">
        <v>1912</v>
      </c>
      <c r="G1008" s="21">
        <v>47</v>
      </c>
      <c r="H1008" s="48">
        <v>84</v>
      </c>
      <c r="I1008" s="71" t="s">
        <v>941</v>
      </c>
      <c r="J1008" s="49" t="s">
        <v>23</v>
      </c>
      <c r="K1008" s="23" t="s">
        <v>31</v>
      </c>
      <c r="L1008" s="25" t="s">
        <v>38</v>
      </c>
      <c r="M1008" s="21" t="s">
        <v>34</v>
      </c>
      <c r="N1008" s="21">
        <v>62.82</v>
      </c>
      <c r="O1008" s="21">
        <v>14.96</v>
      </c>
      <c r="P1008" s="26">
        <f>N1008-O1008</f>
        <v>47.86</v>
      </c>
      <c r="Q1008" s="27">
        <v>515</v>
      </c>
      <c r="R1008" s="28">
        <f>P1008*Q1008</f>
        <v>24647.9</v>
      </c>
      <c r="S1008" s="27"/>
      <c r="T1008" s="29"/>
      <c r="V1008" s="29" t="s">
        <v>24</v>
      </c>
      <c r="W1008" s="27">
        <v>145</v>
      </c>
      <c r="X1008" s="30">
        <f t="shared" ref="X1008:X1040" si="150">P1008*W1008</f>
        <v>6939.7</v>
      </c>
      <c r="Y1008" s="31">
        <v>210</v>
      </c>
      <c r="Z1008" s="31">
        <f t="shared" ref="Z1008:Z1040" si="151">P1008*Y1008</f>
        <v>10050.6</v>
      </c>
      <c r="AA1008" s="29">
        <f t="shared" ref="AA1008:AA1040" si="152">R1008+X1008+Z1008</f>
        <v>41638.200000000004</v>
      </c>
    </row>
    <row r="1009" spans="1:38" s="32" customFormat="1" x14ac:dyDescent="0.25">
      <c r="A1009" s="18">
        <v>1013</v>
      </c>
      <c r="B1009" s="19">
        <v>46051</v>
      </c>
      <c r="C1009" s="19">
        <v>46051</v>
      </c>
      <c r="D1009" s="25">
        <v>260129012</v>
      </c>
      <c r="E1009" s="21" t="s">
        <v>1913</v>
      </c>
      <c r="F1009" s="21" t="s">
        <v>1914</v>
      </c>
      <c r="G1009" s="21">
        <v>48</v>
      </c>
      <c r="H1009" s="48">
        <v>84</v>
      </c>
      <c r="I1009" s="71" t="s">
        <v>941</v>
      </c>
      <c r="J1009" s="49" t="s">
        <v>23</v>
      </c>
      <c r="K1009" s="23" t="s">
        <v>31</v>
      </c>
      <c r="L1009" s="25" t="s">
        <v>46</v>
      </c>
      <c r="M1009" s="21" t="s">
        <v>34</v>
      </c>
      <c r="N1009" s="83">
        <v>63.06</v>
      </c>
      <c r="O1009" s="21">
        <v>14.88</v>
      </c>
      <c r="P1009" s="26">
        <f t="shared" ref="P1009:P1040" si="153">N1009-O1009</f>
        <v>48.18</v>
      </c>
      <c r="Q1009" s="27">
        <v>515</v>
      </c>
      <c r="R1009" s="28">
        <f t="shared" ref="R1009:R1040" si="154">P1009*Q1009</f>
        <v>24812.7</v>
      </c>
      <c r="S1009" s="27"/>
      <c r="T1009" s="29"/>
      <c r="V1009" s="29" t="s">
        <v>24</v>
      </c>
      <c r="W1009" s="27">
        <v>145</v>
      </c>
      <c r="X1009" s="30">
        <f t="shared" si="150"/>
        <v>6986.1</v>
      </c>
      <c r="Y1009" s="31">
        <v>210</v>
      </c>
      <c r="Z1009" s="31">
        <f t="shared" si="151"/>
        <v>10117.799999999999</v>
      </c>
      <c r="AA1009" s="29">
        <f t="shared" si="152"/>
        <v>41916.600000000006</v>
      </c>
    </row>
    <row r="1010" spans="1:38" s="32" customFormat="1" x14ac:dyDescent="0.25">
      <c r="A1010" s="18">
        <v>1014</v>
      </c>
      <c r="B1010" s="19">
        <v>46051</v>
      </c>
      <c r="C1010" s="19">
        <v>46051</v>
      </c>
      <c r="D1010" s="25">
        <v>260129013</v>
      </c>
      <c r="E1010" s="21" t="s">
        <v>1915</v>
      </c>
      <c r="F1010" s="21" t="s">
        <v>1916</v>
      </c>
      <c r="G1010" s="21">
        <v>44</v>
      </c>
      <c r="H1010" s="48">
        <v>84</v>
      </c>
      <c r="I1010" s="71" t="s">
        <v>941</v>
      </c>
      <c r="J1010" s="49" t="s">
        <v>23</v>
      </c>
      <c r="K1010" s="23" t="s">
        <v>31</v>
      </c>
      <c r="L1010" s="82" t="s">
        <v>55</v>
      </c>
      <c r="M1010" s="21" t="s">
        <v>32</v>
      </c>
      <c r="N1010" s="21">
        <v>62.06</v>
      </c>
      <c r="O1010" s="21">
        <v>17.64</v>
      </c>
      <c r="P1010" s="26">
        <f t="shared" si="153"/>
        <v>44.42</v>
      </c>
      <c r="Q1010" s="27">
        <v>295</v>
      </c>
      <c r="R1010" s="28">
        <f t="shared" si="154"/>
        <v>13103.9</v>
      </c>
      <c r="S1010" s="27"/>
      <c r="T1010" s="29"/>
      <c r="V1010" s="29" t="s">
        <v>1894</v>
      </c>
      <c r="W1010" s="27">
        <v>145</v>
      </c>
      <c r="X1010" s="30">
        <f t="shared" si="150"/>
        <v>6440.9000000000005</v>
      </c>
      <c r="Y1010" s="31">
        <v>210</v>
      </c>
      <c r="Z1010" s="31">
        <f t="shared" si="151"/>
        <v>9328.2000000000007</v>
      </c>
      <c r="AA1010" s="29">
        <f t="shared" si="152"/>
        <v>28873</v>
      </c>
    </row>
    <row r="1011" spans="1:38" s="38" customFormat="1" x14ac:dyDescent="0.25">
      <c r="A1011" s="18">
        <v>1015</v>
      </c>
      <c r="B1011" s="19">
        <v>46051</v>
      </c>
      <c r="C1011" s="19">
        <v>46051</v>
      </c>
      <c r="D1011" s="25">
        <v>260129014</v>
      </c>
      <c r="E1011" s="21" t="s">
        <v>1917</v>
      </c>
      <c r="F1011" s="21" t="s">
        <v>1918</v>
      </c>
      <c r="G1011" s="21">
        <v>45</v>
      </c>
      <c r="H1011" s="36">
        <v>131</v>
      </c>
      <c r="I1011" s="23" t="s">
        <v>1919</v>
      </c>
      <c r="J1011" s="24" t="s">
        <v>23</v>
      </c>
      <c r="K1011" s="23" t="s">
        <v>31</v>
      </c>
      <c r="L1011" s="25" t="s">
        <v>41</v>
      </c>
      <c r="M1011" s="21" t="s">
        <v>34</v>
      </c>
      <c r="N1011" s="21">
        <v>61.34</v>
      </c>
      <c r="O1011" s="37">
        <v>15.66</v>
      </c>
      <c r="P1011" s="26">
        <f t="shared" si="153"/>
        <v>45.680000000000007</v>
      </c>
      <c r="Q1011" s="27">
        <v>535</v>
      </c>
      <c r="R1011" s="28">
        <f t="shared" si="154"/>
        <v>24438.800000000003</v>
      </c>
      <c r="S1011" s="27"/>
      <c r="T1011" s="29"/>
      <c r="V1011" s="29" t="s">
        <v>24</v>
      </c>
      <c r="W1011" s="27">
        <v>145</v>
      </c>
      <c r="X1011" s="30">
        <f t="shared" si="150"/>
        <v>6623.6000000000013</v>
      </c>
      <c r="Y1011" s="31">
        <v>200</v>
      </c>
      <c r="Z1011" s="31">
        <f t="shared" si="151"/>
        <v>9136.0000000000018</v>
      </c>
      <c r="AA1011" s="29">
        <f t="shared" si="152"/>
        <v>40198.400000000009</v>
      </c>
    </row>
    <row r="1012" spans="1:38" s="32" customFormat="1" x14ac:dyDescent="0.25">
      <c r="A1012" s="18">
        <v>1016</v>
      </c>
      <c r="B1012" s="19">
        <v>46051</v>
      </c>
      <c r="C1012" s="19">
        <v>46051</v>
      </c>
      <c r="D1012" s="25">
        <v>260129015</v>
      </c>
      <c r="E1012" s="21" t="s">
        <v>1920</v>
      </c>
      <c r="F1012" s="21" t="s">
        <v>1921</v>
      </c>
      <c r="G1012" s="21">
        <v>48</v>
      </c>
      <c r="H1012" s="36">
        <v>131</v>
      </c>
      <c r="I1012" s="23" t="s">
        <v>1919</v>
      </c>
      <c r="J1012" s="24" t="s">
        <v>23</v>
      </c>
      <c r="K1012" s="23" t="s">
        <v>31</v>
      </c>
      <c r="L1012" s="25" t="s">
        <v>1738</v>
      </c>
      <c r="M1012" s="21" t="s">
        <v>34</v>
      </c>
      <c r="N1012" s="37">
        <v>67.58</v>
      </c>
      <c r="O1012" s="37">
        <v>18.7</v>
      </c>
      <c r="P1012" s="26">
        <f t="shared" si="153"/>
        <v>48.879999999999995</v>
      </c>
      <c r="Q1012" s="27">
        <v>535</v>
      </c>
      <c r="R1012" s="28">
        <f t="shared" si="154"/>
        <v>26150.799999999999</v>
      </c>
      <c r="S1012" s="27"/>
      <c r="T1012" s="29"/>
      <c r="V1012" s="23" t="s">
        <v>24</v>
      </c>
      <c r="W1012" s="27">
        <v>145</v>
      </c>
      <c r="X1012" s="30">
        <f t="shared" si="150"/>
        <v>7087.5999999999995</v>
      </c>
      <c r="Y1012" s="31">
        <v>200</v>
      </c>
      <c r="Z1012" s="31">
        <f t="shared" si="151"/>
        <v>9776</v>
      </c>
      <c r="AA1012" s="29">
        <f t="shared" si="152"/>
        <v>43014.400000000001</v>
      </c>
    </row>
    <row r="1013" spans="1:38" s="32" customFormat="1" x14ac:dyDescent="0.25">
      <c r="A1013" s="18">
        <v>1017</v>
      </c>
      <c r="B1013" s="19">
        <v>46051</v>
      </c>
      <c r="C1013" s="19">
        <v>46051</v>
      </c>
      <c r="D1013" s="25">
        <v>260129016</v>
      </c>
      <c r="E1013" s="21" t="s">
        <v>1922</v>
      </c>
      <c r="F1013" s="21" t="s">
        <v>1923</v>
      </c>
      <c r="G1013" s="21">
        <v>39</v>
      </c>
      <c r="H1013" s="44">
        <v>115</v>
      </c>
      <c r="I1013" s="23" t="s">
        <v>33</v>
      </c>
      <c r="J1013" s="24" t="s">
        <v>23</v>
      </c>
      <c r="K1013" s="35" t="s">
        <v>31</v>
      </c>
      <c r="L1013" s="25" t="s">
        <v>51</v>
      </c>
      <c r="M1013" s="21" t="s">
        <v>35</v>
      </c>
      <c r="N1013" s="37">
        <v>50.56</v>
      </c>
      <c r="O1013" s="37">
        <v>11.46</v>
      </c>
      <c r="P1013" s="26">
        <f t="shared" si="153"/>
        <v>39.1</v>
      </c>
      <c r="Q1013" s="27">
        <v>445</v>
      </c>
      <c r="R1013" s="28">
        <f t="shared" si="154"/>
        <v>17399.5</v>
      </c>
      <c r="S1013" s="27"/>
      <c r="T1013" s="29"/>
      <c r="V1013" s="29" t="s">
        <v>24</v>
      </c>
      <c r="W1013" s="27">
        <v>145</v>
      </c>
      <c r="X1013" s="30">
        <f t="shared" si="150"/>
        <v>5669.5</v>
      </c>
      <c r="Y1013" s="31">
        <v>260</v>
      </c>
      <c r="Z1013" s="31">
        <f t="shared" si="151"/>
        <v>10166</v>
      </c>
      <c r="AA1013" s="29">
        <f t="shared" si="152"/>
        <v>33235</v>
      </c>
    </row>
    <row r="1014" spans="1:38" s="32" customFormat="1" x14ac:dyDescent="0.25">
      <c r="A1014" s="18">
        <v>1018</v>
      </c>
      <c r="B1014" s="19">
        <v>46051</v>
      </c>
      <c r="C1014" s="19">
        <v>46051</v>
      </c>
      <c r="D1014" s="25">
        <v>260129017</v>
      </c>
      <c r="E1014" s="21" t="s">
        <v>1924</v>
      </c>
      <c r="F1014" s="21" t="s">
        <v>1925</v>
      </c>
      <c r="G1014" s="21">
        <v>39</v>
      </c>
      <c r="H1014" s="44">
        <v>115</v>
      </c>
      <c r="I1014" s="23" t="s">
        <v>33</v>
      </c>
      <c r="J1014" s="24" t="s">
        <v>23</v>
      </c>
      <c r="K1014" s="35" t="s">
        <v>31</v>
      </c>
      <c r="L1014" s="21" t="s">
        <v>40</v>
      </c>
      <c r="M1014" s="21" t="s">
        <v>35</v>
      </c>
      <c r="N1014" s="37">
        <v>50.52</v>
      </c>
      <c r="O1014" s="37">
        <v>11.44</v>
      </c>
      <c r="P1014" s="26">
        <f t="shared" si="153"/>
        <v>39.080000000000005</v>
      </c>
      <c r="Q1014" s="27">
        <v>445</v>
      </c>
      <c r="R1014" s="28">
        <f t="shared" si="154"/>
        <v>17390.600000000002</v>
      </c>
      <c r="S1014" s="27"/>
      <c r="T1014" s="29"/>
      <c r="V1014" s="29" t="s">
        <v>24</v>
      </c>
      <c r="W1014" s="27">
        <v>145</v>
      </c>
      <c r="X1014" s="30">
        <f t="shared" si="150"/>
        <v>5666.6</v>
      </c>
      <c r="Y1014" s="31">
        <v>260</v>
      </c>
      <c r="Z1014" s="31">
        <f t="shared" si="151"/>
        <v>10160.800000000001</v>
      </c>
      <c r="AA1014" s="29">
        <f t="shared" si="152"/>
        <v>33218.000000000007</v>
      </c>
    </row>
    <row r="1015" spans="1:38" s="32" customFormat="1" x14ac:dyDescent="0.25">
      <c r="A1015" s="18">
        <v>1019</v>
      </c>
      <c r="B1015" s="19">
        <v>46051</v>
      </c>
      <c r="C1015" s="19">
        <v>46051</v>
      </c>
      <c r="D1015" s="25" t="s">
        <v>1926</v>
      </c>
      <c r="E1015" s="21"/>
      <c r="F1015" s="21"/>
      <c r="G1015" s="21"/>
      <c r="H1015" s="33">
        <v>285</v>
      </c>
      <c r="I1015" s="73" t="s">
        <v>703</v>
      </c>
      <c r="J1015" s="24" t="s">
        <v>23</v>
      </c>
      <c r="K1015" s="23" t="s">
        <v>31</v>
      </c>
      <c r="L1015" s="25" t="s">
        <v>53</v>
      </c>
      <c r="M1015" s="21" t="s">
        <v>289</v>
      </c>
      <c r="N1015" s="37">
        <v>48.62</v>
      </c>
      <c r="O1015" s="37">
        <v>11.38</v>
      </c>
      <c r="P1015" s="26">
        <f t="shared" si="153"/>
        <v>37.239999999999995</v>
      </c>
      <c r="Q1015" s="27">
        <v>130</v>
      </c>
      <c r="R1015" s="28">
        <f t="shared" si="154"/>
        <v>4841.1999999999989</v>
      </c>
      <c r="S1015" s="27"/>
      <c r="T1015" s="29"/>
      <c r="V1015" s="29" t="s">
        <v>45</v>
      </c>
      <c r="W1015" s="27"/>
      <c r="X1015" s="30">
        <f t="shared" si="150"/>
        <v>0</v>
      </c>
      <c r="Y1015" s="31"/>
      <c r="Z1015" s="31">
        <f t="shared" si="151"/>
        <v>0</v>
      </c>
      <c r="AA1015" s="29">
        <f t="shared" si="152"/>
        <v>4841.1999999999989</v>
      </c>
      <c r="AB1015" s="40"/>
      <c r="AC1015" s="39"/>
      <c r="AD1015" s="41"/>
      <c r="AE1015" s="42"/>
      <c r="AF1015" s="39"/>
      <c r="AG1015" s="42"/>
      <c r="AH1015" s="39"/>
      <c r="AI1015" s="41"/>
      <c r="AJ1015" s="39"/>
      <c r="AK1015" s="41"/>
      <c r="AL1015" s="41"/>
    </row>
    <row r="1016" spans="1:38" s="32" customFormat="1" x14ac:dyDescent="0.25">
      <c r="A1016" s="18">
        <v>1020</v>
      </c>
      <c r="B1016" s="19">
        <v>46051</v>
      </c>
      <c r="C1016" s="19">
        <v>46051</v>
      </c>
      <c r="D1016" s="25">
        <v>260129018</v>
      </c>
      <c r="E1016" s="21" t="s">
        <v>1927</v>
      </c>
      <c r="F1016" s="21" t="s">
        <v>1928</v>
      </c>
      <c r="G1016" s="21">
        <v>62</v>
      </c>
      <c r="H1016" s="44">
        <v>115</v>
      </c>
      <c r="I1016" s="23" t="s">
        <v>33</v>
      </c>
      <c r="J1016" s="24" t="s">
        <v>23</v>
      </c>
      <c r="K1016" s="35" t="s">
        <v>31</v>
      </c>
      <c r="L1016" s="25" t="s">
        <v>206</v>
      </c>
      <c r="M1016" s="21" t="s">
        <v>34</v>
      </c>
      <c r="N1016" s="37">
        <v>79.64</v>
      </c>
      <c r="O1016" s="37">
        <v>17.100000000000001</v>
      </c>
      <c r="P1016" s="26">
        <f t="shared" si="153"/>
        <v>62.54</v>
      </c>
      <c r="Q1016" s="27">
        <v>545</v>
      </c>
      <c r="R1016" s="28">
        <f t="shared" si="154"/>
        <v>34084.300000000003</v>
      </c>
      <c r="S1016" s="27"/>
      <c r="T1016" s="29"/>
      <c r="V1016" s="29" t="s">
        <v>24</v>
      </c>
      <c r="W1016" s="27">
        <v>145</v>
      </c>
      <c r="X1016" s="30">
        <f t="shared" si="150"/>
        <v>9068.2999999999993</v>
      </c>
      <c r="Y1016" s="31">
        <v>260</v>
      </c>
      <c r="Z1016" s="31">
        <f t="shared" si="151"/>
        <v>16260.4</v>
      </c>
      <c r="AA1016" s="29">
        <f t="shared" si="152"/>
        <v>59413.000000000007</v>
      </c>
    </row>
    <row r="1017" spans="1:38" s="32" customFormat="1" x14ac:dyDescent="0.25">
      <c r="A1017" s="18">
        <v>1021</v>
      </c>
      <c r="B1017" s="19">
        <v>46051</v>
      </c>
      <c r="C1017" s="19">
        <v>46051</v>
      </c>
      <c r="D1017" s="25">
        <v>260129019</v>
      </c>
      <c r="E1017" s="21" t="s">
        <v>1929</v>
      </c>
      <c r="F1017" s="21" t="s">
        <v>1930</v>
      </c>
      <c r="G1017" s="21">
        <v>39</v>
      </c>
      <c r="H1017" s="44">
        <v>115</v>
      </c>
      <c r="I1017" s="23" t="s">
        <v>33</v>
      </c>
      <c r="J1017" s="24" t="s">
        <v>23</v>
      </c>
      <c r="K1017" s="35" t="s">
        <v>31</v>
      </c>
      <c r="L1017" s="82" t="s">
        <v>146</v>
      </c>
      <c r="M1017" s="21" t="s">
        <v>32</v>
      </c>
      <c r="N1017" s="37">
        <v>51.23</v>
      </c>
      <c r="O1017" s="37">
        <v>11.78</v>
      </c>
      <c r="P1017" s="26">
        <f t="shared" si="153"/>
        <v>39.449999999999996</v>
      </c>
      <c r="Q1017" s="27">
        <v>315</v>
      </c>
      <c r="R1017" s="28">
        <f t="shared" si="154"/>
        <v>12426.749999999998</v>
      </c>
      <c r="S1017" s="27"/>
      <c r="T1017" s="29"/>
      <c r="V1017" s="29" t="s">
        <v>1894</v>
      </c>
      <c r="W1017" s="27">
        <v>145</v>
      </c>
      <c r="X1017" s="30">
        <f t="shared" si="150"/>
        <v>5720.2499999999991</v>
      </c>
      <c r="Y1017" s="31">
        <v>260</v>
      </c>
      <c r="Z1017" s="31">
        <f t="shared" si="151"/>
        <v>10256.999999999998</v>
      </c>
      <c r="AA1017" s="29">
        <f t="shared" si="152"/>
        <v>28403.999999999993</v>
      </c>
    </row>
    <row r="1018" spans="1:38" s="32" customFormat="1" x14ac:dyDescent="0.25">
      <c r="A1018" s="18">
        <v>1022</v>
      </c>
      <c r="B1018" s="19">
        <v>46051</v>
      </c>
      <c r="C1018" s="19">
        <v>46051</v>
      </c>
      <c r="D1018" s="25">
        <v>260129022</v>
      </c>
      <c r="E1018" s="21" t="s">
        <v>1931</v>
      </c>
      <c r="F1018" s="21" t="s">
        <v>1932</v>
      </c>
      <c r="G1018" s="21">
        <v>38</v>
      </c>
      <c r="H1018" s="44">
        <v>115</v>
      </c>
      <c r="I1018" s="23" t="s">
        <v>33</v>
      </c>
      <c r="J1018" s="24" t="s">
        <v>23</v>
      </c>
      <c r="K1018" s="35" t="s">
        <v>31</v>
      </c>
      <c r="L1018" s="25" t="s">
        <v>1933</v>
      </c>
      <c r="M1018" s="21" t="s">
        <v>32</v>
      </c>
      <c r="N1018" s="37">
        <v>51.09</v>
      </c>
      <c r="O1018" s="37">
        <v>12.21</v>
      </c>
      <c r="P1018" s="26">
        <f t="shared" si="153"/>
        <v>38.880000000000003</v>
      </c>
      <c r="Q1018" s="27">
        <v>315</v>
      </c>
      <c r="R1018" s="28">
        <f t="shared" si="154"/>
        <v>12247.2</v>
      </c>
      <c r="S1018" s="27"/>
      <c r="T1018" s="29"/>
      <c r="V1018" s="29" t="s">
        <v>1894</v>
      </c>
      <c r="W1018" s="27">
        <v>145</v>
      </c>
      <c r="X1018" s="30">
        <f t="shared" si="150"/>
        <v>5637.6</v>
      </c>
      <c r="Y1018" s="31">
        <v>260</v>
      </c>
      <c r="Z1018" s="31">
        <f t="shared" si="151"/>
        <v>10108.800000000001</v>
      </c>
      <c r="AA1018" s="29">
        <f t="shared" si="152"/>
        <v>27993.600000000006</v>
      </c>
    </row>
    <row r="1019" spans="1:38" s="38" customFormat="1" x14ac:dyDescent="0.25">
      <c r="A1019" s="18">
        <v>1023</v>
      </c>
      <c r="B1019" s="19">
        <v>46051</v>
      </c>
      <c r="C1019" s="19">
        <v>46051</v>
      </c>
      <c r="D1019" s="25">
        <v>260129020</v>
      </c>
      <c r="E1019" s="21" t="s">
        <v>1934</v>
      </c>
      <c r="F1019" s="21" t="s">
        <v>1935</v>
      </c>
      <c r="G1019" s="21">
        <v>35</v>
      </c>
      <c r="H1019" s="44">
        <v>115</v>
      </c>
      <c r="I1019" s="23" t="s">
        <v>33</v>
      </c>
      <c r="J1019" s="24" t="s">
        <v>23</v>
      </c>
      <c r="K1019" s="35" t="s">
        <v>31</v>
      </c>
      <c r="L1019" s="25" t="s">
        <v>43</v>
      </c>
      <c r="M1019" s="21" t="s">
        <v>35</v>
      </c>
      <c r="N1019" s="37">
        <v>47.06</v>
      </c>
      <c r="O1019" s="37">
        <v>11.26</v>
      </c>
      <c r="P1019" s="26">
        <f t="shared" si="153"/>
        <v>35.800000000000004</v>
      </c>
      <c r="Q1019" s="27">
        <v>445</v>
      </c>
      <c r="R1019" s="28">
        <f t="shared" si="154"/>
        <v>15931.000000000002</v>
      </c>
      <c r="S1019" s="27"/>
      <c r="T1019" s="94"/>
      <c r="V1019" s="29" t="s">
        <v>24</v>
      </c>
      <c r="W1019" s="27">
        <v>145</v>
      </c>
      <c r="X1019" s="30">
        <f t="shared" si="150"/>
        <v>5191.0000000000009</v>
      </c>
      <c r="Y1019" s="31">
        <v>260</v>
      </c>
      <c r="Z1019" s="31">
        <f t="shared" si="151"/>
        <v>9308.0000000000018</v>
      </c>
      <c r="AA1019" s="29">
        <f t="shared" si="152"/>
        <v>30430.000000000007</v>
      </c>
    </row>
    <row r="1020" spans="1:38" s="38" customFormat="1" x14ac:dyDescent="0.25">
      <c r="A1020" s="18">
        <v>1024</v>
      </c>
      <c r="B1020" s="19">
        <v>46051</v>
      </c>
      <c r="C1020" s="19">
        <v>46051</v>
      </c>
      <c r="D1020" s="25">
        <v>260129021</v>
      </c>
      <c r="E1020" s="21" t="s">
        <v>1936</v>
      </c>
      <c r="F1020" s="21" t="s">
        <v>1937</v>
      </c>
      <c r="G1020" s="21">
        <v>39</v>
      </c>
      <c r="H1020" s="44">
        <v>115</v>
      </c>
      <c r="I1020" s="23" t="s">
        <v>33</v>
      </c>
      <c r="J1020" s="24" t="s">
        <v>23</v>
      </c>
      <c r="K1020" s="35" t="s">
        <v>31</v>
      </c>
      <c r="L1020" s="25" t="s">
        <v>39</v>
      </c>
      <c r="M1020" s="21" t="s">
        <v>35</v>
      </c>
      <c r="N1020" s="37">
        <v>51.32</v>
      </c>
      <c r="O1020" s="37">
        <v>11.8</v>
      </c>
      <c r="P1020" s="26">
        <f t="shared" si="153"/>
        <v>39.519999999999996</v>
      </c>
      <c r="Q1020" s="27">
        <v>445</v>
      </c>
      <c r="R1020" s="28">
        <f t="shared" si="154"/>
        <v>17586.399999999998</v>
      </c>
      <c r="S1020" s="27"/>
      <c r="T1020" s="29"/>
      <c r="V1020" s="29" t="s">
        <v>24</v>
      </c>
      <c r="W1020" s="27">
        <v>145</v>
      </c>
      <c r="X1020" s="30">
        <f t="shared" si="150"/>
        <v>5730.4</v>
      </c>
      <c r="Y1020" s="31">
        <v>260</v>
      </c>
      <c r="Z1020" s="31">
        <f t="shared" si="151"/>
        <v>10275.199999999999</v>
      </c>
      <c r="AA1020" s="29">
        <f t="shared" si="152"/>
        <v>33591.999999999993</v>
      </c>
    </row>
    <row r="1021" spans="1:38" s="38" customFormat="1" x14ac:dyDescent="0.25">
      <c r="A1021" s="18">
        <v>1025</v>
      </c>
      <c r="B1021" s="19">
        <v>46051</v>
      </c>
      <c r="C1021" s="19">
        <v>46051</v>
      </c>
      <c r="D1021" s="25" t="s">
        <v>1938</v>
      </c>
      <c r="E1021" s="21"/>
      <c r="F1021" s="21"/>
      <c r="G1021" s="21"/>
      <c r="H1021" s="59"/>
      <c r="I1021" s="23" t="s">
        <v>1939</v>
      </c>
      <c r="J1021" s="24" t="s">
        <v>23</v>
      </c>
      <c r="K1021" s="35" t="s">
        <v>31</v>
      </c>
      <c r="L1021" s="25" t="s">
        <v>409</v>
      </c>
      <c r="M1021" s="21" t="s">
        <v>392</v>
      </c>
      <c r="N1021" s="37">
        <v>38.08</v>
      </c>
      <c r="O1021" s="37">
        <v>14.12</v>
      </c>
      <c r="P1021" s="26">
        <f t="shared" si="153"/>
        <v>23.96</v>
      </c>
      <c r="Q1021" s="27">
        <v>0</v>
      </c>
      <c r="R1021" s="28">
        <f t="shared" si="154"/>
        <v>0</v>
      </c>
      <c r="S1021" s="27"/>
      <c r="T1021" s="29"/>
      <c r="V1021" s="29" t="s">
        <v>24</v>
      </c>
      <c r="W1021" s="27"/>
      <c r="X1021" s="30">
        <f t="shared" si="150"/>
        <v>0</v>
      </c>
      <c r="Y1021" s="31"/>
      <c r="Z1021" s="31">
        <f t="shared" si="151"/>
        <v>0</v>
      </c>
      <c r="AA1021" s="29">
        <f t="shared" si="152"/>
        <v>0</v>
      </c>
    </row>
    <row r="1022" spans="1:38" s="32" customFormat="1" x14ac:dyDescent="0.25">
      <c r="A1022" s="18">
        <v>1026</v>
      </c>
      <c r="B1022" s="19">
        <v>46051</v>
      </c>
      <c r="C1022" s="19">
        <v>46051</v>
      </c>
      <c r="D1022" s="25">
        <v>260129023</v>
      </c>
      <c r="E1022" s="21" t="s">
        <v>1940</v>
      </c>
      <c r="F1022" s="21" t="s">
        <v>1941</v>
      </c>
      <c r="G1022" s="21">
        <v>46</v>
      </c>
      <c r="H1022" s="44">
        <v>115</v>
      </c>
      <c r="I1022" s="23" t="s">
        <v>33</v>
      </c>
      <c r="J1022" s="24" t="s">
        <v>23</v>
      </c>
      <c r="K1022" s="35" t="s">
        <v>31</v>
      </c>
      <c r="L1022" s="25" t="s">
        <v>38</v>
      </c>
      <c r="M1022" s="21" t="s">
        <v>34</v>
      </c>
      <c r="N1022" s="37">
        <v>61.12</v>
      </c>
      <c r="O1022" s="37">
        <v>14.9</v>
      </c>
      <c r="P1022" s="26">
        <f t="shared" si="153"/>
        <v>46.22</v>
      </c>
      <c r="Q1022" s="27">
        <v>545</v>
      </c>
      <c r="R1022" s="28">
        <f t="shared" si="154"/>
        <v>25189.899999999998</v>
      </c>
      <c r="S1022" s="27"/>
      <c r="T1022" s="29"/>
      <c r="V1022" s="29" t="s">
        <v>24</v>
      </c>
      <c r="W1022" s="27">
        <v>145</v>
      </c>
      <c r="X1022" s="30">
        <f t="shared" si="150"/>
        <v>6701.9</v>
      </c>
      <c r="Y1022" s="31">
        <v>260</v>
      </c>
      <c r="Z1022" s="31">
        <f t="shared" si="151"/>
        <v>12017.199999999999</v>
      </c>
      <c r="AA1022" s="29">
        <f t="shared" si="152"/>
        <v>43908.999999999993</v>
      </c>
    </row>
    <row r="1023" spans="1:38" s="32" customFormat="1" x14ac:dyDescent="0.25">
      <c r="A1023" s="18">
        <v>1027</v>
      </c>
      <c r="B1023" s="19">
        <v>46051</v>
      </c>
      <c r="C1023" s="19">
        <v>46051</v>
      </c>
      <c r="D1023" s="25">
        <v>260129024</v>
      </c>
      <c r="E1023" s="21" t="s">
        <v>1942</v>
      </c>
      <c r="F1023" s="21" t="s">
        <v>1943</v>
      </c>
      <c r="G1023" s="21">
        <v>48</v>
      </c>
      <c r="H1023" s="44">
        <v>115</v>
      </c>
      <c r="I1023" s="23" t="s">
        <v>33</v>
      </c>
      <c r="J1023" s="24" t="s">
        <v>23</v>
      </c>
      <c r="K1023" s="35" t="s">
        <v>31</v>
      </c>
      <c r="L1023" s="25" t="s">
        <v>1421</v>
      </c>
      <c r="M1023" s="21" t="s">
        <v>34</v>
      </c>
      <c r="N1023" s="37">
        <v>66.900000000000006</v>
      </c>
      <c r="O1023" s="37">
        <v>18.52</v>
      </c>
      <c r="P1023" s="26">
        <f t="shared" si="153"/>
        <v>48.38000000000001</v>
      </c>
      <c r="Q1023" s="27">
        <v>545</v>
      </c>
      <c r="R1023" s="28">
        <f t="shared" si="154"/>
        <v>26367.100000000006</v>
      </c>
      <c r="S1023" s="27"/>
      <c r="T1023" s="29"/>
      <c r="V1023" s="29" t="s">
        <v>24</v>
      </c>
      <c r="W1023" s="27">
        <v>145</v>
      </c>
      <c r="X1023" s="30">
        <f t="shared" si="150"/>
        <v>7015.1000000000013</v>
      </c>
      <c r="Y1023" s="31">
        <v>260</v>
      </c>
      <c r="Z1023" s="31">
        <f t="shared" si="151"/>
        <v>12578.800000000003</v>
      </c>
      <c r="AA1023" s="29">
        <f t="shared" si="152"/>
        <v>45961.000000000007</v>
      </c>
    </row>
    <row r="1024" spans="1:38" s="32" customFormat="1" x14ac:dyDescent="0.25">
      <c r="A1024" s="18">
        <v>1028</v>
      </c>
      <c r="B1024" s="19">
        <v>46051</v>
      </c>
      <c r="C1024" s="19">
        <v>46051</v>
      </c>
      <c r="D1024" s="25">
        <v>260129025</v>
      </c>
      <c r="E1024" s="21" t="s">
        <v>1944</v>
      </c>
      <c r="F1024" s="21" t="s">
        <v>1945</v>
      </c>
      <c r="G1024" s="21">
        <v>47</v>
      </c>
      <c r="H1024" s="44">
        <v>115</v>
      </c>
      <c r="I1024" s="23" t="s">
        <v>33</v>
      </c>
      <c r="J1024" s="24" t="s">
        <v>23</v>
      </c>
      <c r="K1024" s="35" t="s">
        <v>31</v>
      </c>
      <c r="L1024" s="25" t="s">
        <v>46</v>
      </c>
      <c r="M1024" s="21" t="s">
        <v>34</v>
      </c>
      <c r="N1024" s="37">
        <v>62.7</v>
      </c>
      <c r="O1024" s="37">
        <v>14.84</v>
      </c>
      <c r="P1024" s="26">
        <f t="shared" si="153"/>
        <v>47.86</v>
      </c>
      <c r="Q1024" s="27">
        <v>545</v>
      </c>
      <c r="R1024" s="28">
        <f t="shared" si="154"/>
        <v>26083.7</v>
      </c>
      <c r="S1024" s="27"/>
      <c r="T1024" s="29"/>
      <c r="V1024" s="29" t="s">
        <v>24</v>
      </c>
      <c r="W1024" s="27">
        <v>145</v>
      </c>
      <c r="X1024" s="30">
        <f t="shared" si="150"/>
        <v>6939.7</v>
      </c>
      <c r="Y1024" s="31">
        <v>260</v>
      </c>
      <c r="Z1024" s="31">
        <f t="shared" si="151"/>
        <v>12443.6</v>
      </c>
      <c r="AA1024" s="29">
        <f t="shared" si="152"/>
        <v>45467</v>
      </c>
    </row>
    <row r="1025" spans="1:27" s="38" customFormat="1" x14ac:dyDescent="0.25">
      <c r="A1025" s="18">
        <v>1029</v>
      </c>
      <c r="B1025" s="19">
        <v>46051</v>
      </c>
      <c r="C1025" s="19">
        <v>46051</v>
      </c>
      <c r="D1025" s="25">
        <v>260129026</v>
      </c>
      <c r="E1025" s="21" t="s">
        <v>1946</v>
      </c>
      <c r="F1025" s="21" t="s">
        <v>1947</v>
      </c>
      <c r="G1025" s="21">
        <v>48</v>
      </c>
      <c r="H1025" s="44">
        <v>115</v>
      </c>
      <c r="I1025" s="23" t="s">
        <v>33</v>
      </c>
      <c r="J1025" s="24" t="s">
        <v>23</v>
      </c>
      <c r="K1025" s="35" t="s">
        <v>31</v>
      </c>
      <c r="L1025" s="25" t="s">
        <v>1738</v>
      </c>
      <c r="M1025" s="21" t="s">
        <v>34</v>
      </c>
      <c r="N1025" s="37">
        <v>67.5</v>
      </c>
      <c r="O1025" s="37">
        <v>18.66</v>
      </c>
      <c r="P1025" s="26">
        <f t="shared" si="153"/>
        <v>48.84</v>
      </c>
      <c r="Q1025" s="27">
        <v>545</v>
      </c>
      <c r="R1025" s="28">
        <f t="shared" si="154"/>
        <v>26617.800000000003</v>
      </c>
      <c r="S1025" s="27"/>
      <c r="T1025" s="29"/>
      <c r="V1025" s="29" t="s">
        <v>24</v>
      </c>
      <c r="W1025" s="27">
        <v>145</v>
      </c>
      <c r="X1025" s="30">
        <f t="shared" si="150"/>
        <v>7081.8</v>
      </c>
      <c r="Y1025" s="31">
        <v>260</v>
      </c>
      <c r="Z1025" s="31">
        <f t="shared" si="151"/>
        <v>12698.400000000001</v>
      </c>
      <c r="AA1025" s="29">
        <f t="shared" si="152"/>
        <v>46398.000000000007</v>
      </c>
    </row>
    <row r="1026" spans="1:27" s="38" customFormat="1" x14ac:dyDescent="0.25">
      <c r="A1026" s="18">
        <v>1030</v>
      </c>
      <c r="B1026" s="19">
        <v>46051</v>
      </c>
      <c r="C1026" s="19">
        <v>46051</v>
      </c>
      <c r="D1026" s="25">
        <v>260129027</v>
      </c>
      <c r="E1026" s="21" t="s">
        <v>1948</v>
      </c>
      <c r="F1026" s="21" t="s">
        <v>1949</v>
      </c>
      <c r="G1026" s="21">
        <v>44</v>
      </c>
      <c r="H1026" s="36">
        <v>130</v>
      </c>
      <c r="I1026" s="23" t="s">
        <v>1499</v>
      </c>
      <c r="J1026" s="24" t="s">
        <v>23</v>
      </c>
      <c r="K1026" s="23" t="s">
        <v>31</v>
      </c>
      <c r="L1026" s="25" t="s">
        <v>1500</v>
      </c>
      <c r="M1026" s="21" t="s">
        <v>34</v>
      </c>
      <c r="N1026" s="37">
        <v>59.64</v>
      </c>
      <c r="O1026" s="37">
        <v>15.42</v>
      </c>
      <c r="P1026" s="26">
        <f t="shared" si="153"/>
        <v>44.22</v>
      </c>
      <c r="Q1026" s="27">
        <v>520</v>
      </c>
      <c r="R1026" s="28">
        <f t="shared" si="154"/>
        <v>22994.399999999998</v>
      </c>
      <c r="S1026" s="27"/>
      <c r="T1026" s="29"/>
      <c r="V1026" s="29" t="s">
        <v>253</v>
      </c>
      <c r="W1026" s="27">
        <v>150</v>
      </c>
      <c r="X1026" s="30">
        <f t="shared" si="150"/>
        <v>6633</v>
      </c>
      <c r="Y1026" s="31"/>
      <c r="Z1026" s="31">
        <f t="shared" si="151"/>
        <v>0</v>
      </c>
      <c r="AA1026" s="29">
        <f t="shared" si="152"/>
        <v>29627.399999999998</v>
      </c>
    </row>
    <row r="1027" spans="1:27" s="32" customFormat="1" x14ac:dyDescent="0.25">
      <c r="A1027" s="18">
        <v>1031</v>
      </c>
      <c r="B1027" s="19">
        <v>46051</v>
      </c>
      <c r="C1027" s="19">
        <v>46051</v>
      </c>
      <c r="D1027" s="25">
        <v>260129028</v>
      </c>
      <c r="E1027" s="21"/>
      <c r="F1027" s="21" t="s">
        <v>1950</v>
      </c>
      <c r="G1027" s="21">
        <v>42</v>
      </c>
      <c r="H1027" s="33">
        <v>285</v>
      </c>
      <c r="I1027" s="73" t="s">
        <v>703</v>
      </c>
      <c r="J1027" s="24" t="s">
        <v>23</v>
      </c>
      <c r="K1027" s="23" t="s">
        <v>31</v>
      </c>
      <c r="L1027" s="25" t="s">
        <v>662</v>
      </c>
      <c r="M1027" s="21" t="s">
        <v>34</v>
      </c>
      <c r="N1027" s="37">
        <v>55.86</v>
      </c>
      <c r="O1027" s="37">
        <v>13.8</v>
      </c>
      <c r="P1027" s="26">
        <f t="shared" si="153"/>
        <v>42.06</v>
      </c>
      <c r="Q1027" s="27">
        <v>520</v>
      </c>
      <c r="R1027" s="28">
        <f t="shared" si="154"/>
        <v>21871.200000000001</v>
      </c>
      <c r="S1027" s="27"/>
      <c r="T1027" s="29"/>
      <c r="V1027" s="29" t="s">
        <v>45</v>
      </c>
      <c r="W1027" s="27"/>
      <c r="X1027" s="30">
        <f t="shared" si="150"/>
        <v>0</v>
      </c>
      <c r="Y1027" s="31"/>
      <c r="Z1027" s="31">
        <f t="shared" si="151"/>
        <v>0</v>
      </c>
      <c r="AA1027" s="29">
        <f t="shared" si="152"/>
        <v>21871.200000000001</v>
      </c>
    </row>
    <row r="1028" spans="1:27" s="32" customFormat="1" x14ac:dyDescent="0.25">
      <c r="A1028" s="18">
        <v>1032</v>
      </c>
      <c r="B1028" s="19">
        <v>46051</v>
      </c>
      <c r="C1028" s="19">
        <v>46051</v>
      </c>
      <c r="D1028" s="25">
        <v>260129029</v>
      </c>
      <c r="E1028" s="21" t="s">
        <v>1951</v>
      </c>
      <c r="F1028" s="21" t="s">
        <v>1952</v>
      </c>
      <c r="G1028" s="21">
        <v>50</v>
      </c>
      <c r="H1028" s="44">
        <v>115</v>
      </c>
      <c r="I1028" s="23" t="s">
        <v>33</v>
      </c>
      <c r="J1028" s="24" t="s">
        <v>23</v>
      </c>
      <c r="K1028" s="35" t="s">
        <v>31</v>
      </c>
      <c r="L1028" s="21" t="s">
        <v>1381</v>
      </c>
      <c r="M1028" s="21" t="s">
        <v>34</v>
      </c>
      <c r="N1028" s="37">
        <v>69.12</v>
      </c>
      <c r="O1028" s="37">
        <v>18.600000000000001</v>
      </c>
      <c r="P1028" s="26">
        <f t="shared" si="153"/>
        <v>50.52</v>
      </c>
      <c r="Q1028" s="27">
        <v>545</v>
      </c>
      <c r="R1028" s="28">
        <f t="shared" si="154"/>
        <v>27533.4</v>
      </c>
      <c r="S1028" s="27"/>
      <c r="T1028" s="29"/>
      <c r="V1028" s="29" t="s">
        <v>24</v>
      </c>
      <c r="W1028" s="27">
        <v>145</v>
      </c>
      <c r="X1028" s="30">
        <f t="shared" si="150"/>
        <v>7325.4000000000005</v>
      </c>
      <c r="Y1028" s="31">
        <v>260</v>
      </c>
      <c r="Z1028" s="31">
        <f t="shared" si="151"/>
        <v>13135.2</v>
      </c>
      <c r="AA1028" s="29">
        <f t="shared" si="152"/>
        <v>47994</v>
      </c>
    </row>
    <row r="1029" spans="1:27" s="32" customFormat="1" x14ac:dyDescent="0.25">
      <c r="A1029" s="18">
        <v>1033</v>
      </c>
      <c r="B1029" s="19">
        <v>46051</v>
      </c>
      <c r="C1029" s="19">
        <v>46051</v>
      </c>
      <c r="D1029" s="92">
        <v>260129030</v>
      </c>
      <c r="E1029" s="21" t="s">
        <v>1953</v>
      </c>
      <c r="F1029" s="21" t="s">
        <v>1954</v>
      </c>
      <c r="G1029" s="21">
        <v>33</v>
      </c>
      <c r="H1029" s="44">
        <v>96</v>
      </c>
      <c r="I1029" s="71" t="s">
        <v>458</v>
      </c>
      <c r="J1029" s="65" t="s">
        <v>23</v>
      </c>
      <c r="K1029" s="35" t="s">
        <v>31</v>
      </c>
      <c r="L1029" s="25" t="s">
        <v>649</v>
      </c>
      <c r="M1029" s="21" t="s">
        <v>34</v>
      </c>
      <c r="N1029" s="37">
        <v>45.78</v>
      </c>
      <c r="O1029" s="37">
        <v>12.3</v>
      </c>
      <c r="P1029" s="26">
        <f t="shared" si="153"/>
        <v>33.480000000000004</v>
      </c>
      <c r="Q1029" s="27">
        <v>520</v>
      </c>
      <c r="R1029" s="28">
        <f t="shared" si="154"/>
        <v>17409.600000000002</v>
      </c>
      <c r="S1029" s="27"/>
      <c r="T1029" s="29"/>
      <c r="V1029" s="29" t="s">
        <v>45</v>
      </c>
      <c r="W1029" s="27">
        <v>145</v>
      </c>
      <c r="X1029" s="30">
        <f t="shared" si="150"/>
        <v>4854.6000000000004</v>
      </c>
      <c r="Y1029" s="31"/>
      <c r="Z1029" s="31">
        <f t="shared" si="151"/>
        <v>0</v>
      </c>
      <c r="AA1029" s="29">
        <f t="shared" si="152"/>
        <v>22264.200000000004</v>
      </c>
    </row>
    <row r="1030" spans="1:27" s="32" customFormat="1" x14ac:dyDescent="0.25">
      <c r="A1030" s="18">
        <v>1034</v>
      </c>
      <c r="B1030" s="19">
        <v>46051</v>
      </c>
      <c r="C1030" s="19">
        <v>46051</v>
      </c>
      <c r="D1030" s="25">
        <v>260129031</v>
      </c>
      <c r="E1030" s="21" t="s">
        <v>1955</v>
      </c>
      <c r="F1030" s="21" t="s">
        <v>1956</v>
      </c>
      <c r="G1030" s="21">
        <v>38</v>
      </c>
      <c r="H1030" s="44">
        <v>115</v>
      </c>
      <c r="I1030" s="23" t="s">
        <v>33</v>
      </c>
      <c r="J1030" s="24" t="s">
        <v>23</v>
      </c>
      <c r="K1030" s="35" t="s">
        <v>31</v>
      </c>
      <c r="L1030" s="25" t="s">
        <v>39</v>
      </c>
      <c r="M1030" s="21" t="s">
        <v>35</v>
      </c>
      <c r="N1030" s="37">
        <v>50.68</v>
      </c>
      <c r="O1030" s="37">
        <v>11.84</v>
      </c>
      <c r="P1030" s="26">
        <f t="shared" si="153"/>
        <v>38.840000000000003</v>
      </c>
      <c r="Q1030" s="27">
        <v>445</v>
      </c>
      <c r="R1030" s="28">
        <f t="shared" si="154"/>
        <v>17283.800000000003</v>
      </c>
      <c r="S1030" s="27"/>
      <c r="T1030" s="29"/>
      <c r="V1030" s="29" t="s">
        <v>24</v>
      </c>
      <c r="W1030" s="27">
        <v>145</v>
      </c>
      <c r="X1030" s="30">
        <f t="shared" si="150"/>
        <v>5631.8</v>
      </c>
      <c r="Y1030" s="31">
        <v>260</v>
      </c>
      <c r="Z1030" s="31">
        <f t="shared" si="151"/>
        <v>10098.400000000001</v>
      </c>
      <c r="AA1030" s="29">
        <f t="shared" si="152"/>
        <v>33014</v>
      </c>
    </row>
    <row r="1031" spans="1:27" s="38" customFormat="1" x14ac:dyDescent="0.25">
      <c r="A1031" s="18">
        <v>1035</v>
      </c>
      <c r="B1031" s="19">
        <v>46051</v>
      </c>
      <c r="C1031" s="19">
        <v>46051</v>
      </c>
      <c r="D1031" s="25">
        <v>260129032</v>
      </c>
      <c r="E1031" s="21" t="s">
        <v>1957</v>
      </c>
      <c r="F1031" s="21" t="s">
        <v>1958</v>
      </c>
      <c r="G1031" s="21">
        <v>36</v>
      </c>
      <c r="H1031" s="44">
        <v>115</v>
      </c>
      <c r="I1031" s="23" t="s">
        <v>33</v>
      </c>
      <c r="J1031" s="24" t="s">
        <v>23</v>
      </c>
      <c r="K1031" s="35" t="s">
        <v>31</v>
      </c>
      <c r="L1031" s="20" t="s">
        <v>40</v>
      </c>
      <c r="M1031" s="21" t="s">
        <v>35</v>
      </c>
      <c r="N1031" s="37">
        <v>47.92</v>
      </c>
      <c r="O1031" s="37">
        <v>11.5</v>
      </c>
      <c r="P1031" s="26">
        <f t="shared" si="153"/>
        <v>36.42</v>
      </c>
      <c r="Q1031" s="27">
        <v>445</v>
      </c>
      <c r="R1031" s="28">
        <f t="shared" si="154"/>
        <v>16206.900000000001</v>
      </c>
      <c r="S1031" s="21"/>
      <c r="T1031" s="29"/>
      <c r="V1031" s="29" t="s">
        <v>24</v>
      </c>
      <c r="W1031" s="27">
        <v>145</v>
      </c>
      <c r="X1031" s="30">
        <f t="shared" si="150"/>
        <v>5280.9000000000005</v>
      </c>
      <c r="Y1031" s="31">
        <v>260</v>
      </c>
      <c r="Z1031" s="31">
        <f t="shared" si="151"/>
        <v>9469.2000000000007</v>
      </c>
      <c r="AA1031" s="29">
        <f t="shared" si="152"/>
        <v>30957.000000000004</v>
      </c>
    </row>
    <row r="1032" spans="1:27" s="32" customFormat="1" x14ac:dyDescent="0.25">
      <c r="A1032" s="18">
        <v>1036</v>
      </c>
      <c r="B1032" s="19">
        <v>46051</v>
      </c>
      <c r="C1032" s="19">
        <v>46051</v>
      </c>
      <c r="D1032" s="25">
        <v>260129033</v>
      </c>
      <c r="E1032" s="21" t="s">
        <v>1959</v>
      </c>
      <c r="F1032" s="21" t="s">
        <v>1960</v>
      </c>
      <c r="G1032" s="21">
        <v>37</v>
      </c>
      <c r="H1032" s="44">
        <v>115</v>
      </c>
      <c r="I1032" s="23" t="s">
        <v>33</v>
      </c>
      <c r="J1032" s="24" t="s">
        <v>23</v>
      </c>
      <c r="K1032" s="35" t="s">
        <v>31</v>
      </c>
      <c r="L1032" s="20" t="s">
        <v>51</v>
      </c>
      <c r="M1032" s="21" t="s">
        <v>35</v>
      </c>
      <c r="N1032" s="37">
        <v>49.1</v>
      </c>
      <c r="O1032" s="37">
        <v>11.5</v>
      </c>
      <c r="P1032" s="26">
        <f t="shared" si="153"/>
        <v>37.6</v>
      </c>
      <c r="Q1032" s="27">
        <v>445</v>
      </c>
      <c r="R1032" s="28">
        <f t="shared" si="154"/>
        <v>16732</v>
      </c>
      <c r="S1032" s="27"/>
      <c r="T1032" s="29"/>
      <c r="V1032" s="29" t="s">
        <v>24</v>
      </c>
      <c r="W1032" s="27">
        <v>145</v>
      </c>
      <c r="X1032" s="30">
        <f t="shared" si="150"/>
        <v>5452</v>
      </c>
      <c r="Y1032" s="31">
        <v>260</v>
      </c>
      <c r="Z1032" s="31">
        <f t="shared" si="151"/>
        <v>9776</v>
      </c>
      <c r="AA1032" s="29">
        <f t="shared" si="152"/>
        <v>31960</v>
      </c>
    </row>
    <row r="1033" spans="1:27" s="32" customFormat="1" x14ac:dyDescent="0.25">
      <c r="A1033" s="18">
        <v>1037</v>
      </c>
      <c r="B1033" s="19">
        <v>46051</v>
      </c>
      <c r="C1033" s="19">
        <v>46051</v>
      </c>
      <c r="D1033" s="25">
        <v>260129034</v>
      </c>
      <c r="E1033" s="21" t="s">
        <v>1961</v>
      </c>
      <c r="F1033" s="21" t="s">
        <v>1962</v>
      </c>
      <c r="G1033" s="21">
        <v>33</v>
      </c>
      <c r="H1033" s="44">
        <v>96</v>
      </c>
      <c r="I1033" s="71" t="s">
        <v>458</v>
      </c>
      <c r="J1033" s="65" t="s">
        <v>23</v>
      </c>
      <c r="K1033" s="35" t="s">
        <v>31</v>
      </c>
      <c r="L1033" s="20" t="s">
        <v>459</v>
      </c>
      <c r="M1033" s="21" t="s">
        <v>34</v>
      </c>
      <c r="N1033" s="37">
        <v>45.72</v>
      </c>
      <c r="O1033" s="37">
        <v>11.82</v>
      </c>
      <c r="P1033" s="26">
        <f t="shared" si="153"/>
        <v>33.9</v>
      </c>
      <c r="Q1033" s="27">
        <v>520</v>
      </c>
      <c r="R1033" s="28">
        <f t="shared" si="154"/>
        <v>17628</v>
      </c>
      <c r="S1033" s="27"/>
      <c r="T1033" s="29"/>
      <c r="V1033" s="29" t="s">
        <v>45</v>
      </c>
      <c r="W1033" s="27">
        <v>145</v>
      </c>
      <c r="X1033" s="30">
        <f t="shared" si="150"/>
        <v>4915.5</v>
      </c>
      <c r="Y1033" s="31"/>
      <c r="Z1033" s="31">
        <f t="shared" si="151"/>
        <v>0</v>
      </c>
      <c r="AA1033" s="29">
        <f t="shared" si="152"/>
        <v>22543.5</v>
      </c>
    </row>
    <row r="1034" spans="1:27" s="32" customFormat="1" x14ac:dyDescent="0.25">
      <c r="A1034" s="18">
        <v>1038</v>
      </c>
      <c r="B1034" s="19">
        <v>46051</v>
      </c>
      <c r="C1034" s="19">
        <v>46051</v>
      </c>
      <c r="D1034" s="25">
        <v>260129035</v>
      </c>
      <c r="E1034" s="99" t="s">
        <v>1963</v>
      </c>
      <c r="F1034" s="21" t="s">
        <v>1964</v>
      </c>
      <c r="G1034" s="21">
        <v>41</v>
      </c>
      <c r="H1034" s="36">
        <v>130</v>
      </c>
      <c r="I1034" s="23" t="s">
        <v>1499</v>
      </c>
      <c r="J1034" s="24" t="s">
        <v>23</v>
      </c>
      <c r="K1034" s="23" t="s">
        <v>31</v>
      </c>
      <c r="L1034" s="25" t="s">
        <v>1500</v>
      </c>
      <c r="M1034" s="21" t="s">
        <v>34</v>
      </c>
      <c r="N1034" s="37">
        <v>57.1</v>
      </c>
      <c r="O1034" s="37">
        <v>15.44</v>
      </c>
      <c r="P1034" s="26">
        <f t="shared" si="153"/>
        <v>41.660000000000004</v>
      </c>
      <c r="Q1034" s="27">
        <v>520</v>
      </c>
      <c r="R1034" s="28">
        <f t="shared" si="154"/>
        <v>21663.200000000001</v>
      </c>
      <c r="S1034" s="27"/>
      <c r="T1034" s="29"/>
      <c r="V1034" s="29" t="s">
        <v>253</v>
      </c>
      <c r="W1034" s="27">
        <v>145</v>
      </c>
      <c r="X1034" s="30">
        <f t="shared" si="150"/>
        <v>6040.7000000000007</v>
      </c>
      <c r="Y1034" s="31"/>
      <c r="Z1034" s="31">
        <f t="shared" si="151"/>
        <v>0</v>
      </c>
      <c r="AA1034" s="29">
        <f t="shared" si="152"/>
        <v>27703.9</v>
      </c>
    </row>
    <row r="1035" spans="1:27" s="38" customFormat="1" x14ac:dyDescent="0.25">
      <c r="A1035" s="18">
        <v>1039</v>
      </c>
      <c r="B1035" s="19">
        <v>46051</v>
      </c>
      <c r="C1035" s="19">
        <v>46052</v>
      </c>
      <c r="D1035" s="70">
        <v>260130001</v>
      </c>
      <c r="E1035" s="99" t="s">
        <v>1965</v>
      </c>
      <c r="F1035" s="21" t="s">
        <v>1966</v>
      </c>
      <c r="G1035" s="21">
        <v>44.48</v>
      </c>
      <c r="H1035" s="36">
        <v>133</v>
      </c>
      <c r="I1035" s="23" t="s">
        <v>592</v>
      </c>
      <c r="J1035" s="24" t="s">
        <v>23</v>
      </c>
      <c r="K1035" s="23" t="s">
        <v>31</v>
      </c>
      <c r="L1035" s="25" t="s">
        <v>593</v>
      </c>
      <c r="M1035" s="21" t="s">
        <v>343</v>
      </c>
      <c r="N1035" s="37">
        <v>58.54</v>
      </c>
      <c r="O1035" s="37">
        <v>14.06</v>
      </c>
      <c r="P1035" s="26">
        <f t="shared" si="153"/>
        <v>44.48</v>
      </c>
      <c r="Q1035" s="27">
        <v>455</v>
      </c>
      <c r="R1035" s="28">
        <f t="shared" si="154"/>
        <v>20238.399999999998</v>
      </c>
      <c r="S1035" s="27"/>
      <c r="T1035" s="29"/>
      <c r="V1035" s="29" t="s">
        <v>45</v>
      </c>
      <c r="W1035" s="27">
        <v>145</v>
      </c>
      <c r="X1035" s="30">
        <f t="shared" si="150"/>
        <v>6449.5999999999995</v>
      </c>
      <c r="Y1035" s="31"/>
      <c r="Z1035" s="31">
        <f t="shared" si="151"/>
        <v>0</v>
      </c>
      <c r="AA1035" s="29">
        <f t="shared" si="152"/>
        <v>26687.999999999996</v>
      </c>
    </row>
    <row r="1036" spans="1:27" s="32" customFormat="1" x14ac:dyDescent="0.25">
      <c r="A1036" s="18">
        <v>1040</v>
      </c>
      <c r="B1036" s="19">
        <v>46051</v>
      </c>
      <c r="C1036" s="19">
        <v>46052</v>
      </c>
      <c r="D1036" s="70">
        <v>260130002</v>
      </c>
      <c r="E1036" s="99" t="s">
        <v>1967</v>
      </c>
      <c r="F1036" s="21" t="s">
        <v>1968</v>
      </c>
      <c r="G1036" s="21">
        <v>45</v>
      </c>
      <c r="H1036" s="44">
        <v>96</v>
      </c>
      <c r="I1036" s="71" t="s">
        <v>458</v>
      </c>
      <c r="J1036" s="65" t="s">
        <v>23</v>
      </c>
      <c r="K1036" s="35" t="s">
        <v>31</v>
      </c>
      <c r="L1036" s="25" t="s">
        <v>711</v>
      </c>
      <c r="M1036" s="21" t="s">
        <v>34</v>
      </c>
      <c r="N1036" s="37">
        <v>61.14</v>
      </c>
      <c r="O1036" s="37">
        <v>15.82</v>
      </c>
      <c r="P1036" s="26">
        <f t="shared" si="153"/>
        <v>45.32</v>
      </c>
      <c r="Q1036" s="27">
        <v>520</v>
      </c>
      <c r="R1036" s="28">
        <f t="shared" si="154"/>
        <v>23566.400000000001</v>
      </c>
      <c r="S1036" s="27"/>
      <c r="T1036" s="29"/>
      <c r="V1036" s="29" t="s">
        <v>45</v>
      </c>
      <c r="W1036" s="27">
        <v>145</v>
      </c>
      <c r="X1036" s="30">
        <f t="shared" si="150"/>
        <v>6571.4</v>
      </c>
      <c r="Y1036" s="31"/>
      <c r="Z1036" s="31">
        <f t="shared" si="151"/>
        <v>0</v>
      </c>
      <c r="AA1036" s="29">
        <f t="shared" si="152"/>
        <v>30137.800000000003</v>
      </c>
    </row>
    <row r="1037" spans="1:27" s="38" customFormat="1" x14ac:dyDescent="0.25">
      <c r="A1037" s="18">
        <v>1041</v>
      </c>
      <c r="B1037" s="19">
        <v>46051</v>
      </c>
      <c r="C1037" s="19">
        <v>46052</v>
      </c>
      <c r="D1037" s="70">
        <v>260130003</v>
      </c>
      <c r="E1037" s="99" t="s">
        <v>1969</v>
      </c>
      <c r="F1037" s="21" t="s">
        <v>1970</v>
      </c>
      <c r="G1037" s="21">
        <v>47</v>
      </c>
      <c r="H1037" s="48">
        <v>42</v>
      </c>
      <c r="I1037" s="23" t="s">
        <v>44</v>
      </c>
      <c r="J1037" s="49" t="s">
        <v>23</v>
      </c>
      <c r="K1037" s="23" t="s">
        <v>31</v>
      </c>
      <c r="L1037" s="20" t="s">
        <v>38</v>
      </c>
      <c r="M1037" s="21" t="s">
        <v>34</v>
      </c>
      <c r="N1037" s="37">
        <v>61.96</v>
      </c>
      <c r="O1037" s="37">
        <v>14.9</v>
      </c>
      <c r="P1037" s="26">
        <f t="shared" si="153"/>
        <v>47.06</v>
      </c>
      <c r="Q1037" s="27">
        <v>525</v>
      </c>
      <c r="R1037" s="28">
        <f t="shared" si="154"/>
        <v>24706.5</v>
      </c>
      <c r="S1037" s="21"/>
      <c r="T1037" s="29"/>
      <c r="V1037" s="29" t="s">
        <v>24</v>
      </c>
      <c r="W1037" s="27">
        <v>145</v>
      </c>
      <c r="X1037" s="30">
        <f t="shared" si="150"/>
        <v>6823.7000000000007</v>
      </c>
      <c r="Y1037" s="31">
        <v>260</v>
      </c>
      <c r="Z1037" s="31">
        <f t="shared" si="151"/>
        <v>12235.6</v>
      </c>
      <c r="AA1037" s="29">
        <f t="shared" si="152"/>
        <v>43765.8</v>
      </c>
    </row>
    <row r="1038" spans="1:27" s="32" customFormat="1" x14ac:dyDescent="0.25">
      <c r="A1038" s="18">
        <v>1042</v>
      </c>
      <c r="B1038" s="19">
        <v>46051</v>
      </c>
      <c r="C1038" s="19">
        <v>46052</v>
      </c>
      <c r="D1038" s="70">
        <v>260130004</v>
      </c>
      <c r="E1038" s="99" t="s">
        <v>1971</v>
      </c>
      <c r="F1038" s="21" t="s">
        <v>1972</v>
      </c>
      <c r="G1038" s="21">
        <v>43</v>
      </c>
      <c r="H1038" s="48">
        <v>42</v>
      </c>
      <c r="I1038" s="23" t="s">
        <v>44</v>
      </c>
      <c r="J1038" s="49" t="s">
        <v>23</v>
      </c>
      <c r="K1038" s="23" t="s">
        <v>31</v>
      </c>
      <c r="L1038" s="20" t="s">
        <v>1933</v>
      </c>
      <c r="M1038" s="21" t="s">
        <v>35</v>
      </c>
      <c r="N1038" s="37">
        <v>55.86</v>
      </c>
      <c r="O1038" s="37">
        <v>12.32</v>
      </c>
      <c r="P1038" s="26">
        <f t="shared" si="153"/>
        <v>43.54</v>
      </c>
      <c r="Q1038" s="27">
        <v>495</v>
      </c>
      <c r="R1038" s="28">
        <f t="shared" si="154"/>
        <v>21552.3</v>
      </c>
      <c r="S1038" s="27"/>
      <c r="T1038" s="29"/>
      <c r="V1038" s="29" t="s">
        <v>24</v>
      </c>
      <c r="W1038" s="27">
        <v>145</v>
      </c>
      <c r="X1038" s="30">
        <f t="shared" si="150"/>
        <v>6313.3</v>
      </c>
      <c r="Y1038" s="31">
        <v>260</v>
      </c>
      <c r="Z1038" s="31">
        <f t="shared" si="151"/>
        <v>11320.4</v>
      </c>
      <c r="AA1038" s="29">
        <f t="shared" si="152"/>
        <v>39186</v>
      </c>
    </row>
    <row r="1039" spans="1:27" s="32" customFormat="1" x14ac:dyDescent="0.25">
      <c r="A1039" s="18">
        <v>1043</v>
      </c>
      <c r="B1039" s="19">
        <v>46051</v>
      </c>
      <c r="C1039" s="19">
        <v>46052</v>
      </c>
      <c r="D1039" s="70">
        <v>260130005</v>
      </c>
      <c r="E1039" s="99" t="s">
        <v>1973</v>
      </c>
      <c r="F1039" s="21" t="s">
        <v>1974</v>
      </c>
      <c r="G1039" s="21">
        <v>50</v>
      </c>
      <c r="H1039" s="48">
        <v>42</v>
      </c>
      <c r="I1039" s="23" t="s">
        <v>44</v>
      </c>
      <c r="J1039" s="49" t="s">
        <v>23</v>
      </c>
      <c r="K1039" s="23" t="s">
        <v>31</v>
      </c>
      <c r="L1039" s="20" t="s">
        <v>1381</v>
      </c>
      <c r="M1039" s="21" t="s">
        <v>34</v>
      </c>
      <c r="N1039" s="37">
        <v>68.86</v>
      </c>
      <c r="O1039" s="37">
        <v>18.579999999999998</v>
      </c>
      <c r="P1039" s="26">
        <f t="shared" si="153"/>
        <v>50.28</v>
      </c>
      <c r="Q1039" s="27">
        <v>525</v>
      </c>
      <c r="R1039" s="28">
        <f t="shared" si="154"/>
        <v>26397</v>
      </c>
      <c r="S1039" s="27"/>
      <c r="T1039" s="29"/>
      <c r="V1039" s="29" t="s">
        <v>24</v>
      </c>
      <c r="W1039" s="27">
        <v>145</v>
      </c>
      <c r="X1039" s="30">
        <f t="shared" si="150"/>
        <v>7290.6</v>
      </c>
      <c r="Y1039" s="31">
        <v>260</v>
      </c>
      <c r="Z1039" s="31">
        <f t="shared" si="151"/>
        <v>13072.800000000001</v>
      </c>
      <c r="AA1039" s="29">
        <f t="shared" si="152"/>
        <v>46760.4</v>
      </c>
    </row>
    <row r="1040" spans="1:27" s="32" customFormat="1" x14ac:dyDescent="0.25">
      <c r="A1040" s="18">
        <v>1044</v>
      </c>
      <c r="B1040" s="19">
        <v>46051</v>
      </c>
      <c r="C1040" s="19">
        <v>46052</v>
      </c>
      <c r="D1040" s="70">
        <v>260130006</v>
      </c>
      <c r="E1040" s="99" t="s">
        <v>1975</v>
      </c>
      <c r="F1040" s="21" t="s">
        <v>1976</v>
      </c>
      <c r="G1040" s="21">
        <v>45</v>
      </c>
      <c r="H1040" s="44">
        <v>96</v>
      </c>
      <c r="I1040" s="71" t="s">
        <v>458</v>
      </c>
      <c r="J1040" s="65" t="s">
        <v>23</v>
      </c>
      <c r="K1040" s="35" t="s">
        <v>31</v>
      </c>
      <c r="L1040" s="25" t="s">
        <v>711</v>
      </c>
      <c r="M1040" s="21" t="s">
        <v>34</v>
      </c>
      <c r="N1040" s="37">
        <v>61.5</v>
      </c>
      <c r="O1040" s="37">
        <v>15.78</v>
      </c>
      <c r="P1040" s="26">
        <f t="shared" si="153"/>
        <v>45.72</v>
      </c>
      <c r="Q1040" s="27">
        <v>520</v>
      </c>
      <c r="R1040" s="28">
        <f t="shared" si="154"/>
        <v>23774.399999999998</v>
      </c>
      <c r="S1040" s="27"/>
      <c r="T1040" s="29"/>
      <c r="V1040" s="29" t="s">
        <v>45</v>
      </c>
      <c r="W1040" s="27">
        <v>145</v>
      </c>
      <c r="X1040" s="30">
        <f t="shared" si="150"/>
        <v>6629.4</v>
      </c>
      <c r="Y1040" s="31"/>
      <c r="Z1040" s="31">
        <f t="shared" si="151"/>
        <v>0</v>
      </c>
      <c r="AA1040" s="29">
        <f t="shared" si="152"/>
        <v>30403.799999999996</v>
      </c>
    </row>
    <row r="1041" spans="1:38" s="32" customFormat="1" x14ac:dyDescent="0.25">
      <c r="A1041" s="18">
        <v>1045</v>
      </c>
      <c r="B1041" s="19">
        <v>46052</v>
      </c>
      <c r="C1041" s="19">
        <v>46052</v>
      </c>
      <c r="D1041" s="25" t="s">
        <v>1977</v>
      </c>
      <c r="E1041" s="21"/>
      <c r="F1041" s="21"/>
      <c r="G1041" s="21"/>
      <c r="H1041" s="66"/>
      <c r="I1041" s="77" t="s">
        <v>1978</v>
      </c>
      <c r="J1041" s="95" t="s">
        <v>23</v>
      </c>
      <c r="K1041" s="60" t="s">
        <v>30</v>
      </c>
      <c r="L1041" s="25" t="s">
        <v>1979</v>
      </c>
      <c r="M1041" s="21" t="s">
        <v>34</v>
      </c>
      <c r="N1041" s="21">
        <v>7.88</v>
      </c>
      <c r="O1041" s="21">
        <v>3.26</v>
      </c>
      <c r="P1041" s="26">
        <f>N1041-O1041</f>
        <v>4.62</v>
      </c>
      <c r="Q1041" s="27">
        <v>550</v>
      </c>
      <c r="R1041" s="28">
        <f>P1041*Q1041</f>
        <v>2541</v>
      </c>
      <c r="S1041" s="27">
        <v>2540</v>
      </c>
      <c r="T1041" s="29"/>
      <c r="V1041" s="29" t="s">
        <v>24</v>
      </c>
      <c r="W1041" s="27"/>
      <c r="X1041" s="30">
        <f t="shared" ref="X1041:X1047" si="155">P1041*W1041</f>
        <v>0</v>
      </c>
      <c r="Y1041" s="31"/>
      <c r="Z1041" s="31">
        <f t="shared" ref="Z1041:Z1047" si="156">P1041*Y1041</f>
        <v>0</v>
      </c>
      <c r="AA1041" s="29">
        <f t="shared" ref="AA1041:AA1047" si="157">R1041+X1041+Z1041</f>
        <v>2541</v>
      </c>
    </row>
    <row r="1042" spans="1:38" s="32" customFormat="1" x14ac:dyDescent="0.25">
      <c r="A1042" s="18">
        <v>1046</v>
      </c>
      <c r="B1042" s="19">
        <v>46052</v>
      </c>
      <c r="C1042" s="19">
        <v>46052</v>
      </c>
      <c r="D1042" s="25" t="s">
        <v>1980</v>
      </c>
      <c r="E1042" s="21"/>
      <c r="F1042" s="21"/>
      <c r="G1042" s="21"/>
      <c r="H1042" s="33">
        <v>373</v>
      </c>
      <c r="I1042" s="35" t="s">
        <v>1981</v>
      </c>
      <c r="J1042" s="24" t="s">
        <v>23</v>
      </c>
      <c r="K1042" s="23" t="s">
        <v>31</v>
      </c>
      <c r="L1042" s="25" t="s">
        <v>873</v>
      </c>
      <c r="M1042" s="21" t="s">
        <v>34</v>
      </c>
      <c r="N1042" s="83">
        <v>21.36</v>
      </c>
      <c r="O1042" s="21">
        <v>7.3</v>
      </c>
      <c r="P1042" s="26">
        <f t="shared" ref="P1042:P1047" si="158">N1042-O1042</f>
        <v>14.059999999999999</v>
      </c>
      <c r="Q1042" s="27">
        <v>0</v>
      </c>
      <c r="R1042" s="28">
        <f t="shared" ref="R1042:R1047" si="159">P1042*Q1042</f>
        <v>0</v>
      </c>
      <c r="S1042" s="27"/>
      <c r="T1042" s="29"/>
      <c r="V1042" s="29" t="s">
        <v>24</v>
      </c>
      <c r="W1042" s="27"/>
      <c r="X1042" s="30">
        <f t="shared" si="155"/>
        <v>0</v>
      </c>
      <c r="Y1042" s="31"/>
      <c r="Z1042" s="31">
        <f t="shared" si="156"/>
        <v>0</v>
      </c>
      <c r="AA1042" s="29">
        <f t="shared" si="157"/>
        <v>0</v>
      </c>
    </row>
    <row r="1043" spans="1:38" s="32" customFormat="1" x14ac:dyDescent="0.25">
      <c r="A1043" s="18">
        <v>1047</v>
      </c>
      <c r="B1043" s="19">
        <v>46052</v>
      </c>
      <c r="C1043" s="19">
        <v>46052</v>
      </c>
      <c r="D1043" s="25" t="s">
        <v>1982</v>
      </c>
      <c r="E1043" s="21"/>
      <c r="F1043" s="21"/>
      <c r="G1043" s="21"/>
      <c r="H1043" s="33">
        <v>123</v>
      </c>
      <c r="I1043" s="60" t="s">
        <v>832</v>
      </c>
      <c r="J1043" s="34" t="s">
        <v>23</v>
      </c>
      <c r="K1043" s="23" t="s">
        <v>31</v>
      </c>
      <c r="L1043" s="82" t="s">
        <v>1983</v>
      </c>
      <c r="M1043" s="21" t="s">
        <v>203</v>
      </c>
      <c r="N1043" s="21">
        <v>48.08</v>
      </c>
      <c r="O1043" s="21">
        <v>14.78</v>
      </c>
      <c r="P1043" s="26">
        <f t="shared" si="158"/>
        <v>33.299999999999997</v>
      </c>
      <c r="Q1043" s="27">
        <v>150</v>
      </c>
      <c r="R1043" s="28">
        <f t="shared" si="159"/>
        <v>4995</v>
      </c>
      <c r="S1043" s="27"/>
      <c r="T1043" s="29"/>
      <c r="V1043" s="29" t="s">
        <v>24</v>
      </c>
      <c r="W1043" s="27"/>
      <c r="X1043" s="30">
        <f t="shared" si="155"/>
        <v>0</v>
      </c>
      <c r="Y1043" s="31"/>
      <c r="Z1043" s="31">
        <f t="shared" si="156"/>
        <v>0</v>
      </c>
      <c r="AA1043" s="29">
        <f t="shared" si="157"/>
        <v>4995</v>
      </c>
    </row>
    <row r="1044" spans="1:38" s="38" customFormat="1" x14ac:dyDescent="0.25">
      <c r="A1044" s="18">
        <v>1048</v>
      </c>
      <c r="B1044" s="19">
        <v>46052</v>
      </c>
      <c r="C1044" s="19">
        <v>46052</v>
      </c>
      <c r="D1044" s="25" t="s">
        <v>1984</v>
      </c>
      <c r="E1044" s="21"/>
      <c r="F1044" s="21"/>
      <c r="G1044" s="21"/>
      <c r="H1044" s="22">
        <v>53</v>
      </c>
      <c r="I1044" s="23" t="s">
        <v>1985</v>
      </c>
      <c r="J1044" s="24" t="s">
        <v>23</v>
      </c>
      <c r="K1044" s="23" t="s">
        <v>30</v>
      </c>
      <c r="L1044" s="25" t="s">
        <v>1986</v>
      </c>
      <c r="M1044" s="21" t="s">
        <v>34</v>
      </c>
      <c r="N1044" s="21">
        <v>19.66</v>
      </c>
      <c r="O1044" s="37">
        <v>7.46</v>
      </c>
      <c r="P1044" s="26">
        <f t="shared" si="158"/>
        <v>12.2</v>
      </c>
      <c r="Q1044" s="27">
        <v>540</v>
      </c>
      <c r="R1044" s="28">
        <f t="shared" si="159"/>
        <v>6588</v>
      </c>
      <c r="S1044" s="27">
        <v>6600</v>
      </c>
      <c r="T1044" s="29"/>
      <c r="V1044" s="29" t="s">
        <v>253</v>
      </c>
      <c r="W1044" s="27"/>
      <c r="X1044" s="30">
        <f t="shared" si="155"/>
        <v>0</v>
      </c>
      <c r="Y1044" s="31"/>
      <c r="Z1044" s="31">
        <f t="shared" si="156"/>
        <v>0</v>
      </c>
      <c r="AA1044" s="29">
        <f t="shared" si="157"/>
        <v>6588</v>
      </c>
    </row>
    <row r="1045" spans="1:38" s="32" customFormat="1" x14ac:dyDescent="0.25">
      <c r="A1045" s="18">
        <v>1049</v>
      </c>
      <c r="B1045" s="19">
        <v>46052</v>
      </c>
      <c r="C1045" s="19">
        <v>46052</v>
      </c>
      <c r="D1045" s="25" t="s">
        <v>1987</v>
      </c>
      <c r="E1045" s="21"/>
      <c r="F1045" s="21"/>
      <c r="G1045" s="21"/>
      <c r="H1045" s="33">
        <v>136</v>
      </c>
      <c r="I1045" s="23" t="s">
        <v>865</v>
      </c>
      <c r="J1045" s="34" t="s">
        <v>23</v>
      </c>
      <c r="K1045" s="23" t="s">
        <v>31</v>
      </c>
      <c r="L1045" s="25" t="s">
        <v>873</v>
      </c>
      <c r="M1045" s="21" t="s">
        <v>34</v>
      </c>
      <c r="N1045" s="37">
        <v>19.36</v>
      </c>
      <c r="O1045" s="37">
        <v>7.3</v>
      </c>
      <c r="P1045" s="26">
        <f t="shared" si="158"/>
        <v>12.059999999999999</v>
      </c>
      <c r="Q1045" s="27">
        <v>530</v>
      </c>
      <c r="R1045" s="28">
        <f t="shared" si="159"/>
        <v>6391.7999999999993</v>
      </c>
      <c r="S1045" s="27"/>
      <c r="T1045" s="29"/>
      <c r="V1045" s="23" t="s">
        <v>45</v>
      </c>
      <c r="W1045" s="27"/>
      <c r="X1045" s="30">
        <f t="shared" si="155"/>
        <v>0</v>
      </c>
      <c r="Y1045" s="31"/>
      <c r="Z1045" s="31">
        <f t="shared" si="156"/>
        <v>0</v>
      </c>
      <c r="AA1045" s="29">
        <f t="shared" si="157"/>
        <v>6391.7999999999993</v>
      </c>
    </row>
    <row r="1046" spans="1:38" s="32" customFormat="1" x14ac:dyDescent="0.25">
      <c r="A1046" s="18">
        <v>1050</v>
      </c>
      <c r="B1046" s="19">
        <v>46052</v>
      </c>
      <c r="C1046" s="19">
        <v>46052</v>
      </c>
      <c r="D1046" s="25">
        <v>260130007</v>
      </c>
      <c r="E1046" s="21"/>
      <c r="F1046" s="21"/>
      <c r="G1046" s="21"/>
      <c r="H1046" s="33">
        <v>285</v>
      </c>
      <c r="I1046" s="73" t="s">
        <v>703</v>
      </c>
      <c r="J1046" s="24" t="s">
        <v>23</v>
      </c>
      <c r="K1046" s="23" t="s">
        <v>31</v>
      </c>
      <c r="L1046" s="25" t="s">
        <v>662</v>
      </c>
      <c r="M1046" s="21" t="s">
        <v>49</v>
      </c>
      <c r="N1046" s="37">
        <v>59.36</v>
      </c>
      <c r="O1046" s="37">
        <v>13.66</v>
      </c>
      <c r="P1046" s="26">
        <f t="shared" si="158"/>
        <v>45.7</v>
      </c>
      <c r="Q1046" s="27">
        <v>220</v>
      </c>
      <c r="R1046" s="28">
        <f t="shared" si="159"/>
        <v>10054</v>
      </c>
      <c r="S1046" s="27"/>
      <c r="T1046" s="29"/>
      <c r="V1046" s="29" t="s">
        <v>1988</v>
      </c>
      <c r="W1046" s="27"/>
      <c r="X1046" s="30">
        <f t="shared" si="155"/>
        <v>0</v>
      </c>
      <c r="Y1046" s="31"/>
      <c r="Z1046" s="31">
        <f t="shared" si="156"/>
        <v>0</v>
      </c>
      <c r="AA1046" s="29">
        <f t="shared" si="157"/>
        <v>10054</v>
      </c>
    </row>
    <row r="1047" spans="1:38" s="32" customFormat="1" x14ac:dyDescent="0.25">
      <c r="A1047" s="18">
        <v>1051</v>
      </c>
      <c r="B1047" s="19">
        <v>46052</v>
      </c>
      <c r="C1047" s="19">
        <v>46052</v>
      </c>
      <c r="D1047" s="25" t="s">
        <v>1989</v>
      </c>
      <c r="E1047" s="21"/>
      <c r="F1047" s="21"/>
      <c r="G1047" s="21"/>
      <c r="H1047" s="33">
        <v>123</v>
      </c>
      <c r="I1047" s="60" t="s">
        <v>832</v>
      </c>
      <c r="J1047" s="34" t="s">
        <v>23</v>
      </c>
      <c r="K1047" s="23" t="s">
        <v>31</v>
      </c>
      <c r="L1047" s="82" t="s">
        <v>1983</v>
      </c>
      <c r="M1047" s="21" t="s">
        <v>203</v>
      </c>
      <c r="N1047" s="37">
        <v>51.76</v>
      </c>
      <c r="O1047" s="37">
        <v>14.68</v>
      </c>
      <c r="P1047" s="26">
        <f t="shared" si="158"/>
        <v>37.08</v>
      </c>
      <c r="Q1047" s="27">
        <v>150</v>
      </c>
      <c r="R1047" s="28">
        <f t="shared" si="159"/>
        <v>5562</v>
      </c>
      <c r="S1047" s="27"/>
      <c r="T1047" s="29"/>
      <c r="V1047" s="29" t="s">
        <v>24</v>
      </c>
      <c r="W1047" s="27"/>
      <c r="X1047" s="30">
        <f t="shared" si="155"/>
        <v>0</v>
      </c>
      <c r="Y1047" s="31"/>
      <c r="Z1047" s="31">
        <f t="shared" si="156"/>
        <v>0</v>
      </c>
      <c r="AA1047" s="29">
        <f t="shared" si="157"/>
        <v>5562</v>
      </c>
    </row>
    <row r="1048" spans="1:38" s="32" customFormat="1" x14ac:dyDescent="0.25">
      <c r="A1048" s="18">
        <v>1052</v>
      </c>
      <c r="B1048" s="19">
        <v>46053</v>
      </c>
      <c r="C1048" s="19">
        <v>46053</v>
      </c>
      <c r="D1048" s="25" t="s">
        <v>1990</v>
      </c>
      <c r="E1048" s="21"/>
      <c r="F1048" s="21"/>
      <c r="G1048" s="21"/>
      <c r="H1048" s="107"/>
      <c r="I1048" s="77" t="s">
        <v>559</v>
      </c>
      <c r="J1048" s="108" t="s">
        <v>23</v>
      </c>
      <c r="K1048" s="109" t="s">
        <v>31</v>
      </c>
      <c r="L1048" s="25" t="s">
        <v>272</v>
      </c>
      <c r="M1048" s="21" t="s">
        <v>203</v>
      </c>
      <c r="N1048" s="21">
        <v>24.86</v>
      </c>
      <c r="O1048" s="21">
        <v>14.28</v>
      </c>
      <c r="P1048" s="26">
        <f>N1048-O1048</f>
        <v>10.58</v>
      </c>
      <c r="Q1048" s="27">
        <v>0</v>
      </c>
      <c r="R1048" s="28">
        <f>P1048*Q1048</f>
        <v>0</v>
      </c>
      <c r="S1048" s="27"/>
      <c r="T1048" s="29"/>
      <c r="V1048" s="29" t="s">
        <v>24</v>
      </c>
      <c r="W1048" s="27"/>
      <c r="X1048" s="30">
        <f>P1048*W1048</f>
        <v>0</v>
      </c>
      <c r="Y1048" s="31"/>
      <c r="Z1048" s="31">
        <f>P1048*Y1048</f>
        <v>0</v>
      </c>
      <c r="AA1048" s="29">
        <f>R1048+X1048+Z1048</f>
        <v>0</v>
      </c>
    </row>
    <row r="1049" spans="1:38" s="32" customFormat="1" x14ac:dyDescent="0.25">
      <c r="A1049" s="18">
        <v>1053</v>
      </c>
      <c r="B1049" s="19">
        <v>46053</v>
      </c>
      <c r="C1049" s="19">
        <v>46053</v>
      </c>
      <c r="D1049" s="25">
        <v>26031001</v>
      </c>
      <c r="E1049" s="21"/>
      <c r="F1049" s="21" t="s">
        <v>1991</v>
      </c>
      <c r="G1049" s="21">
        <v>44</v>
      </c>
      <c r="H1049" s="110">
        <v>285</v>
      </c>
      <c r="I1049" s="73" t="s">
        <v>703</v>
      </c>
      <c r="J1049" s="111" t="s">
        <v>23</v>
      </c>
      <c r="K1049" s="112" t="s">
        <v>31</v>
      </c>
      <c r="L1049" s="25" t="s">
        <v>711</v>
      </c>
      <c r="M1049" s="21" t="s">
        <v>34</v>
      </c>
      <c r="N1049" s="83">
        <v>60.46</v>
      </c>
      <c r="O1049" s="21">
        <v>15.9</v>
      </c>
      <c r="P1049" s="26">
        <f t="shared" ref="P1049:P1057" si="160">N1049-O1049</f>
        <v>44.56</v>
      </c>
      <c r="Q1049" s="27">
        <v>520</v>
      </c>
      <c r="R1049" s="28">
        <f t="shared" ref="R1049:R1057" si="161">P1049*Q1049</f>
        <v>23171.200000000001</v>
      </c>
      <c r="S1049" s="27"/>
      <c r="T1049" s="29"/>
      <c r="V1049" s="29" t="s">
        <v>24</v>
      </c>
      <c r="W1049" s="27"/>
      <c r="X1049" s="30">
        <f>P1049*W1049</f>
        <v>0</v>
      </c>
      <c r="Y1049" s="31"/>
      <c r="Z1049" s="31">
        <f>P1049*Y1049</f>
        <v>0</v>
      </c>
      <c r="AA1049" s="29">
        <f>R1049+X1049+Z1049</f>
        <v>23171.200000000001</v>
      </c>
    </row>
    <row r="1050" spans="1:38" s="32" customFormat="1" x14ac:dyDescent="0.25">
      <c r="A1050" s="18">
        <v>1054</v>
      </c>
      <c r="B1050" s="19">
        <v>46053</v>
      </c>
      <c r="C1050" s="19">
        <v>46053</v>
      </c>
      <c r="D1050" s="25">
        <v>260131005</v>
      </c>
      <c r="E1050" s="21"/>
      <c r="F1050" s="21" t="s">
        <v>1992</v>
      </c>
      <c r="G1050" s="21">
        <v>48</v>
      </c>
      <c r="H1050" s="110">
        <v>285</v>
      </c>
      <c r="I1050" s="73" t="s">
        <v>703</v>
      </c>
      <c r="J1050" s="111" t="s">
        <v>23</v>
      </c>
      <c r="K1050" s="112" t="s">
        <v>31</v>
      </c>
      <c r="L1050" s="82" t="s">
        <v>60</v>
      </c>
      <c r="M1050" s="21" t="s">
        <v>49</v>
      </c>
      <c r="N1050" s="21">
        <v>63.04</v>
      </c>
      <c r="O1050" s="21">
        <v>14.18</v>
      </c>
      <c r="P1050" s="26">
        <f t="shared" si="160"/>
        <v>48.86</v>
      </c>
      <c r="Q1050" s="27">
        <v>250</v>
      </c>
      <c r="R1050" s="28">
        <f t="shared" si="161"/>
        <v>12215</v>
      </c>
      <c r="S1050" s="27"/>
      <c r="T1050" s="29"/>
      <c r="V1050" s="29" t="s">
        <v>24</v>
      </c>
      <c r="W1050" s="27"/>
      <c r="X1050" s="30">
        <f>P1050*W1050</f>
        <v>0</v>
      </c>
      <c r="Y1050" s="31"/>
      <c r="Z1050" s="31">
        <f>P1050*Y1050</f>
        <v>0</v>
      </c>
      <c r="AA1050" s="29">
        <f>R1050+X1050+Z1050</f>
        <v>12215</v>
      </c>
    </row>
    <row r="1051" spans="1:38" s="38" customFormat="1" x14ac:dyDescent="0.25">
      <c r="A1051" s="18">
        <v>1055</v>
      </c>
      <c r="B1051" s="19">
        <v>46053</v>
      </c>
      <c r="C1051" s="19">
        <v>46053</v>
      </c>
      <c r="D1051" s="25">
        <v>260131007</v>
      </c>
      <c r="E1051" s="21"/>
      <c r="F1051" s="21"/>
      <c r="G1051" s="21"/>
      <c r="H1051" s="110">
        <v>285</v>
      </c>
      <c r="I1051" s="73" t="s">
        <v>703</v>
      </c>
      <c r="J1051" s="111" t="s">
        <v>23</v>
      </c>
      <c r="K1051" s="112" t="s">
        <v>31</v>
      </c>
      <c r="L1051" s="25" t="s">
        <v>61</v>
      </c>
      <c r="M1051" s="21" t="s">
        <v>34</v>
      </c>
      <c r="N1051" s="21">
        <v>61.6</v>
      </c>
      <c r="O1051" s="37">
        <v>15.34</v>
      </c>
      <c r="P1051" s="26">
        <f t="shared" si="160"/>
        <v>46.260000000000005</v>
      </c>
      <c r="Q1051" s="27">
        <v>520</v>
      </c>
      <c r="R1051" s="28">
        <f t="shared" si="161"/>
        <v>24055.200000000004</v>
      </c>
      <c r="S1051" s="27"/>
      <c r="T1051" s="29"/>
      <c r="V1051" s="29" t="s">
        <v>24</v>
      </c>
      <c r="W1051" s="27"/>
      <c r="X1051" s="30">
        <f>P1051*W1051</f>
        <v>0</v>
      </c>
      <c r="Y1051" s="31"/>
      <c r="Z1051" s="31">
        <f>P1051*Y1051</f>
        <v>0</v>
      </c>
      <c r="AA1051" s="29">
        <f>R1051+X1051+Z1051</f>
        <v>24055.200000000004</v>
      </c>
    </row>
    <row r="1052" spans="1:38" s="32" customFormat="1" x14ac:dyDescent="0.25">
      <c r="A1052" s="18">
        <v>1056</v>
      </c>
      <c r="B1052" s="19">
        <v>46053</v>
      </c>
      <c r="C1052" s="19">
        <v>46053</v>
      </c>
      <c r="D1052" s="25">
        <v>260131003</v>
      </c>
      <c r="E1052" s="21" t="s">
        <v>1993</v>
      </c>
      <c r="F1052" s="21" t="s">
        <v>1994</v>
      </c>
      <c r="G1052" s="21">
        <v>33</v>
      </c>
      <c r="H1052" s="113">
        <v>115</v>
      </c>
      <c r="I1052" s="112" t="s">
        <v>33</v>
      </c>
      <c r="J1052" s="111" t="s">
        <v>23</v>
      </c>
      <c r="K1052" s="114" t="s">
        <v>31</v>
      </c>
      <c r="L1052" s="25" t="s">
        <v>51</v>
      </c>
      <c r="M1052" s="21" t="s">
        <v>32</v>
      </c>
      <c r="N1052" s="37">
        <v>44.72</v>
      </c>
      <c r="O1052" s="37">
        <v>11.44</v>
      </c>
      <c r="P1052" s="26">
        <f t="shared" si="160"/>
        <v>33.28</v>
      </c>
      <c r="Q1052" s="27">
        <v>315</v>
      </c>
      <c r="R1052" s="28">
        <f t="shared" si="161"/>
        <v>10483.200000000001</v>
      </c>
      <c r="S1052" s="27"/>
      <c r="T1052" s="29"/>
      <c r="V1052" s="29" t="s">
        <v>24</v>
      </c>
      <c r="W1052" s="27">
        <v>145</v>
      </c>
      <c r="X1052" s="30">
        <f>P1052*W1052</f>
        <v>4825.6000000000004</v>
      </c>
      <c r="Y1052" s="31">
        <v>260</v>
      </c>
      <c r="Z1052" s="31">
        <f>P1052*Y1052</f>
        <v>8652.8000000000011</v>
      </c>
      <c r="AA1052" s="29">
        <f>R1052+X1052+Z1052</f>
        <v>23961.600000000002</v>
      </c>
    </row>
    <row r="1053" spans="1:38" s="32" customFormat="1" x14ac:dyDescent="0.25">
      <c r="A1053" s="18">
        <v>1057</v>
      </c>
      <c r="B1053" s="19">
        <v>46053</v>
      </c>
      <c r="C1053" s="19">
        <v>46053</v>
      </c>
      <c r="D1053" s="25">
        <v>260131004</v>
      </c>
      <c r="E1053" s="21" t="s">
        <v>1995</v>
      </c>
      <c r="F1053" s="21" t="s">
        <v>1996</v>
      </c>
      <c r="G1053" s="21">
        <v>39</v>
      </c>
      <c r="H1053" s="113">
        <v>115</v>
      </c>
      <c r="I1053" s="112" t="s">
        <v>33</v>
      </c>
      <c r="J1053" s="111" t="s">
        <v>23</v>
      </c>
      <c r="K1053" s="114" t="s">
        <v>31</v>
      </c>
      <c r="L1053" s="25" t="s">
        <v>39</v>
      </c>
      <c r="M1053" s="21" t="s">
        <v>35</v>
      </c>
      <c r="N1053" s="37">
        <v>51.6</v>
      </c>
      <c r="O1053" s="37">
        <v>11.78</v>
      </c>
      <c r="P1053" s="26">
        <f t="shared" si="160"/>
        <v>39.82</v>
      </c>
      <c r="Q1053" s="27">
        <v>445</v>
      </c>
      <c r="R1053" s="28">
        <f t="shared" si="161"/>
        <v>17719.900000000001</v>
      </c>
      <c r="S1053" s="27"/>
      <c r="T1053" s="29"/>
      <c r="V1053" s="29" t="s">
        <v>24</v>
      </c>
      <c r="W1053" s="27">
        <v>145</v>
      </c>
      <c r="X1053" s="30">
        <f>P1053*W1053</f>
        <v>5773.9</v>
      </c>
      <c r="Y1053" s="31">
        <v>260</v>
      </c>
      <c r="Z1053" s="31">
        <f>P1053*Y1053</f>
        <v>10353.200000000001</v>
      </c>
      <c r="AA1053" s="29">
        <f>R1053+X1053+Z1053</f>
        <v>33847</v>
      </c>
    </row>
    <row r="1054" spans="1:38" s="32" customFormat="1" x14ac:dyDescent="0.25">
      <c r="A1054" s="18">
        <v>1058</v>
      </c>
      <c r="B1054" s="19">
        <v>46053</v>
      </c>
      <c r="C1054" s="19">
        <v>46053</v>
      </c>
      <c r="D1054" s="25">
        <v>260131002</v>
      </c>
      <c r="E1054" s="21" t="s">
        <v>1997</v>
      </c>
      <c r="F1054" s="21" t="s">
        <v>1998</v>
      </c>
      <c r="G1054" s="21">
        <v>34</v>
      </c>
      <c r="H1054" s="113">
        <v>115</v>
      </c>
      <c r="I1054" s="112" t="s">
        <v>33</v>
      </c>
      <c r="J1054" s="111" t="s">
        <v>23</v>
      </c>
      <c r="K1054" s="114" t="s">
        <v>31</v>
      </c>
      <c r="L1054" s="82" t="s">
        <v>40</v>
      </c>
      <c r="M1054" s="21" t="s">
        <v>34</v>
      </c>
      <c r="N1054" s="37">
        <v>45.68</v>
      </c>
      <c r="O1054" s="37">
        <v>11.44</v>
      </c>
      <c r="P1054" s="26">
        <f t="shared" si="160"/>
        <v>34.24</v>
      </c>
      <c r="Q1054" s="27">
        <v>545</v>
      </c>
      <c r="R1054" s="28">
        <f t="shared" si="161"/>
        <v>18660.8</v>
      </c>
      <c r="S1054" s="27"/>
      <c r="T1054" s="29"/>
      <c r="V1054" s="29" t="s">
        <v>24</v>
      </c>
      <c r="W1054" s="27">
        <v>145</v>
      </c>
      <c r="X1054" s="30">
        <f>P1054*W1054</f>
        <v>4964.8</v>
      </c>
      <c r="Y1054" s="31">
        <v>260</v>
      </c>
      <c r="Z1054" s="31">
        <f>P1054*Y1054</f>
        <v>8902.4</v>
      </c>
      <c r="AA1054" s="29">
        <f>R1054+X1054+Z1054</f>
        <v>32528</v>
      </c>
    </row>
    <row r="1055" spans="1:38" s="32" customFormat="1" x14ac:dyDescent="0.25">
      <c r="A1055" s="18">
        <v>1059</v>
      </c>
      <c r="B1055" s="19">
        <v>46053</v>
      </c>
      <c r="C1055" s="19">
        <v>46053</v>
      </c>
      <c r="D1055" s="25">
        <v>260131006</v>
      </c>
      <c r="E1055" s="21" t="s">
        <v>1999</v>
      </c>
      <c r="F1055" s="21" t="s">
        <v>2000</v>
      </c>
      <c r="G1055" s="21">
        <v>39</v>
      </c>
      <c r="H1055" s="113">
        <v>115</v>
      </c>
      <c r="I1055" s="112" t="s">
        <v>33</v>
      </c>
      <c r="J1055" s="111" t="s">
        <v>23</v>
      </c>
      <c r="K1055" s="114" t="s">
        <v>31</v>
      </c>
      <c r="L1055" s="25" t="s">
        <v>42</v>
      </c>
      <c r="M1055" s="21" t="s">
        <v>35</v>
      </c>
      <c r="N1055" s="37">
        <v>51.38</v>
      </c>
      <c r="O1055" s="37">
        <v>11.78</v>
      </c>
      <c r="P1055" s="26">
        <f t="shared" si="160"/>
        <v>39.6</v>
      </c>
      <c r="Q1055" s="27">
        <v>445</v>
      </c>
      <c r="R1055" s="28">
        <f t="shared" si="161"/>
        <v>17622</v>
      </c>
      <c r="S1055" s="27"/>
      <c r="T1055" s="29"/>
      <c r="V1055" s="29" t="s">
        <v>24</v>
      </c>
      <c r="W1055" s="27">
        <v>145</v>
      </c>
      <c r="X1055" s="30">
        <f>P1055*W1055</f>
        <v>5742</v>
      </c>
      <c r="Y1055" s="31">
        <v>260</v>
      </c>
      <c r="Z1055" s="31">
        <f>P1055*Y1055</f>
        <v>10296</v>
      </c>
      <c r="AA1055" s="29">
        <f>R1055+X1055+Z1055</f>
        <v>33660</v>
      </c>
      <c r="AB1055" s="40"/>
      <c r="AC1055" s="39"/>
      <c r="AD1055" s="41"/>
      <c r="AE1055" s="42"/>
      <c r="AF1055" s="39"/>
      <c r="AG1055" s="42"/>
      <c r="AH1055" s="39"/>
      <c r="AI1055" s="41"/>
      <c r="AJ1055" s="39"/>
      <c r="AK1055" s="41"/>
      <c r="AL1055" s="41"/>
    </row>
    <row r="1056" spans="1:38" s="32" customFormat="1" x14ac:dyDescent="0.25">
      <c r="A1056" s="18">
        <v>1060</v>
      </c>
      <c r="B1056" s="19">
        <v>46053</v>
      </c>
      <c r="C1056" s="19">
        <v>46053</v>
      </c>
      <c r="D1056" s="25">
        <v>260131008</v>
      </c>
      <c r="E1056" s="21" t="s">
        <v>2001</v>
      </c>
      <c r="F1056" s="21" t="s">
        <v>2002</v>
      </c>
      <c r="G1056" s="21">
        <v>45</v>
      </c>
      <c r="H1056" s="113">
        <v>117</v>
      </c>
      <c r="I1056" s="45" t="s">
        <v>47</v>
      </c>
      <c r="J1056" s="111" t="s">
        <v>23</v>
      </c>
      <c r="K1056" s="112" t="s">
        <v>31</v>
      </c>
      <c r="L1056" s="25" t="s">
        <v>285</v>
      </c>
      <c r="M1056" s="21" t="s">
        <v>34</v>
      </c>
      <c r="N1056" s="37">
        <v>61.26</v>
      </c>
      <c r="O1056" s="37">
        <v>15.84</v>
      </c>
      <c r="P1056" s="26">
        <f t="shared" si="160"/>
        <v>45.42</v>
      </c>
      <c r="Q1056" s="27">
        <v>555</v>
      </c>
      <c r="R1056" s="28">
        <f t="shared" si="161"/>
        <v>25208.100000000002</v>
      </c>
      <c r="S1056" s="27"/>
      <c r="T1056" s="29"/>
      <c r="V1056" s="29" t="s">
        <v>24</v>
      </c>
      <c r="W1056" s="27">
        <v>145</v>
      </c>
      <c r="X1056" s="30">
        <f>P1056*W1056</f>
        <v>6585.9000000000005</v>
      </c>
      <c r="Y1056" s="31">
        <v>230</v>
      </c>
      <c r="Z1056" s="31">
        <f>P1056*Y1056</f>
        <v>10446.6</v>
      </c>
      <c r="AA1056" s="29">
        <f>R1056+X1056+Z1056</f>
        <v>42240.600000000006</v>
      </c>
    </row>
    <row r="1057" spans="1:27" s="32" customFormat="1" x14ac:dyDescent="0.25">
      <c r="A1057" s="18">
        <v>1061</v>
      </c>
      <c r="B1057" s="19">
        <v>46053</v>
      </c>
      <c r="C1057" s="19">
        <v>46053</v>
      </c>
      <c r="D1057" s="25">
        <v>260131009</v>
      </c>
      <c r="E1057" s="21" t="s">
        <v>2003</v>
      </c>
      <c r="F1057" s="21" t="s">
        <v>2004</v>
      </c>
      <c r="G1057" s="21">
        <v>32</v>
      </c>
      <c r="H1057" s="113">
        <v>117</v>
      </c>
      <c r="I1057" s="45" t="s">
        <v>47</v>
      </c>
      <c r="J1057" s="111" t="s">
        <v>23</v>
      </c>
      <c r="K1057" s="112" t="s">
        <v>31</v>
      </c>
      <c r="L1057" s="82" t="s">
        <v>1271</v>
      </c>
      <c r="M1057" s="21" t="s">
        <v>32</v>
      </c>
      <c r="N1057" s="37">
        <v>44.2</v>
      </c>
      <c r="O1057" s="37">
        <v>11.48</v>
      </c>
      <c r="P1057" s="26">
        <f t="shared" si="160"/>
        <v>32.72</v>
      </c>
      <c r="Q1057" s="27">
        <v>335</v>
      </c>
      <c r="R1057" s="28">
        <f t="shared" si="161"/>
        <v>10961.199999999999</v>
      </c>
      <c r="S1057" s="27"/>
      <c r="T1057" s="29"/>
      <c r="V1057" s="29" t="s">
        <v>24</v>
      </c>
      <c r="W1057" s="27">
        <v>145</v>
      </c>
      <c r="X1057" s="30">
        <f>P1057*W1057</f>
        <v>4744.3999999999996</v>
      </c>
      <c r="Y1057" s="31">
        <v>230</v>
      </c>
      <c r="Z1057" s="31">
        <f>P1057*Y1057</f>
        <v>7525.5999999999995</v>
      </c>
      <c r="AA1057" s="29">
        <f>R1057+X1057+Z1057</f>
        <v>23231.199999999997</v>
      </c>
    </row>
    <row r="1058" spans="1:27" s="32" customFormat="1" x14ac:dyDescent="0.25">
      <c r="A1058" s="18">
        <v>1062</v>
      </c>
      <c r="B1058" s="19">
        <v>46053</v>
      </c>
      <c r="C1058" s="19">
        <v>46053</v>
      </c>
      <c r="D1058" s="115" t="s">
        <v>2005</v>
      </c>
      <c r="E1058" s="21"/>
      <c r="F1058" s="21"/>
      <c r="G1058" s="21"/>
      <c r="H1058" s="110">
        <v>136</v>
      </c>
      <c r="I1058" s="112" t="s">
        <v>865</v>
      </c>
      <c r="J1058" s="116" t="s">
        <v>23</v>
      </c>
      <c r="K1058" s="112" t="s">
        <v>31</v>
      </c>
      <c r="L1058" s="25" t="s">
        <v>1456</v>
      </c>
      <c r="M1058" s="21" t="s">
        <v>396</v>
      </c>
      <c r="N1058" s="37">
        <v>46.2</v>
      </c>
      <c r="O1058" s="37">
        <v>15.92</v>
      </c>
      <c r="P1058" s="26">
        <f>N1058-O1058</f>
        <v>30.28</v>
      </c>
      <c r="Q1058" s="27">
        <v>130</v>
      </c>
      <c r="R1058" s="28">
        <f>P1058*Q1058</f>
        <v>3936.4</v>
      </c>
      <c r="S1058" s="27"/>
      <c r="T1058" s="29"/>
      <c r="V1058" s="29" t="s">
        <v>45</v>
      </c>
      <c r="W1058" s="27"/>
      <c r="X1058" s="30">
        <f>P1058*W1058</f>
        <v>0</v>
      </c>
      <c r="Y1058" s="31"/>
      <c r="Z1058" s="31">
        <f>P1058*Y1058</f>
        <v>0</v>
      </c>
      <c r="AA1058" s="29">
        <f>R1058+X1058+Z1058</f>
        <v>3936.4</v>
      </c>
    </row>
    <row r="1059" spans="1:27" s="38" customFormat="1" x14ac:dyDescent="0.25">
      <c r="A1059" s="18">
        <v>1063</v>
      </c>
      <c r="B1059" s="19">
        <v>46053</v>
      </c>
      <c r="C1059" s="19">
        <v>46053</v>
      </c>
      <c r="D1059" s="25">
        <v>260131010</v>
      </c>
      <c r="E1059" s="21" t="s">
        <v>2006</v>
      </c>
      <c r="F1059" s="21" t="s">
        <v>2007</v>
      </c>
      <c r="G1059" s="21">
        <v>36</v>
      </c>
      <c r="H1059" s="117">
        <v>132</v>
      </c>
      <c r="I1059" s="112" t="s">
        <v>256</v>
      </c>
      <c r="J1059" s="111" t="s">
        <v>23</v>
      </c>
      <c r="K1059" s="112" t="s">
        <v>31</v>
      </c>
      <c r="L1059" s="25" t="s">
        <v>43</v>
      </c>
      <c r="M1059" s="21" t="s">
        <v>34</v>
      </c>
      <c r="N1059" s="37">
        <v>47.84</v>
      </c>
      <c r="O1059" s="37">
        <v>11.42</v>
      </c>
      <c r="P1059" s="26">
        <f t="shared" ref="P1059:P1072" si="162">N1059-O1059</f>
        <v>36.42</v>
      </c>
      <c r="Q1059" s="27">
        <v>570</v>
      </c>
      <c r="R1059" s="28">
        <f>P1059*Q1059</f>
        <v>20759.400000000001</v>
      </c>
      <c r="S1059" s="27"/>
      <c r="T1059" s="94"/>
      <c r="V1059" s="29" t="s">
        <v>253</v>
      </c>
      <c r="W1059" s="27">
        <v>150</v>
      </c>
      <c r="X1059" s="30">
        <f>P1059*W1059</f>
        <v>5463</v>
      </c>
      <c r="Y1059" s="31">
        <v>260</v>
      </c>
      <c r="Z1059" s="31">
        <f>P1059*Y1059</f>
        <v>9469.2000000000007</v>
      </c>
      <c r="AA1059" s="29">
        <f>R1059+X1059+Z1059</f>
        <v>35691.600000000006</v>
      </c>
    </row>
    <row r="1060" spans="1:27" s="38" customFormat="1" x14ac:dyDescent="0.25">
      <c r="A1060" s="18">
        <v>1064</v>
      </c>
      <c r="B1060" s="19">
        <v>46053</v>
      </c>
      <c r="C1060" s="19">
        <v>46053</v>
      </c>
      <c r="D1060" s="25">
        <v>260131011</v>
      </c>
      <c r="E1060" s="21" t="s">
        <v>2008</v>
      </c>
      <c r="F1060" s="21" t="s">
        <v>2009</v>
      </c>
      <c r="G1060" s="21">
        <v>49</v>
      </c>
      <c r="H1060" s="113">
        <v>115</v>
      </c>
      <c r="I1060" s="112" t="s">
        <v>33</v>
      </c>
      <c r="J1060" s="111" t="s">
        <v>23</v>
      </c>
      <c r="K1060" s="114" t="s">
        <v>31</v>
      </c>
      <c r="L1060" s="25" t="s">
        <v>1738</v>
      </c>
      <c r="M1060" s="21" t="s">
        <v>34</v>
      </c>
      <c r="N1060" s="37">
        <v>68.42</v>
      </c>
      <c r="O1060" s="37">
        <v>18.72</v>
      </c>
      <c r="P1060" s="26">
        <f t="shared" si="162"/>
        <v>49.7</v>
      </c>
      <c r="Q1060" s="27">
        <v>545</v>
      </c>
      <c r="R1060" s="28">
        <f t="shared" ref="R1060:R1072" si="163">P1060*Q1060</f>
        <v>27086.5</v>
      </c>
      <c r="S1060" s="27"/>
      <c r="T1060" s="29"/>
      <c r="V1060" s="29" t="s">
        <v>24</v>
      </c>
      <c r="W1060" s="27">
        <v>145</v>
      </c>
      <c r="X1060" s="30">
        <f>P1060*W1060</f>
        <v>7206.5</v>
      </c>
      <c r="Y1060" s="31">
        <v>260</v>
      </c>
      <c r="Z1060" s="31">
        <f>P1060*Y1060</f>
        <v>12922</v>
      </c>
      <c r="AA1060" s="29">
        <f>R1060+X1060+Z1060</f>
        <v>47215</v>
      </c>
    </row>
    <row r="1061" spans="1:27" s="38" customFormat="1" x14ac:dyDescent="0.25">
      <c r="A1061" s="18">
        <v>1065</v>
      </c>
      <c r="B1061" s="19">
        <v>46053</v>
      </c>
      <c r="C1061" s="19">
        <v>46054</v>
      </c>
      <c r="D1061" s="25">
        <v>260201001</v>
      </c>
      <c r="E1061" s="21"/>
      <c r="F1061" s="21" t="s">
        <v>2010</v>
      </c>
      <c r="G1061" s="21">
        <v>34</v>
      </c>
      <c r="H1061" s="118"/>
      <c r="I1061" s="109" t="s">
        <v>2011</v>
      </c>
      <c r="J1061" s="111" t="s">
        <v>23</v>
      </c>
      <c r="K1061" s="114" t="s">
        <v>31</v>
      </c>
      <c r="L1061" s="25" t="s">
        <v>43</v>
      </c>
      <c r="M1061" s="21" t="s">
        <v>34</v>
      </c>
      <c r="N1061" s="37">
        <v>45.4</v>
      </c>
      <c r="O1061" s="37">
        <v>11.4</v>
      </c>
      <c r="P1061" s="26">
        <f t="shared" si="162"/>
        <v>34</v>
      </c>
      <c r="Q1061" s="27">
        <v>550</v>
      </c>
      <c r="R1061" s="28">
        <f t="shared" si="163"/>
        <v>18700</v>
      </c>
      <c r="S1061" s="27"/>
      <c r="T1061" s="29"/>
      <c r="V1061" s="29" t="s">
        <v>24</v>
      </c>
      <c r="W1061" s="27"/>
      <c r="X1061" s="30">
        <f>P1061*W1061</f>
        <v>0</v>
      </c>
      <c r="Y1061" s="31">
        <v>260</v>
      </c>
      <c r="Z1061" s="31">
        <f>P1061*Y1061</f>
        <v>8840</v>
      </c>
      <c r="AA1061" s="29">
        <f>R1061+X1061+Z1061</f>
        <v>27540</v>
      </c>
    </row>
    <row r="1062" spans="1:27" s="32" customFormat="1" x14ac:dyDescent="0.25">
      <c r="A1062" s="18">
        <v>1066</v>
      </c>
      <c r="B1062" s="19">
        <v>46053</v>
      </c>
      <c r="C1062" s="19">
        <v>46054</v>
      </c>
      <c r="D1062" s="46">
        <v>260201002</v>
      </c>
      <c r="E1062" s="21" t="s">
        <v>2012</v>
      </c>
      <c r="F1062" s="21" t="s">
        <v>2013</v>
      </c>
      <c r="G1062" s="21">
        <v>38</v>
      </c>
      <c r="H1062" s="119">
        <v>42</v>
      </c>
      <c r="I1062" s="112" t="s">
        <v>44</v>
      </c>
      <c r="J1062" s="120" t="s">
        <v>23</v>
      </c>
      <c r="K1062" s="112" t="s">
        <v>31</v>
      </c>
      <c r="L1062" s="25" t="s">
        <v>124</v>
      </c>
      <c r="M1062" s="21" t="s">
        <v>32</v>
      </c>
      <c r="N1062" s="37">
        <v>51.42</v>
      </c>
      <c r="O1062" s="37">
        <v>12.84</v>
      </c>
      <c r="P1062" s="26">
        <f t="shared" si="162"/>
        <v>38.58</v>
      </c>
      <c r="Q1062" s="27">
        <v>285</v>
      </c>
      <c r="R1062" s="28">
        <f t="shared" si="163"/>
        <v>10995.3</v>
      </c>
      <c r="S1062" s="27"/>
      <c r="T1062" s="29"/>
      <c r="V1062" s="29" t="s">
        <v>24</v>
      </c>
      <c r="W1062" s="27">
        <v>145</v>
      </c>
      <c r="X1062" s="30">
        <f>P1062*W1062</f>
        <v>5594.0999999999995</v>
      </c>
      <c r="Y1062" s="31">
        <v>260</v>
      </c>
      <c r="Z1062" s="31">
        <f>P1062*Y1062</f>
        <v>10030.799999999999</v>
      </c>
      <c r="AA1062" s="29">
        <f>R1062+X1062+Z1062</f>
        <v>26620.199999999997</v>
      </c>
    </row>
    <row r="1063" spans="1:27" s="32" customFormat="1" x14ac:dyDescent="0.25">
      <c r="A1063" s="18">
        <v>1067</v>
      </c>
      <c r="B1063" s="19">
        <v>46053</v>
      </c>
      <c r="C1063" s="19">
        <v>46054</v>
      </c>
      <c r="D1063" s="25">
        <v>260201003</v>
      </c>
      <c r="E1063" s="21" t="s">
        <v>2014</v>
      </c>
      <c r="F1063" s="21" t="s">
        <v>2015</v>
      </c>
      <c r="G1063" s="21">
        <v>37</v>
      </c>
      <c r="H1063" s="119">
        <v>42</v>
      </c>
      <c r="I1063" s="112" t="s">
        <v>44</v>
      </c>
      <c r="J1063" s="120" t="s">
        <v>23</v>
      </c>
      <c r="K1063" s="112" t="s">
        <v>31</v>
      </c>
      <c r="L1063" s="25" t="s">
        <v>42</v>
      </c>
      <c r="M1063" s="21" t="s">
        <v>35</v>
      </c>
      <c r="N1063" s="37">
        <v>49.2</v>
      </c>
      <c r="O1063" s="37">
        <v>11.72</v>
      </c>
      <c r="P1063" s="26">
        <f t="shared" si="162"/>
        <v>37.480000000000004</v>
      </c>
      <c r="Q1063" s="27">
        <v>470</v>
      </c>
      <c r="R1063" s="28">
        <f t="shared" si="163"/>
        <v>17615.600000000002</v>
      </c>
      <c r="S1063" s="27"/>
      <c r="T1063" s="29"/>
      <c r="V1063" s="29" t="s">
        <v>24</v>
      </c>
      <c r="W1063" s="27">
        <v>145</v>
      </c>
      <c r="X1063" s="30">
        <f>P1063*W1063</f>
        <v>5434.6</v>
      </c>
      <c r="Y1063" s="31">
        <v>260</v>
      </c>
      <c r="Z1063" s="31">
        <f>P1063*Y1063</f>
        <v>9744.8000000000011</v>
      </c>
      <c r="AA1063" s="29">
        <f>R1063+X1063+Z1063</f>
        <v>32795.000000000007</v>
      </c>
    </row>
    <row r="1064" spans="1:27" s="32" customFormat="1" x14ac:dyDescent="0.25">
      <c r="A1064" s="18">
        <v>1068</v>
      </c>
      <c r="B1064" s="19">
        <v>46053</v>
      </c>
      <c r="C1064" s="19">
        <v>46054</v>
      </c>
      <c r="D1064" s="25">
        <v>260201004</v>
      </c>
      <c r="E1064" s="21" t="s">
        <v>2016</v>
      </c>
      <c r="F1064" s="21" t="s">
        <v>2017</v>
      </c>
      <c r="G1064" s="21">
        <v>47</v>
      </c>
      <c r="H1064" s="119">
        <v>42</v>
      </c>
      <c r="I1064" s="112" t="s">
        <v>33</v>
      </c>
      <c r="J1064" s="120" t="s">
        <v>23</v>
      </c>
      <c r="K1064" s="112" t="s">
        <v>31</v>
      </c>
      <c r="L1064" s="25" t="s">
        <v>140</v>
      </c>
      <c r="M1064" s="21" t="s">
        <v>32</v>
      </c>
      <c r="N1064" s="37">
        <v>65.44</v>
      </c>
      <c r="O1064" s="37">
        <v>17.48</v>
      </c>
      <c r="P1064" s="26">
        <f t="shared" si="162"/>
        <v>47.959999999999994</v>
      </c>
      <c r="Q1064" s="27">
        <v>315</v>
      </c>
      <c r="R1064" s="28">
        <f t="shared" si="163"/>
        <v>15107.399999999998</v>
      </c>
      <c r="S1064" s="27"/>
      <c r="T1064" s="29"/>
      <c r="V1064" s="29" t="s">
        <v>24</v>
      </c>
      <c r="W1064" s="27">
        <v>145</v>
      </c>
      <c r="X1064" s="30">
        <f>P1064*W1064</f>
        <v>6954.1999999999989</v>
      </c>
      <c r="Y1064" s="31">
        <v>260</v>
      </c>
      <c r="Z1064" s="31">
        <f>P1064*Y1064</f>
        <v>12469.599999999999</v>
      </c>
      <c r="AA1064" s="29">
        <f>R1064+X1064+Z1064</f>
        <v>34531.199999999997</v>
      </c>
    </row>
    <row r="1065" spans="1:27" s="38" customFormat="1" x14ac:dyDescent="0.25">
      <c r="A1065" s="18">
        <v>1069</v>
      </c>
      <c r="B1065" s="19">
        <v>46053</v>
      </c>
      <c r="C1065" s="19">
        <v>46054</v>
      </c>
      <c r="D1065" s="25">
        <v>260201005</v>
      </c>
      <c r="E1065" s="21" t="s">
        <v>2018</v>
      </c>
      <c r="F1065" s="21" t="s">
        <v>2019</v>
      </c>
      <c r="G1065" s="21">
        <v>58</v>
      </c>
      <c r="H1065" s="119">
        <v>53</v>
      </c>
      <c r="I1065" s="52" t="s">
        <v>57</v>
      </c>
      <c r="J1065" s="120" t="s">
        <v>23</v>
      </c>
      <c r="K1065" s="112" t="s">
        <v>31</v>
      </c>
      <c r="L1065" s="25" t="s">
        <v>206</v>
      </c>
      <c r="M1065" s="21" t="s">
        <v>63</v>
      </c>
      <c r="N1065" s="37">
        <v>75.400000000000006</v>
      </c>
      <c r="O1065" s="37">
        <v>17.260000000000002</v>
      </c>
      <c r="P1065" s="26">
        <f t="shared" si="162"/>
        <v>58.14</v>
      </c>
      <c r="Q1065" s="27">
        <v>425</v>
      </c>
      <c r="R1065" s="28">
        <f t="shared" si="163"/>
        <v>24709.5</v>
      </c>
      <c r="S1065" s="27"/>
      <c r="T1065" s="29"/>
      <c r="V1065" s="29" t="s">
        <v>24</v>
      </c>
      <c r="W1065" s="27">
        <v>145</v>
      </c>
      <c r="X1065" s="30">
        <f>P1065*W1065</f>
        <v>8430.2999999999993</v>
      </c>
      <c r="Y1065" s="31">
        <v>210</v>
      </c>
      <c r="Z1065" s="31">
        <f>P1065*Y1065</f>
        <v>12209.4</v>
      </c>
      <c r="AA1065" s="29">
        <f>R1065+X1065+Z1065</f>
        <v>45349.200000000004</v>
      </c>
    </row>
    <row r="1066" spans="1:27" s="38" customFormat="1" x14ac:dyDescent="0.25">
      <c r="A1066" s="18">
        <v>1070</v>
      </c>
      <c r="B1066" s="19">
        <v>46053</v>
      </c>
      <c r="C1066" s="19">
        <v>46054</v>
      </c>
      <c r="D1066" s="25">
        <v>260201006</v>
      </c>
      <c r="E1066" s="21" t="s">
        <v>2020</v>
      </c>
      <c r="F1066" s="21" t="s">
        <v>2021</v>
      </c>
      <c r="G1066" s="21">
        <v>38</v>
      </c>
      <c r="H1066" s="119">
        <v>42</v>
      </c>
      <c r="I1066" s="112" t="s">
        <v>44</v>
      </c>
      <c r="J1066" s="120" t="s">
        <v>23</v>
      </c>
      <c r="K1066" s="112" t="s">
        <v>31</v>
      </c>
      <c r="L1066" s="25" t="s">
        <v>51</v>
      </c>
      <c r="M1066" s="21" t="s">
        <v>35</v>
      </c>
      <c r="N1066" s="37">
        <v>50</v>
      </c>
      <c r="O1066" s="37">
        <v>11.46</v>
      </c>
      <c r="P1066" s="26">
        <f t="shared" si="162"/>
        <v>38.54</v>
      </c>
      <c r="Q1066" s="27">
        <v>470</v>
      </c>
      <c r="R1066" s="28">
        <f t="shared" si="163"/>
        <v>18113.8</v>
      </c>
      <c r="S1066" s="27"/>
      <c r="T1066" s="29"/>
      <c r="V1066" s="29" t="s">
        <v>24</v>
      </c>
      <c r="W1066" s="27">
        <v>145</v>
      </c>
      <c r="X1066" s="30">
        <f>P1066*W1066</f>
        <v>5588.3</v>
      </c>
      <c r="Y1066" s="31">
        <v>260</v>
      </c>
      <c r="Z1066" s="31">
        <f>P1066*Y1066</f>
        <v>10020.4</v>
      </c>
      <c r="AA1066" s="29">
        <f>R1066+X1066+Z1066</f>
        <v>33722.5</v>
      </c>
    </row>
    <row r="1067" spans="1:27" s="32" customFormat="1" x14ac:dyDescent="0.25">
      <c r="A1067" s="18">
        <v>1071</v>
      </c>
      <c r="B1067" s="19">
        <v>46053</v>
      </c>
      <c r="C1067" s="19">
        <v>46054</v>
      </c>
      <c r="D1067" s="25">
        <v>260201007</v>
      </c>
      <c r="E1067" s="21"/>
      <c r="F1067" s="21" t="s">
        <v>2022</v>
      </c>
      <c r="G1067" s="21">
        <v>44</v>
      </c>
      <c r="H1067" s="121"/>
      <c r="I1067" s="109" t="s">
        <v>2011</v>
      </c>
      <c r="J1067" s="111" t="s">
        <v>23</v>
      </c>
      <c r="K1067" s="114" t="s">
        <v>31</v>
      </c>
      <c r="L1067" s="25" t="s">
        <v>932</v>
      </c>
      <c r="M1067" s="21" t="s">
        <v>34</v>
      </c>
      <c r="N1067" s="37">
        <v>47.1</v>
      </c>
      <c r="O1067" s="37">
        <v>11.84</v>
      </c>
      <c r="P1067" s="26">
        <f t="shared" si="162"/>
        <v>35.260000000000005</v>
      </c>
      <c r="Q1067" s="27">
        <v>550</v>
      </c>
      <c r="R1067" s="28">
        <f t="shared" si="163"/>
        <v>19393.000000000004</v>
      </c>
      <c r="S1067" s="27"/>
      <c r="T1067" s="29"/>
      <c r="V1067" s="29" t="s">
        <v>24</v>
      </c>
      <c r="W1067" s="27"/>
      <c r="X1067" s="30">
        <f>P1067*W1067</f>
        <v>0</v>
      </c>
      <c r="Y1067" s="31">
        <v>260</v>
      </c>
      <c r="Z1067" s="31">
        <f>P1067*Y1067</f>
        <v>9167.6000000000022</v>
      </c>
      <c r="AA1067" s="29">
        <f>R1067+X1067+Z1067</f>
        <v>28560.600000000006</v>
      </c>
    </row>
    <row r="1068" spans="1:27" s="32" customFormat="1" x14ac:dyDescent="0.25">
      <c r="A1068" s="18">
        <v>1072</v>
      </c>
      <c r="B1068" s="19">
        <v>46053</v>
      </c>
      <c r="C1068" s="19">
        <v>46054</v>
      </c>
      <c r="D1068" s="25">
        <v>260201008</v>
      </c>
      <c r="E1068" s="21" t="s">
        <v>2023</v>
      </c>
      <c r="F1068" s="21" t="s">
        <v>2024</v>
      </c>
      <c r="G1068" s="21">
        <v>44</v>
      </c>
      <c r="H1068" s="119">
        <v>53</v>
      </c>
      <c r="I1068" s="52" t="s">
        <v>57</v>
      </c>
      <c r="J1068" s="120" t="s">
        <v>23</v>
      </c>
      <c r="K1068" s="112" t="s">
        <v>31</v>
      </c>
      <c r="L1068" s="21" t="s">
        <v>1421</v>
      </c>
      <c r="M1068" s="21" t="s">
        <v>63</v>
      </c>
      <c r="N1068" s="37">
        <v>63.14</v>
      </c>
      <c r="O1068" s="37">
        <v>18.600000000000001</v>
      </c>
      <c r="P1068" s="26">
        <f t="shared" si="162"/>
        <v>44.54</v>
      </c>
      <c r="Q1068" s="27">
        <v>425</v>
      </c>
      <c r="R1068" s="28">
        <f t="shared" si="163"/>
        <v>18929.5</v>
      </c>
      <c r="S1068" s="27"/>
      <c r="T1068" s="29"/>
      <c r="V1068" s="29" t="s">
        <v>24</v>
      </c>
      <c r="W1068" s="27">
        <v>145</v>
      </c>
      <c r="X1068" s="30">
        <f>P1068*W1068</f>
        <v>6458.3</v>
      </c>
      <c r="Y1068" s="31">
        <v>210</v>
      </c>
      <c r="Z1068" s="31">
        <f>P1068*Y1068</f>
        <v>9353.4</v>
      </c>
      <c r="AA1068" s="29">
        <f>R1068+X1068+Z1068</f>
        <v>34741.199999999997</v>
      </c>
    </row>
    <row r="1069" spans="1:27" s="32" customFormat="1" x14ac:dyDescent="0.25">
      <c r="A1069" s="18">
        <v>1073</v>
      </c>
      <c r="B1069" s="19">
        <v>46053</v>
      </c>
      <c r="C1069" s="19">
        <v>46054</v>
      </c>
      <c r="D1069" s="25">
        <v>260201009</v>
      </c>
      <c r="E1069" s="21" t="s">
        <v>2025</v>
      </c>
      <c r="F1069" s="21" t="s">
        <v>2026</v>
      </c>
      <c r="G1069" s="21">
        <v>38</v>
      </c>
      <c r="H1069" s="119">
        <v>42</v>
      </c>
      <c r="I1069" s="112" t="s">
        <v>44</v>
      </c>
      <c r="J1069" s="120" t="s">
        <v>23</v>
      </c>
      <c r="K1069" s="112" t="s">
        <v>31</v>
      </c>
      <c r="L1069" s="25" t="s">
        <v>40</v>
      </c>
      <c r="M1069" s="21" t="s">
        <v>35</v>
      </c>
      <c r="N1069" s="37">
        <v>49.94</v>
      </c>
      <c r="O1069" s="37">
        <v>11.42</v>
      </c>
      <c r="P1069" s="26">
        <f t="shared" si="162"/>
        <v>38.519999999999996</v>
      </c>
      <c r="Q1069" s="27">
        <v>470</v>
      </c>
      <c r="R1069" s="28">
        <f t="shared" si="163"/>
        <v>18104.399999999998</v>
      </c>
      <c r="S1069" s="27"/>
      <c r="T1069" s="29"/>
      <c r="V1069" s="29" t="s">
        <v>24</v>
      </c>
      <c r="W1069" s="27">
        <v>145</v>
      </c>
      <c r="X1069" s="30">
        <f>P1069*W1069</f>
        <v>5585.4</v>
      </c>
      <c r="Y1069" s="31">
        <v>260</v>
      </c>
      <c r="Z1069" s="31">
        <f>P1069*Y1069</f>
        <v>10015.199999999999</v>
      </c>
      <c r="AA1069" s="29">
        <f>R1069+X1069+Z1069</f>
        <v>33704.999999999993</v>
      </c>
    </row>
    <row r="1070" spans="1:27" s="32" customFormat="1" x14ac:dyDescent="0.25">
      <c r="A1070" s="18">
        <v>1074</v>
      </c>
      <c r="B1070" s="19">
        <v>46053</v>
      </c>
      <c r="C1070" s="19">
        <v>46054</v>
      </c>
      <c r="D1070" s="25">
        <v>260201010</v>
      </c>
      <c r="E1070" s="21" t="s">
        <v>2027</v>
      </c>
      <c r="F1070" s="21" t="s">
        <v>2028</v>
      </c>
      <c r="G1070" s="21">
        <v>48</v>
      </c>
      <c r="H1070" s="119">
        <v>53</v>
      </c>
      <c r="I1070" s="52" t="s">
        <v>57</v>
      </c>
      <c r="J1070" s="120" t="s">
        <v>23</v>
      </c>
      <c r="K1070" s="112" t="s">
        <v>31</v>
      </c>
      <c r="L1070" s="25" t="s">
        <v>55</v>
      </c>
      <c r="M1070" s="21" t="s">
        <v>63</v>
      </c>
      <c r="N1070" s="37">
        <v>66.900000000000006</v>
      </c>
      <c r="O1070" s="37">
        <v>18.14</v>
      </c>
      <c r="P1070" s="26">
        <f t="shared" si="162"/>
        <v>48.760000000000005</v>
      </c>
      <c r="Q1070" s="27">
        <v>425</v>
      </c>
      <c r="R1070" s="28">
        <f t="shared" si="163"/>
        <v>20723.000000000004</v>
      </c>
      <c r="S1070" s="27"/>
      <c r="T1070" s="29"/>
      <c r="V1070" s="29" t="s">
        <v>24</v>
      </c>
      <c r="W1070" s="27">
        <v>145</v>
      </c>
      <c r="X1070" s="30">
        <f>P1070*W1070</f>
        <v>7070.2000000000007</v>
      </c>
      <c r="Y1070" s="31">
        <v>210</v>
      </c>
      <c r="Z1070" s="31">
        <f>P1070*Y1070</f>
        <v>10239.6</v>
      </c>
      <c r="AA1070" s="29">
        <f>R1070+X1070+Z1070</f>
        <v>38032.800000000003</v>
      </c>
    </row>
    <row r="1071" spans="1:27" s="38" customFormat="1" x14ac:dyDescent="0.25">
      <c r="A1071" s="18">
        <v>1075</v>
      </c>
      <c r="B1071" s="19">
        <v>46053</v>
      </c>
      <c r="C1071" s="19">
        <v>46054</v>
      </c>
      <c r="D1071" s="25">
        <v>260201011</v>
      </c>
      <c r="E1071" s="21" t="s">
        <v>2029</v>
      </c>
      <c r="F1071" s="21" t="s">
        <v>2030</v>
      </c>
      <c r="G1071" s="21">
        <v>47</v>
      </c>
      <c r="H1071" s="119">
        <v>42</v>
      </c>
      <c r="I1071" s="112" t="s">
        <v>44</v>
      </c>
      <c r="J1071" s="120" t="s">
        <v>23</v>
      </c>
      <c r="K1071" s="112" t="s">
        <v>31</v>
      </c>
      <c r="L1071" s="20" t="s">
        <v>1381</v>
      </c>
      <c r="M1071" s="21" t="s">
        <v>32</v>
      </c>
      <c r="N1071" s="37">
        <v>66.44</v>
      </c>
      <c r="O1071" s="37">
        <v>18.66</v>
      </c>
      <c r="P1071" s="26">
        <f t="shared" si="162"/>
        <v>47.78</v>
      </c>
      <c r="Q1071" s="27">
        <v>285</v>
      </c>
      <c r="R1071" s="28">
        <f t="shared" si="163"/>
        <v>13617.300000000001</v>
      </c>
      <c r="S1071" s="21"/>
      <c r="T1071" s="29"/>
      <c r="V1071" s="29" t="s">
        <v>24</v>
      </c>
      <c r="W1071" s="27">
        <v>145</v>
      </c>
      <c r="X1071" s="30">
        <f>P1071*W1071</f>
        <v>6928.1</v>
      </c>
      <c r="Y1071" s="31">
        <v>260</v>
      </c>
      <c r="Z1071" s="31">
        <f>P1071*Y1071</f>
        <v>12422.800000000001</v>
      </c>
      <c r="AA1071" s="29">
        <f>R1071+X1071+Z1071</f>
        <v>32968.200000000004</v>
      </c>
    </row>
    <row r="1072" spans="1:27" s="32" customFormat="1" x14ac:dyDescent="0.25">
      <c r="A1072" s="18">
        <v>1076</v>
      </c>
      <c r="B1072" s="19">
        <v>46053</v>
      </c>
      <c r="C1072" s="19">
        <v>46054</v>
      </c>
      <c r="D1072" s="25">
        <v>260201012</v>
      </c>
      <c r="E1072" s="21" t="s">
        <v>2031</v>
      </c>
      <c r="F1072" s="21" t="s">
        <v>2032</v>
      </c>
      <c r="G1072" s="21">
        <v>46</v>
      </c>
      <c r="H1072" s="119">
        <v>53</v>
      </c>
      <c r="I1072" s="52" t="s">
        <v>57</v>
      </c>
      <c r="J1072" s="120" t="s">
        <v>23</v>
      </c>
      <c r="K1072" s="112" t="s">
        <v>31</v>
      </c>
      <c r="L1072" s="20" t="s">
        <v>1738</v>
      </c>
      <c r="M1072" s="21" t="s">
        <v>63</v>
      </c>
      <c r="N1072" s="37">
        <v>65.06</v>
      </c>
      <c r="O1072" s="37">
        <v>18.68</v>
      </c>
      <c r="P1072" s="26">
        <f t="shared" si="162"/>
        <v>46.38</v>
      </c>
      <c r="Q1072" s="27">
        <v>425</v>
      </c>
      <c r="R1072" s="28">
        <f t="shared" si="163"/>
        <v>19711.5</v>
      </c>
      <c r="S1072" s="27"/>
      <c r="T1072" s="29"/>
      <c r="V1072" s="29" t="s">
        <v>24</v>
      </c>
      <c r="W1072" s="27">
        <v>145</v>
      </c>
      <c r="X1072" s="30">
        <f>P1072*W1072</f>
        <v>6725.1</v>
      </c>
      <c r="Y1072" s="31">
        <v>210</v>
      </c>
      <c r="Z1072" s="31">
        <f>P1072*Y1072</f>
        <v>9739.8000000000011</v>
      </c>
      <c r="AA1072" s="29">
        <f>R1072+X1072+Z1072</f>
        <v>36176.400000000001</v>
      </c>
    </row>
  </sheetData>
  <mergeCells count="20">
    <mergeCell ref="M1:M2"/>
    <mergeCell ref="A1:A2"/>
    <mergeCell ref="B1:B2"/>
    <mergeCell ref="C1:C2"/>
    <mergeCell ref="D1:D2"/>
    <mergeCell ref="E1:E2"/>
    <mergeCell ref="F1:F2"/>
    <mergeCell ref="H1:H2"/>
    <mergeCell ref="I1:I2"/>
    <mergeCell ref="J1:J2"/>
    <mergeCell ref="K1:K2"/>
    <mergeCell ref="L1:L2"/>
    <mergeCell ref="V1:V2"/>
    <mergeCell ref="AB1:AB2"/>
    <mergeCell ref="N1:N2"/>
    <mergeCell ref="O1:O2"/>
    <mergeCell ref="Q1:Q2"/>
    <mergeCell ref="S1:S2"/>
    <mergeCell ref="T1:T2"/>
    <mergeCell ref="U1:U2"/>
  </mergeCells>
  <conditionalFormatting sqref="D20">
    <cfRule type="duplicateValues" dxfId="2111" priority="2106"/>
    <cfRule type="duplicateValues" dxfId="2110" priority="2107"/>
  </conditionalFormatting>
  <conditionalFormatting sqref="D63">
    <cfRule type="duplicateValues" dxfId="2109" priority="2020"/>
    <cfRule type="duplicateValues" dxfId="2108" priority="2021"/>
  </conditionalFormatting>
  <conditionalFormatting sqref="I4">
    <cfRule type="duplicateValues" dxfId="2107" priority="2122"/>
    <cfRule type="duplicateValues" dxfId="2106" priority="2123"/>
  </conditionalFormatting>
  <conditionalFormatting sqref="I15">
    <cfRule type="duplicateValues" dxfId="2105" priority="2120"/>
    <cfRule type="duplicateValues" dxfId="2104" priority="2121"/>
  </conditionalFormatting>
  <conditionalFormatting sqref="I16">
    <cfRule type="duplicateValues" dxfId="2103" priority="2118"/>
    <cfRule type="duplicateValues" dxfId="2102" priority="2119"/>
  </conditionalFormatting>
  <conditionalFormatting sqref="I17">
    <cfRule type="duplicateValues" dxfId="2101" priority="2116"/>
    <cfRule type="duplicateValues" dxfId="2100" priority="2117"/>
  </conditionalFormatting>
  <conditionalFormatting sqref="I18">
    <cfRule type="duplicateValues" dxfId="2099" priority="2112"/>
    <cfRule type="duplicateValues" dxfId="2098" priority="2113"/>
  </conditionalFormatting>
  <conditionalFormatting sqref="I19">
    <cfRule type="duplicateValues" dxfId="2097" priority="2110"/>
    <cfRule type="duplicateValues" dxfId="2096" priority="2111"/>
  </conditionalFormatting>
  <conditionalFormatting sqref="I20">
    <cfRule type="duplicateValues" dxfId="2095" priority="2108"/>
    <cfRule type="duplicateValues" dxfId="2094" priority="2109"/>
  </conditionalFormatting>
  <conditionalFormatting sqref="I21">
    <cfRule type="duplicateValues" dxfId="2093" priority="2104"/>
    <cfRule type="duplicateValues" dxfId="2092" priority="2105"/>
  </conditionalFormatting>
  <conditionalFormatting sqref="I22">
    <cfRule type="duplicateValues" dxfId="2091" priority="2102"/>
    <cfRule type="duplicateValues" dxfId="2090" priority="2103"/>
  </conditionalFormatting>
  <conditionalFormatting sqref="I23">
    <cfRule type="duplicateValues" dxfId="2089" priority="2100"/>
    <cfRule type="duplicateValues" dxfId="2088" priority="2101"/>
  </conditionalFormatting>
  <conditionalFormatting sqref="I24">
    <cfRule type="duplicateValues" dxfId="2087" priority="2099"/>
  </conditionalFormatting>
  <conditionalFormatting sqref="I25">
    <cfRule type="duplicateValues" dxfId="2086" priority="2098"/>
  </conditionalFormatting>
  <conditionalFormatting sqref="I26">
    <cfRule type="duplicateValues" dxfId="2085" priority="2097"/>
  </conditionalFormatting>
  <conditionalFormatting sqref="I27">
    <cfRule type="duplicateValues" dxfId="2084" priority="2096"/>
  </conditionalFormatting>
  <conditionalFormatting sqref="I28">
    <cfRule type="duplicateValues" dxfId="2083" priority="2095"/>
  </conditionalFormatting>
  <conditionalFormatting sqref="I29">
    <cfRule type="duplicateValues" dxfId="2082" priority="2094"/>
  </conditionalFormatting>
  <conditionalFormatting sqref="I30">
    <cfRule type="duplicateValues" dxfId="2081" priority="2093"/>
  </conditionalFormatting>
  <conditionalFormatting sqref="I31">
    <cfRule type="duplicateValues" dxfId="2080" priority="2092"/>
  </conditionalFormatting>
  <conditionalFormatting sqref="I32">
    <cfRule type="duplicateValues" dxfId="2079" priority="2091"/>
  </conditionalFormatting>
  <conditionalFormatting sqref="I33">
    <cfRule type="duplicateValues" dxfId="2078" priority="2090"/>
  </conditionalFormatting>
  <conditionalFormatting sqref="I42">
    <cfRule type="duplicateValues" dxfId="2077" priority="2088"/>
    <cfRule type="duplicateValues" dxfId="2076" priority="2089"/>
  </conditionalFormatting>
  <conditionalFormatting sqref="I43">
    <cfRule type="duplicateValues" dxfId="2075" priority="2086"/>
    <cfRule type="duplicateValues" dxfId="2074" priority="2087"/>
  </conditionalFormatting>
  <conditionalFormatting sqref="I44">
    <cfRule type="duplicateValues" dxfId="2073" priority="2084"/>
    <cfRule type="duplicateValues" dxfId="2072" priority="2085"/>
  </conditionalFormatting>
  <conditionalFormatting sqref="I52">
    <cfRule type="duplicateValues" dxfId="2071" priority="2019"/>
  </conditionalFormatting>
  <conditionalFormatting sqref="I82">
    <cfRule type="duplicateValues" dxfId="2070" priority="2006"/>
  </conditionalFormatting>
  <conditionalFormatting sqref="I83">
    <cfRule type="duplicateValues" dxfId="2069" priority="2005"/>
  </conditionalFormatting>
  <conditionalFormatting sqref="I84">
    <cfRule type="duplicateValues" dxfId="2068" priority="2004"/>
  </conditionalFormatting>
  <conditionalFormatting sqref="I85">
    <cfRule type="duplicateValues" dxfId="2067" priority="2003"/>
  </conditionalFormatting>
  <conditionalFormatting sqref="I87">
    <cfRule type="duplicateValues" dxfId="2066" priority="2002"/>
  </conditionalFormatting>
  <conditionalFormatting sqref="I88">
    <cfRule type="duplicateValues" dxfId="2065" priority="2001"/>
  </conditionalFormatting>
  <conditionalFormatting sqref="I89">
    <cfRule type="duplicateValues" dxfId="2064" priority="2000"/>
  </conditionalFormatting>
  <conditionalFormatting sqref="I90">
    <cfRule type="duplicateValues" dxfId="2063" priority="1999"/>
  </conditionalFormatting>
  <conditionalFormatting sqref="I91">
    <cfRule type="duplicateValues" dxfId="2062" priority="1998"/>
  </conditionalFormatting>
  <conditionalFormatting sqref="I92">
    <cfRule type="duplicateValues" dxfId="2061" priority="1997"/>
  </conditionalFormatting>
  <conditionalFormatting sqref="I93">
    <cfRule type="duplicateValues" dxfId="2060" priority="1996"/>
  </conditionalFormatting>
  <conditionalFormatting sqref="I94">
    <cfRule type="duplicateValues" dxfId="2059" priority="1995"/>
  </conditionalFormatting>
  <conditionalFormatting sqref="I98">
    <cfRule type="duplicateValues" dxfId="2058" priority="1993"/>
    <cfRule type="duplicateValues" dxfId="2057" priority="1994"/>
  </conditionalFormatting>
  <conditionalFormatting sqref="I99">
    <cfRule type="duplicateValues" dxfId="2056" priority="1991"/>
    <cfRule type="duplicateValues" dxfId="2055" priority="1992"/>
  </conditionalFormatting>
  <conditionalFormatting sqref="I106">
    <cfRule type="duplicateValues" dxfId="2054" priority="1919"/>
  </conditionalFormatting>
  <conditionalFormatting sqref="I107">
    <cfRule type="duplicateValues" dxfId="2053" priority="1926"/>
  </conditionalFormatting>
  <conditionalFormatting sqref="I108">
    <cfRule type="duplicateValues" dxfId="2052" priority="1925"/>
  </conditionalFormatting>
  <conditionalFormatting sqref="I110">
    <cfRule type="duplicateValues" dxfId="2051" priority="1924"/>
  </conditionalFormatting>
  <conditionalFormatting sqref="I111">
    <cfRule type="duplicateValues" dxfId="2050" priority="1923"/>
  </conditionalFormatting>
  <conditionalFormatting sqref="I112">
    <cfRule type="duplicateValues" dxfId="2049" priority="1922"/>
  </conditionalFormatting>
  <conditionalFormatting sqref="I114">
    <cfRule type="duplicateValues" dxfId="2048" priority="1918"/>
  </conditionalFormatting>
  <conditionalFormatting sqref="I117">
    <cfRule type="duplicateValues" dxfId="2047" priority="1917"/>
  </conditionalFormatting>
  <conditionalFormatting sqref="I118">
    <cfRule type="duplicateValues" dxfId="2046" priority="1916"/>
  </conditionalFormatting>
  <conditionalFormatting sqref="I130">
    <cfRule type="duplicateValues" dxfId="2045" priority="1911"/>
  </conditionalFormatting>
  <conditionalFormatting sqref="I149">
    <cfRule type="duplicateValues" dxfId="2044" priority="1850"/>
  </conditionalFormatting>
  <conditionalFormatting sqref="I153">
    <cfRule type="duplicateValues" dxfId="2043" priority="1855"/>
  </conditionalFormatting>
  <conditionalFormatting sqref="I161">
    <cfRule type="duplicateValues" dxfId="2042" priority="1843"/>
  </conditionalFormatting>
  <conditionalFormatting sqref="I177">
    <cfRule type="duplicateValues" dxfId="2041" priority="1836"/>
  </conditionalFormatting>
  <conditionalFormatting sqref="I179">
    <cfRule type="duplicateValues" dxfId="2040" priority="1835"/>
  </conditionalFormatting>
  <conditionalFormatting sqref="I180">
    <cfRule type="duplicateValues" dxfId="2039" priority="1834"/>
  </conditionalFormatting>
  <conditionalFormatting sqref="I181">
    <cfRule type="duplicateValues" dxfId="2038" priority="1833"/>
  </conditionalFormatting>
  <conditionalFormatting sqref="I182">
    <cfRule type="duplicateValues" dxfId="2037" priority="1832"/>
  </conditionalFormatting>
  <conditionalFormatting sqref="I187">
    <cfRule type="duplicateValues" dxfId="2036" priority="1763"/>
  </conditionalFormatting>
  <conditionalFormatting sqref="I190">
    <cfRule type="duplicateValues" dxfId="2035" priority="1761"/>
    <cfRule type="duplicateValues" dxfId="2034" priority="1762"/>
  </conditionalFormatting>
  <conditionalFormatting sqref="I206">
    <cfRule type="duplicateValues" dxfId="2033" priority="1760"/>
  </conditionalFormatting>
  <conditionalFormatting sqref="I218">
    <cfRule type="duplicateValues" dxfId="2032" priority="1758"/>
    <cfRule type="duplicateValues" dxfId="2031" priority="1759"/>
  </conditionalFormatting>
  <conditionalFormatting sqref="I273">
    <cfRule type="duplicateValues" dxfId="2030" priority="1618"/>
    <cfRule type="duplicateValues" dxfId="2029" priority="1619"/>
  </conditionalFormatting>
  <conditionalFormatting sqref="I274">
    <cfRule type="duplicateValues" dxfId="2028" priority="1616"/>
    <cfRule type="duplicateValues" dxfId="2027" priority="1617"/>
  </conditionalFormatting>
  <conditionalFormatting sqref="I279">
    <cfRule type="duplicateValues" dxfId="2026" priority="1615"/>
  </conditionalFormatting>
  <conditionalFormatting sqref="I287">
    <cfRule type="duplicateValues" dxfId="2025" priority="1613"/>
  </conditionalFormatting>
  <conditionalFormatting sqref="I288">
    <cfRule type="duplicateValues" dxfId="2024" priority="1612"/>
  </conditionalFormatting>
  <conditionalFormatting sqref="I289">
    <cfRule type="duplicateValues" dxfId="2023" priority="1611"/>
  </conditionalFormatting>
  <conditionalFormatting sqref="I319">
    <cfRule type="duplicateValues" dxfId="2022" priority="1634"/>
    <cfRule type="duplicateValues" dxfId="2021" priority="1635"/>
  </conditionalFormatting>
  <conditionalFormatting sqref="I325">
    <cfRule type="duplicateValues" dxfId="2020" priority="1538"/>
  </conditionalFormatting>
  <conditionalFormatting sqref="I326">
    <cfRule type="duplicateValues" dxfId="2019" priority="1537"/>
  </conditionalFormatting>
  <conditionalFormatting sqref="I363">
    <cfRule type="duplicateValues" dxfId="2018" priority="1525"/>
  </conditionalFormatting>
  <conditionalFormatting sqref="I365">
    <cfRule type="duplicateValues" dxfId="2017" priority="1522"/>
  </conditionalFormatting>
  <conditionalFormatting sqref="I423">
    <cfRule type="duplicateValues" dxfId="2016" priority="1368"/>
    <cfRule type="duplicateValues" dxfId="2015" priority="1369"/>
  </conditionalFormatting>
  <conditionalFormatting sqref="I424">
    <cfRule type="duplicateValues" dxfId="2014" priority="1366"/>
    <cfRule type="duplicateValues" dxfId="2013" priority="1367"/>
  </conditionalFormatting>
  <conditionalFormatting sqref="I431">
    <cfRule type="duplicateValues" dxfId="2012" priority="1363"/>
  </conditionalFormatting>
  <conditionalFormatting sqref="I432">
    <cfRule type="duplicateValues" dxfId="2011" priority="1362"/>
  </conditionalFormatting>
  <conditionalFormatting sqref="I433">
    <cfRule type="duplicateValues" dxfId="2010" priority="1361"/>
  </conditionalFormatting>
  <conditionalFormatting sqref="I434">
    <cfRule type="duplicateValues" dxfId="2009" priority="1360"/>
  </conditionalFormatting>
  <conditionalFormatting sqref="I435">
    <cfRule type="duplicateValues" dxfId="2008" priority="1359"/>
  </conditionalFormatting>
  <conditionalFormatting sqref="I449">
    <cfRule type="duplicateValues" dxfId="2007" priority="1354"/>
  </conditionalFormatting>
  <conditionalFormatting sqref="I487">
    <cfRule type="duplicateValues" dxfId="2006" priority="1281"/>
  </conditionalFormatting>
  <conditionalFormatting sqref="I516">
    <cfRule type="duplicateValues" dxfId="2005" priority="1251"/>
  </conditionalFormatting>
  <conditionalFormatting sqref="I517">
    <cfRule type="duplicateValues" dxfId="2004" priority="1250"/>
  </conditionalFormatting>
  <conditionalFormatting sqref="I518">
    <cfRule type="duplicateValues" dxfId="2003" priority="1249"/>
  </conditionalFormatting>
  <conditionalFormatting sqref="I519">
    <cfRule type="duplicateValues" dxfId="2002" priority="1248"/>
  </conditionalFormatting>
  <conditionalFormatting sqref="I531">
    <cfRule type="duplicateValues" dxfId="2001" priority="1169"/>
  </conditionalFormatting>
  <conditionalFormatting sqref="I640">
    <cfRule type="duplicateValues" dxfId="2000" priority="907"/>
  </conditionalFormatting>
  <conditionalFormatting sqref="I641">
    <cfRule type="duplicateValues" dxfId="1999" priority="906"/>
  </conditionalFormatting>
  <conditionalFormatting sqref="I642">
    <cfRule type="duplicateValues" dxfId="1998" priority="905"/>
  </conditionalFormatting>
  <conditionalFormatting sqref="I643">
    <cfRule type="duplicateValues" dxfId="1997" priority="904"/>
  </conditionalFormatting>
  <conditionalFormatting sqref="I644">
    <cfRule type="duplicateValues" dxfId="1996" priority="903"/>
  </conditionalFormatting>
  <conditionalFormatting sqref="I645">
    <cfRule type="duplicateValues" dxfId="1995" priority="902"/>
  </conditionalFormatting>
  <conditionalFormatting sqref="I737">
    <cfRule type="duplicateValues" dxfId="1994" priority="728"/>
    <cfRule type="duplicateValues" dxfId="1993" priority="729"/>
  </conditionalFormatting>
  <conditionalFormatting sqref="I738">
    <cfRule type="duplicateValues" dxfId="1992" priority="726"/>
    <cfRule type="duplicateValues" dxfId="1991" priority="727"/>
  </conditionalFormatting>
  <conditionalFormatting sqref="I739">
    <cfRule type="duplicateValues" dxfId="1990" priority="724"/>
    <cfRule type="duplicateValues" dxfId="1989" priority="725"/>
  </conditionalFormatting>
  <conditionalFormatting sqref="I752">
    <cfRule type="duplicateValues" dxfId="1988" priority="718"/>
    <cfRule type="duplicateValues" dxfId="1987" priority="719"/>
  </conditionalFormatting>
  <conditionalFormatting sqref="I760">
    <cfRule type="duplicateValues" dxfId="1986" priority="650"/>
    <cfRule type="duplicateValues" dxfId="1985" priority="651"/>
  </conditionalFormatting>
  <conditionalFormatting sqref="I761">
    <cfRule type="duplicateValues" dxfId="1984" priority="654"/>
    <cfRule type="duplicateValues" dxfId="1983" priority="655"/>
  </conditionalFormatting>
  <conditionalFormatting sqref="I768">
    <cfRule type="duplicateValues" dxfId="1982" priority="648"/>
    <cfRule type="duplicateValues" dxfId="1981" priority="649"/>
  </conditionalFormatting>
  <conditionalFormatting sqref="I769">
    <cfRule type="duplicateValues" dxfId="1980" priority="642"/>
    <cfRule type="duplicateValues" dxfId="1979" priority="643"/>
  </conditionalFormatting>
  <conditionalFormatting sqref="I770">
    <cfRule type="duplicateValues" dxfId="1978" priority="640"/>
    <cfRule type="duplicateValues" dxfId="1977" priority="641"/>
  </conditionalFormatting>
  <conditionalFormatting sqref="I773:I774">
    <cfRule type="duplicateValues" dxfId="1976" priority="634"/>
    <cfRule type="duplicateValues" dxfId="1975" priority="635"/>
  </conditionalFormatting>
  <conditionalFormatting sqref="I791">
    <cfRule type="duplicateValues" dxfId="1974" priority="631"/>
  </conditionalFormatting>
  <conditionalFormatting sqref="I797">
    <cfRule type="duplicateValues" dxfId="1973" priority="571"/>
    <cfRule type="duplicateValues" dxfId="1972" priority="572"/>
  </conditionalFormatting>
  <conditionalFormatting sqref="I798">
    <cfRule type="duplicateValues" dxfId="1971" priority="557"/>
    <cfRule type="duplicateValues" dxfId="1970" priority="558"/>
  </conditionalFormatting>
  <conditionalFormatting sqref="I799">
    <cfRule type="duplicateValues" dxfId="1969" priority="555"/>
    <cfRule type="duplicateValues" dxfId="1968" priority="556"/>
  </conditionalFormatting>
  <conditionalFormatting sqref="I805">
    <cfRule type="duplicateValues" dxfId="1967" priority="551"/>
    <cfRule type="duplicateValues" dxfId="1966" priority="552"/>
  </conditionalFormatting>
  <conditionalFormatting sqref="I807">
    <cfRule type="duplicateValues" dxfId="1965" priority="537"/>
    <cfRule type="duplicateValues" dxfId="1964" priority="538"/>
  </conditionalFormatting>
  <conditionalFormatting sqref="I808">
    <cfRule type="duplicateValues" dxfId="1963" priority="547"/>
    <cfRule type="duplicateValues" dxfId="1962" priority="548"/>
  </conditionalFormatting>
  <conditionalFormatting sqref="I810:I811">
    <cfRule type="duplicateValues" dxfId="1961" priority="561"/>
    <cfRule type="duplicateValues" dxfId="1960" priority="562"/>
  </conditionalFormatting>
  <conditionalFormatting sqref="I812">
    <cfRule type="duplicateValues" dxfId="1959" priority="545"/>
    <cfRule type="duplicateValues" dxfId="1958" priority="546"/>
  </conditionalFormatting>
  <conditionalFormatting sqref="I813">
    <cfRule type="duplicateValues" dxfId="1957" priority="541"/>
    <cfRule type="duplicateValues" dxfId="1956" priority="542"/>
  </conditionalFormatting>
  <conditionalFormatting sqref="I814">
    <cfRule type="duplicateValues" dxfId="1955" priority="539"/>
    <cfRule type="duplicateValues" dxfId="1954" priority="540"/>
  </conditionalFormatting>
  <conditionalFormatting sqref="I815">
    <cfRule type="duplicateValues" dxfId="1953" priority="535"/>
    <cfRule type="duplicateValues" dxfId="1952" priority="536"/>
  </conditionalFormatting>
  <conditionalFormatting sqref="I828">
    <cfRule type="duplicateValues" dxfId="1951" priority="531"/>
    <cfRule type="duplicateValues" dxfId="1950" priority="532"/>
  </conditionalFormatting>
  <conditionalFormatting sqref="I835">
    <cfRule type="duplicateValues" dxfId="1949" priority="527"/>
    <cfRule type="duplicateValues" dxfId="1948" priority="528"/>
  </conditionalFormatting>
  <conditionalFormatting sqref="I836">
    <cfRule type="duplicateValues" dxfId="1947" priority="525"/>
    <cfRule type="duplicateValues" dxfId="1946" priority="526"/>
  </conditionalFormatting>
  <conditionalFormatting sqref="I837">
    <cfRule type="duplicateValues" dxfId="1945" priority="523"/>
    <cfRule type="duplicateValues" dxfId="1944" priority="524"/>
  </conditionalFormatting>
  <conditionalFormatting sqref="I839">
    <cfRule type="duplicateValues" dxfId="1943" priority="520"/>
  </conditionalFormatting>
  <conditionalFormatting sqref="I841">
    <cfRule type="duplicateValues" dxfId="1942" priority="474"/>
    <cfRule type="duplicateValues" dxfId="1941" priority="475"/>
  </conditionalFormatting>
  <conditionalFormatting sqref="I844">
    <cfRule type="duplicateValues" dxfId="1940" priority="455"/>
  </conditionalFormatting>
  <conditionalFormatting sqref="I857">
    <cfRule type="duplicateValues" dxfId="1939" priority="451"/>
    <cfRule type="duplicateValues" dxfId="1938" priority="452"/>
  </conditionalFormatting>
  <conditionalFormatting sqref="I858">
    <cfRule type="duplicateValues" dxfId="1937" priority="449"/>
    <cfRule type="duplicateValues" dxfId="1936" priority="450"/>
  </conditionalFormatting>
  <conditionalFormatting sqref="I859">
    <cfRule type="duplicateValues" dxfId="1935" priority="447"/>
    <cfRule type="duplicateValues" dxfId="1934" priority="448"/>
  </conditionalFormatting>
  <conditionalFormatting sqref="I860">
    <cfRule type="duplicateValues" dxfId="1933" priority="445"/>
    <cfRule type="duplicateValues" dxfId="1932" priority="446"/>
  </conditionalFormatting>
  <conditionalFormatting sqref="I871">
    <cfRule type="duplicateValues" dxfId="1931" priority="444"/>
  </conditionalFormatting>
  <conditionalFormatting sqref="I887">
    <cfRule type="duplicateValues" dxfId="1930" priority="374"/>
  </conditionalFormatting>
  <conditionalFormatting sqref="I888">
    <cfRule type="duplicateValues" dxfId="1929" priority="373"/>
  </conditionalFormatting>
  <conditionalFormatting sqref="I890">
    <cfRule type="duplicateValues" dxfId="1928" priority="371"/>
  </conditionalFormatting>
  <conditionalFormatting sqref="I891">
    <cfRule type="duplicateValues" dxfId="1927" priority="370"/>
  </conditionalFormatting>
  <conditionalFormatting sqref="I892">
    <cfRule type="duplicateValues" dxfId="1926" priority="369"/>
  </conditionalFormatting>
  <conditionalFormatting sqref="I893">
    <cfRule type="duplicateValues" dxfId="1925" priority="380"/>
    <cfRule type="duplicateValues" dxfId="1924" priority="381"/>
  </conditionalFormatting>
  <conditionalFormatting sqref="I915">
    <cfRule type="duplicateValues" dxfId="1923" priority="341"/>
    <cfRule type="duplicateValues" dxfId="1922" priority="342"/>
  </conditionalFormatting>
  <conditionalFormatting sqref="I942">
    <cfRule type="duplicateValues" dxfId="1921" priority="240"/>
  </conditionalFormatting>
  <conditionalFormatting sqref="I943">
    <cfRule type="duplicateValues" dxfId="1920" priority="239"/>
  </conditionalFormatting>
  <conditionalFormatting sqref="I944">
    <cfRule type="duplicateValues" dxfId="1919" priority="238"/>
  </conditionalFormatting>
  <conditionalFormatting sqref="I945">
    <cfRule type="duplicateValues" dxfId="1918" priority="237"/>
  </conditionalFormatting>
  <conditionalFormatting sqref="I949">
    <cfRule type="duplicateValues" dxfId="1917" priority="235"/>
  </conditionalFormatting>
  <conditionalFormatting sqref="I950">
    <cfRule type="duplicateValues" dxfId="1916" priority="234"/>
  </conditionalFormatting>
  <conditionalFormatting sqref="I951">
    <cfRule type="duplicateValues" dxfId="1915" priority="233"/>
  </conditionalFormatting>
  <conditionalFormatting sqref="I953">
    <cfRule type="duplicateValues" dxfId="1914" priority="229"/>
  </conditionalFormatting>
  <conditionalFormatting sqref="I955">
    <cfRule type="duplicateValues" dxfId="1913" priority="228"/>
  </conditionalFormatting>
  <conditionalFormatting sqref="I956">
    <cfRule type="duplicateValues" dxfId="1912" priority="227"/>
  </conditionalFormatting>
  <conditionalFormatting sqref="I957">
    <cfRule type="duplicateValues" dxfId="1911" priority="226"/>
  </conditionalFormatting>
  <conditionalFormatting sqref="I959:I960">
    <cfRule type="duplicateValues" dxfId="1910" priority="224"/>
  </conditionalFormatting>
  <conditionalFormatting sqref="I968">
    <cfRule type="duplicateValues" dxfId="1909" priority="222"/>
  </conditionalFormatting>
  <conditionalFormatting sqref="I969">
    <cfRule type="duplicateValues" dxfId="1908" priority="220"/>
  </conditionalFormatting>
  <conditionalFormatting sqref="I984">
    <cfRule type="duplicateValues" dxfId="1907" priority="166"/>
  </conditionalFormatting>
  <conditionalFormatting sqref="I985">
    <cfRule type="duplicateValues" dxfId="1906" priority="160"/>
  </conditionalFormatting>
  <conditionalFormatting sqref="I1037">
    <cfRule type="duplicateValues" dxfId="1905" priority="82"/>
  </conditionalFormatting>
  <conditionalFormatting sqref="I1038">
    <cfRule type="duplicateValues" dxfId="1904" priority="81"/>
  </conditionalFormatting>
  <conditionalFormatting sqref="I1039">
    <cfRule type="duplicateValues" dxfId="1903" priority="80"/>
  </conditionalFormatting>
  <conditionalFormatting sqref="I1044">
    <cfRule type="duplicateValues" dxfId="1902" priority="64"/>
    <cfRule type="duplicateValues" dxfId="1901" priority="65"/>
  </conditionalFormatting>
  <conditionalFormatting sqref="J130">
    <cfRule type="duplicateValues" dxfId="1900" priority="1910"/>
  </conditionalFormatting>
  <conditionalFormatting sqref="J279">
    <cfRule type="duplicateValues" dxfId="1899" priority="1614"/>
  </conditionalFormatting>
  <conditionalFormatting sqref="J354">
    <cfRule type="duplicateValues" dxfId="1898" priority="1526"/>
  </conditionalFormatting>
  <conditionalFormatting sqref="J449">
    <cfRule type="duplicateValues" dxfId="1897" priority="1353"/>
  </conditionalFormatting>
  <conditionalFormatting sqref="J457">
    <cfRule type="duplicateValues" dxfId="1896" priority="1352"/>
  </conditionalFormatting>
  <conditionalFormatting sqref="J476">
    <cfRule type="duplicateValues" dxfId="1895" priority="1274"/>
  </conditionalFormatting>
  <conditionalFormatting sqref="J484">
    <cfRule type="duplicateValues" dxfId="1894" priority="1273"/>
  </conditionalFormatting>
  <conditionalFormatting sqref="J488">
    <cfRule type="duplicateValues" dxfId="1893" priority="1270"/>
  </conditionalFormatting>
  <conditionalFormatting sqref="J490">
    <cfRule type="duplicateValues" dxfId="1892" priority="1269"/>
  </conditionalFormatting>
  <conditionalFormatting sqref="J491">
    <cfRule type="duplicateValues" dxfId="1891" priority="1266"/>
  </conditionalFormatting>
  <conditionalFormatting sqref="J493">
    <cfRule type="duplicateValues" dxfId="1890" priority="1265"/>
  </conditionalFormatting>
  <conditionalFormatting sqref="J494">
    <cfRule type="duplicateValues" dxfId="1889" priority="1262"/>
  </conditionalFormatting>
  <conditionalFormatting sqref="J495">
    <cfRule type="duplicateValues" dxfId="1888" priority="1261"/>
  </conditionalFormatting>
  <conditionalFormatting sqref="J504">
    <cfRule type="duplicateValues" dxfId="1887" priority="1260"/>
  </conditionalFormatting>
  <conditionalFormatting sqref="J521">
    <cfRule type="duplicateValues" dxfId="1886" priority="1247"/>
  </conditionalFormatting>
  <conditionalFormatting sqref="J525">
    <cfRule type="duplicateValues" dxfId="1885" priority="1246"/>
  </conditionalFormatting>
  <conditionalFormatting sqref="J588">
    <cfRule type="duplicateValues" dxfId="1884" priority="1015"/>
  </conditionalFormatting>
  <conditionalFormatting sqref="J617">
    <cfRule type="duplicateValues" dxfId="1883" priority="1002"/>
  </conditionalFormatting>
  <conditionalFormatting sqref="J618">
    <cfRule type="duplicateValues" dxfId="1882" priority="999"/>
  </conditionalFormatting>
  <conditionalFormatting sqref="J619">
    <cfRule type="duplicateValues" dxfId="1881" priority="996"/>
  </conditionalFormatting>
  <conditionalFormatting sqref="J638">
    <cfRule type="duplicateValues" dxfId="1880" priority="909"/>
  </conditionalFormatting>
  <conditionalFormatting sqref="J639">
    <cfRule type="duplicateValues" dxfId="1879" priority="908"/>
  </conditionalFormatting>
  <conditionalFormatting sqref="J740">
    <cfRule type="duplicateValues" dxfId="1878" priority="723"/>
  </conditionalFormatting>
  <conditionalFormatting sqref="J741">
    <cfRule type="duplicateValues" dxfId="1877" priority="722"/>
  </conditionalFormatting>
  <conditionalFormatting sqref="J742">
    <cfRule type="duplicateValues" dxfId="1876" priority="721"/>
  </conditionalFormatting>
  <conditionalFormatting sqref="J743">
    <cfRule type="duplicateValues" dxfId="1875" priority="720"/>
  </conditionalFormatting>
  <conditionalFormatting sqref="J845">
    <cfRule type="duplicateValues" dxfId="1874" priority="454"/>
  </conditionalFormatting>
  <conditionalFormatting sqref="J849">
    <cfRule type="duplicateValues" dxfId="1873" priority="453"/>
  </conditionalFormatting>
  <conditionalFormatting sqref="J884">
    <cfRule type="duplicateValues" dxfId="1872" priority="375"/>
  </conditionalFormatting>
  <conditionalFormatting sqref="J889">
    <cfRule type="duplicateValues" dxfId="1871" priority="372"/>
  </conditionalFormatting>
  <conditionalFormatting sqref="J894">
    <cfRule type="duplicateValues" dxfId="1870" priority="368"/>
  </conditionalFormatting>
  <conditionalFormatting sqref="J913">
    <cfRule type="duplicateValues" dxfId="1869" priority="345"/>
  </conditionalFormatting>
  <conditionalFormatting sqref="J914">
    <cfRule type="duplicateValues" dxfId="1868" priority="344"/>
  </conditionalFormatting>
  <conditionalFormatting sqref="J915">
    <cfRule type="duplicateValues" dxfId="1867" priority="343"/>
  </conditionalFormatting>
  <conditionalFormatting sqref="J945">
    <cfRule type="duplicateValues" dxfId="1866" priority="236"/>
  </conditionalFormatting>
  <conditionalFormatting sqref="J951">
    <cfRule type="duplicateValues" dxfId="1865" priority="232"/>
  </conditionalFormatting>
  <conditionalFormatting sqref="J957">
    <cfRule type="duplicateValues" dxfId="1864" priority="225"/>
  </conditionalFormatting>
  <conditionalFormatting sqref="J959">
    <cfRule type="duplicateValues" dxfId="1863" priority="223"/>
  </conditionalFormatting>
  <conditionalFormatting sqref="J968">
    <cfRule type="duplicateValues" dxfId="1862" priority="221"/>
  </conditionalFormatting>
  <conditionalFormatting sqref="J969">
    <cfRule type="duplicateValues" dxfId="1861" priority="219"/>
  </conditionalFormatting>
  <conditionalFormatting sqref="J980">
    <cfRule type="duplicateValues" dxfId="1860" priority="163"/>
  </conditionalFormatting>
  <conditionalFormatting sqref="J986">
    <cfRule type="duplicateValues" dxfId="1859" priority="159"/>
  </conditionalFormatting>
  <conditionalFormatting sqref="J987">
    <cfRule type="duplicateValues" dxfId="1858" priority="158"/>
  </conditionalFormatting>
  <conditionalFormatting sqref="J988">
    <cfRule type="duplicateValues" dxfId="1857" priority="157"/>
  </conditionalFormatting>
  <conditionalFormatting sqref="J989">
    <cfRule type="duplicateValues" dxfId="1856" priority="156"/>
  </conditionalFormatting>
  <conditionalFormatting sqref="J994">
    <cfRule type="duplicateValues" dxfId="1855" priority="153"/>
  </conditionalFormatting>
  <conditionalFormatting sqref="J995">
    <cfRule type="duplicateValues" dxfId="1854" priority="152"/>
  </conditionalFormatting>
  <conditionalFormatting sqref="J996">
    <cfRule type="duplicateValues" dxfId="1853" priority="151"/>
  </conditionalFormatting>
  <conditionalFormatting sqref="J997">
    <cfRule type="duplicateValues" dxfId="1852" priority="150"/>
  </conditionalFormatting>
  <conditionalFormatting sqref="J1000">
    <cfRule type="duplicateValues" dxfId="1851" priority="149"/>
  </conditionalFormatting>
  <conditionalFormatting sqref="J1001">
    <cfRule type="duplicateValues" dxfId="1850" priority="148"/>
  </conditionalFormatting>
  <conditionalFormatting sqref="J1002">
    <cfRule type="duplicateValues" dxfId="1849" priority="147"/>
  </conditionalFormatting>
  <conditionalFormatting sqref="J1003">
    <cfRule type="duplicateValues" dxfId="1848" priority="146"/>
  </conditionalFormatting>
  <conditionalFormatting sqref="J1004">
    <cfRule type="duplicateValues" dxfId="1847" priority="145"/>
  </conditionalFormatting>
  <conditionalFormatting sqref="J1015">
    <cfRule type="duplicateValues" dxfId="1846" priority="86"/>
  </conditionalFormatting>
  <conditionalFormatting sqref="J1027">
    <cfRule type="duplicateValues" dxfId="1845" priority="85"/>
  </conditionalFormatting>
  <conditionalFormatting sqref="J1046">
    <cfRule type="duplicateValues" dxfId="1844" priority="63"/>
  </conditionalFormatting>
  <conditionalFormatting sqref="L4">
    <cfRule type="duplicateValues" dxfId="1843" priority="2170"/>
    <cfRule type="duplicateValues" dxfId="1842" priority="2171"/>
  </conditionalFormatting>
  <conditionalFormatting sqref="L5">
    <cfRule type="duplicateValues" dxfId="1841" priority="2126"/>
    <cfRule type="duplicateValues" dxfId="1840" priority="2127"/>
  </conditionalFormatting>
  <conditionalFormatting sqref="L6">
    <cfRule type="duplicateValues" dxfId="1839" priority="2154"/>
    <cfRule type="duplicateValues" dxfId="1838" priority="2155"/>
  </conditionalFormatting>
  <conditionalFormatting sqref="L7">
    <cfRule type="duplicateValues" dxfId="1837" priority="2160"/>
    <cfRule type="duplicateValues" dxfId="1836" priority="2161"/>
  </conditionalFormatting>
  <conditionalFormatting sqref="L8">
    <cfRule type="duplicateValues" dxfId="1835" priority="2164"/>
    <cfRule type="duplicateValues" dxfId="1834" priority="2165"/>
  </conditionalFormatting>
  <conditionalFormatting sqref="L9">
    <cfRule type="duplicateValues" dxfId="1833" priority="2162"/>
    <cfRule type="duplicateValues" dxfId="1832" priority="2163"/>
  </conditionalFormatting>
  <conditionalFormatting sqref="L10">
    <cfRule type="duplicateValues" dxfId="1831" priority="2168"/>
    <cfRule type="duplicateValues" dxfId="1830" priority="2169"/>
  </conditionalFormatting>
  <conditionalFormatting sqref="L11">
    <cfRule type="duplicateValues" dxfId="1829" priority="2166"/>
    <cfRule type="duplicateValues" dxfId="1828" priority="2167"/>
  </conditionalFormatting>
  <conditionalFormatting sqref="L12">
    <cfRule type="duplicateValues" dxfId="1827" priority="2140"/>
    <cfRule type="duplicateValues" dxfId="1826" priority="2141"/>
  </conditionalFormatting>
  <conditionalFormatting sqref="L13">
    <cfRule type="duplicateValues" dxfId="1825" priority="2138"/>
    <cfRule type="duplicateValues" dxfId="1824" priority="2139"/>
  </conditionalFormatting>
  <conditionalFormatting sqref="L14">
    <cfRule type="duplicateValues" dxfId="1823" priority="2124"/>
    <cfRule type="duplicateValues" dxfId="1822" priority="2125"/>
  </conditionalFormatting>
  <conditionalFormatting sqref="L15">
    <cfRule type="duplicateValues" dxfId="1821" priority="2152"/>
    <cfRule type="duplicateValues" dxfId="1820" priority="2153"/>
  </conditionalFormatting>
  <conditionalFormatting sqref="L16">
    <cfRule type="duplicateValues" dxfId="1819" priority="2132"/>
    <cfRule type="duplicateValues" dxfId="1818" priority="2133"/>
  </conditionalFormatting>
  <conditionalFormatting sqref="L17">
    <cfRule type="duplicateValues" dxfId="1817" priority="2172"/>
    <cfRule type="duplicateValues" dxfId="1816" priority="2173"/>
  </conditionalFormatting>
  <conditionalFormatting sqref="L18">
    <cfRule type="duplicateValues" dxfId="1815" priority="2114"/>
    <cfRule type="duplicateValues" dxfId="1814" priority="2115"/>
  </conditionalFormatting>
  <conditionalFormatting sqref="L19">
    <cfRule type="duplicateValues" dxfId="1813" priority="2150"/>
    <cfRule type="duplicateValues" dxfId="1812" priority="2151"/>
  </conditionalFormatting>
  <conditionalFormatting sqref="L20">
    <cfRule type="duplicateValues" dxfId="1811" priority="2136"/>
    <cfRule type="duplicateValues" dxfId="1810" priority="2137"/>
  </conditionalFormatting>
  <conditionalFormatting sqref="L21">
    <cfRule type="duplicateValues" dxfId="1809" priority="2158"/>
    <cfRule type="duplicateValues" dxfId="1808" priority="2159"/>
  </conditionalFormatting>
  <conditionalFormatting sqref="L22">
    <cfRule type="duplicateValues" dxfId="1807" priority="2176"/>
    <cfRule type="duplicateValues" dxfId="1806" priority="2177"/>
  </conditionalFormatting>
  <conditionalFormatting sqref="L23:L24">
    <cfRule type="duplicateValues" dxfId="1805" priority="2174"/>
    <cfRule type="duplicateValues" dxfId="1804" priority="2175"/>
  </conditionalFormatting>
  <conditionalFormatting sqref="L25">
    <cfRule type="duplicateValues" dxfId="1803" priority="2148"/>
    <cfRule type="duplicateValues" dxfId="1802" priority="2149"/>
  </conditionalFormatting>
  <conditionalFormatting sqref="L26">
    <cfRule type="duplicateValues" dxfId="1801" priority="2146"/>
    <cfRule type="duplicateValues" dxfId="1800" priority="2147"/>
  </conditionalFormatting>
  <conditionalFormatting sqref="L27">
    <cfRule type="duplicateValues" dxfId="1799" priority="2188"/>
    <cfRule type="duplicateValues" dxfId="1798" priority="2189"/>
  </conditionalFormatting>
  <conditionalFormatting sqref="L28">
    <cfRule type="duplicateValues" dxfId="1797" priority="2144"/>
    <cfRule type="duplicateValues" dxfId="1796" priority="2145"/>
  </conditionalFormatting>
  <conditionalFormatting sqref="L29">
    <cfRule type="duplicateValues" dxfId="1795" priority="2186"/>
    <cfRule type="duplicateValues" dxfId="1794" priority="2187"/>
  </conditionalFormatting>
  <conditionalFormatting sqref="L30">
    <cfRule type="duplicateValues" dxfId="1793" priority="2180"/>
    <cfRule type="duplicateValues" dxfId="1792" priority="2181"/>
  </conditionalFormatting>
  <conditionalFormatting sqref="L31">
    <cfRule type="duplicateValues" dxfId="1791" priority="2178"/>
    <cfRule type="duplicateValues" dxfId="1790" priority="2179"/>
  </conditionalFormatting>
  <conditionalFormatting sqref="L32">
    <cfRule type="duplicateValues" dxfId="1789" priority="2142"/>
    <cfRule type="duplicateValues" dxfId="1788" priority="2143"/>
  </conditionalFormatting>
  <conditionalFormatting sqref="L33">
    <cfRule type="duplicateValues" dxfId="1787" priority="2184"/>
    <cfRule type="duplicateValues" dxfId="1786" priority="2185"/>
  </conditionalFormatting>
  <conditionalFormatting sqref="L34">
    <cfRule type="duplicateValues" dxfId="1785" priority="2130"/>
    <cfRule type="duplicateValues" dxfId="1784" priority="2131"/>
  </conditionalFormatting>
  <conditionalFormatting sqref="L35">
    <cfRule type="duplicateValues" dxfId="1783" priority="2190"/>
    <cfRule type="duplicateValues" dxfId="1782" priority="2191"/>
  </conditionalFormatting>
  <conditionalFormatting sqref="L36">
    <cfRule type="duplicateValues" dxfId="1781" priority="2182"/>
    <cfRule type="duplicateValues" dxfId="1780" priority="2183"/>
  </conditionalFormatting>
  <conditionalFormatting sqref="L37">
    <cfRule type="duplicateValues" dxfId="1779" priority="2128"/>
    <cfRule type="duplicateValues" dxfId="1778" priority="2129"/>
  </conditionalFormatting>
  <conditionalFormatting sqref="L38:L40 L46 L42:L44">
    <cfRule type="duplicateValues" dxfId="1777" priority="2192"/>
    <cfRule type="duplicateValues" dxfId="1776" priority="2193"/>
  </conditionalFormatting>
  <conditionalFormatting sqref="L41">
    <cfRule type="duplicateValues" dxfId="1775" priority="2134"/>
    <cfRule type="duplicateValues" dxfId="1774" priority="2135"/>
  </conditionalFormatting>
  <conditionalFormatting sqref="L45">
    <cfRule type="duplicateValues" dxfId="1773" priority="2156"/>
    <cfRule type="duplicateValues" dxfId="1772" priority="2157"/>
  </conditionalFormatting>
  <conditionalFormatting sqref="L47">
    <cfRule type="duplicateValues" dxfId="1771" priority="2062"/>
    <cfRule type="duplicateValues" dxfId="1770" priority="2063"/>
  </conditionalFormatting>
  <conditionalFormatting sqref="L48">
    <cfRule type="duplicateValues" dxfId="1769" priority="2026"/>
    <cfRule type="duplicateValues" dxfId="1768" priority="2027"/>
  </conditionalFormatting>
  <conditionalFormatting sqref="L49">
    <cfRule type="duplicateValues" dxfId="1767" priority="2048"/>
    <cfRule type="duplicateValues" dxfId="1766" priority="2049"/>
  </conditionalFormatting>
  <conditionalFormatting sqref="L50">
    <cfRule type="duplicateValues" dxfId="1765" priority="2052"/>
    <cfRule type="duplicateValues" dxfId="1764" priority="2053"/>
  </conditionalFormatting>
  <conditionalFormatting sqref="L51">
    <cfRule type="duplicateValues" dxfId="1763" priority="2056"/>
    <cfRule type="duplicateValues" dxfId="1762" priority="2057"/>
  </conditionalFormatting>
  <conditionalFormatting sqref="L52">
    <cfRule type="duplicateValues" dxfId="1761" priority="2054"/>
    <cfRule type="duplicateValues" dxfId="1760" priority="2055"/>
  </conditionalFormatting>
  <conditionalFormatting sqref="L53">
    <cfRule type="duplicateValues" dxfId="1759" priority="2060"/>
    <cfRule type="duplicateValues" dxfId="1758" priority="2061"/>
  </conditionalFormatting>
  <conditionalFormatting sqref="L54">
    <cfRule type="duplicateValues" dxfId="1757" priority="2058"/>
    <cfRule type="duplicateValues" dxfId="1756" priority="2059"/>
  </conditionalFormatting>
  <conditionalFormatting sqref="L55">
    <cfRule type="duplicateValues" dxfId="1755" priority="2017"/>
    <cfRule type="duplicateValues" dxfId="1754" priority="2018"/>
  </conditionalFormatting>
  <conditionalFormatting sqref="L56">
    <cfRule type="duplicateValues" dxfId="1753" priority="2015"/>
    <cfRule type="duplicateValues" dxfId="1752" priority="2016"/>
  </conditionalFormatting>
  <conditionalFormatting sqref="L57">
    <cfRule type="duplicateValues" dxfId="1751" priority="2024"/>
    <cfRule type="duplicateValues" dxfId="1750" priority="2025"/>
  </conditionalFormatting>
  <conditionalFormatting sqref="L58">
    <cfRule type="duplicateValues" dxfId="1749" priority="2046"/>
    <cfRule type="duplicateValues" dxfId="1748" priority="2047"/>
  </conditionalFormatting>
  <conditionalFormatting sqref="L59">
    <cfRule type="duplicateValues" dxfId="1747" priority="2034"/>
    <cfRule type="duplicateValues" dxfId="1746" priority="2035"/>
  </conditionalFormatting>
  <conditionalFormatting sqref="L60">
    <cfRule type="duplicateValues" dxfId="1745" priority="2064"/>
    <cfRule type="duplicateValues" dxfId="1744" priority="2065"/>
  </conditionalFormatting>
  <conditionalFormatting sqref="L61">
    <cfRule type="duplicateValues" dxfId="1743" priority="2022"/>
    <cfRule type="duplicateValues" dxfId="1742" priority="2023"/>
  </conditionalFormatting>
  <conditionalFormatting sqref="L62">
    <cfRule type="duplicateValues" dxfId="1741" priority="2007"/>
    <cfRule type="duplicateValues" dxfId="1740" priority="2008"/>
  </conditionalFormatting>
  <conditionalFormatting sqref="L63">
    <cfRule type="duplicateValues" dxfId="1739" priority="2011"/>
    <cfRule type="duplicateValues" dxfId="1738" priority="2012"/>
  </conditionalFormatting>
  <conditionalFormatting sqref="L64">
    <cfRule type="duplicateValues" dxfId="1737" priority="2009"/>
    <cfRule type="duplicateValues" dxfId="1736" priority="2010"/>
  </conditionalFormatting>
  <conditionalFormatting sqref="L65">
    <cfRule type="duplicateValues" dxfId="1735" priority="2013"/>
    <cfRule type="duplicateValues" dxfId="1734" priority="2014"/>
  </conditionalFormatting>
  <conditionalFormatting sqref="L66:L67">
    <cfRule type="duplicateValues" dxfId="1733" priority="2066"/>
    <cfRule type="duplicateValues" dxfId="1732" priority="2067"/>
  </conditionalFormatting>
  <conditionalFormatting sqref="L68">
    <cfRule type="duplicateValues" dxfId="1731" priority="2044"/>
    <cfRule type="duplicateValues" dxfId="1730" priority="2045"/>
  </conditionalFormatting>
  <conditionalFormatting sqref="L69">
    <cfRule type="duplicateValues" dxfId="1729" priority="2042"/>
    <cfRule type="duplicateValues" dxfId="1728" priority="2043"/>
  </conditionalFormatting>
  <conditionalFormatting sqref="L70">
    <cfRule type="duplicateValues" dxfId="1727" priority="2078"/>
    <cfRule type="duplicateValues" dxfId="1726" priority="2079"/>
  </conditionalFormatting>
  <conditionalFormatting sqref="L71">
    <cfRule type="duplicateValues" dxfId="1725" priority="2040"/>
    <cfRule type="duplicateValues" dxfId="1724" priority="2041"/>
  </conditionalFormatting>
  <conditionalFormatting sqref="L72">
    <cfRule type="duplicateValues" dxfId="1723" priority="2076"/>
    <cfRule type="duplicateValues" dxfId="1722" priority="2077"/>
  </conditionalFormatting>
  <conditionalFormatting sqref="L73">
    <cfRule type="duplicateValues" dxfId="1721" priority="2070"/>
    <cfRule type="duplicateValues" dxfId="1720" priority="2071"/>
  </conditionalFormatting>
  <conditionalFormatting sqref="L74">
    <cfRule type="duplicateValues" dxfId="1719" priority="2068"/>
    <cfRule type="duplicateValues" dxfId="1718" priority="2069"/>
  </conditionalFormatting>
  <conditionalFormatting sqref="L75">
    <cfRule type="duplicateValues" dxfId="1717" priority="2038"/>
    <cfRule type="duplicateValues" dxfId="1716" priority="2039"/>
  </conditionalFormatting>
  <conditionalFormatting sqref="L76">
    <cfRule type="duplicateValues" dxfId="1715" priority="2074"/>
    <cfRule type="duplicateValues" dxfId="1714" priority="2075"/>
  </conditionalFormatting>
  <conditionalFormatting sqref="L77">
    <cfRule type="duplicateValues" dxfId="1713" priority="2032"/>
    <cfRule type="duplicateValues" dxfId="1712" priority="2033"/>
  </conditionalFormatting>
  <conditionalFormatting sqref="L78">
    <cfRule type="duplicateValues" dxfId="1711" priority="2080"/>
    <cfRule type="duplicateValues" dxfId="1710" priority="2081"/>
  </conditionalFormatting>
  <conditionalFormatting sqref="L79">
    <cfRule type="duplicateValues" dxfId="1709" priority="2072"/>
    <cfRule type="duplicateValues" dxfId="1708" priority="2073"/>
  </conditionalFormatting>
  <conditionalFormatting sqref="L80">
    <cfRule type="duplicateValues" dxfId="1707" priority="2030"/>
    <cfRule type="duplicateValues" dxfId="1706" priority="2031"/>
  </conditionalFormatting>
  <conditionalFormatting sqref="L81:L83 L89:L94 L85:L87">
    <cfRule type="duplicateValues" dxfId="1705" priority="2082"/>
    <cfRule type="duplicateValues" dxfId="1704" priority="2083"/>
  </conditionalFormatting>
  <conditionalFormatting sqref="L84">
    <cfRule type="duplicateValues" dxfId="1703" priority="2036"/>
    <cfRule type="duplicateValues" dxfId="1702" priority="2037"/>
  </conditionalFormatting>
  <conditionalFormatting sqref="L88">
    <cfRule type="duplicateValues" dxfId="1701" priority="2050"/>
    <cfRule type="duplicateValues" dxfId="1700" priority="2051"/>
  </conditionalFormatting>
  <conditionalFormatting sqref="L96">
    <cfRule type="duplicateValues" dxfId="1699" priority="2028"/>
    <cfRule type="duplicateValues" dxfId="1698" priority="2029"/>
  </conditionalFormatting>
  <conditionalFormatting sqref="L101">
    <cfRule type="duplicateValues" dxfId="1697" priority="1969"/>
    <cfRule type="duplicateValues" dxfId="1696" priority="1970"/>
  </conditionalFormatting>
  <conditionalFormatting sqref="L102">
    <cfRule type="duplicateValues" dxfId="1695" priority="1943"/>
    <cfRule type="duplicateValues" dxfId="1694" priority="1944"/>
  </conditionalFormatting>
  <conditionalFormatting sqref="L103">
    <cfRule type="duplicateValues" dxfId="1693" priority="1957"/>
    <cfRule type="duplicateValues" dxfId="1692" priority="1958"/>
  </conditionalFormatting>
  <conditionalFormatting sqref="L104">
    <cfRule type="duplicateValues" dxfId="1691" priority="1959"/>
    <cfRule type="duplicateValues" dxfId="1690" priority="1960"/>
  </conditionalFormatting>
  <conditionalFormatting sqref="L105">
    <cfRule type="duplicateValues" dxfId="1689" priority="1963"/>
    <cfRule type="duplicateValues" dxfId="1688" priority="1964"/>
  </conditionalFormatting>
  <conditionalFormatting sqref="L106">
    <cfRule type="duplicateValues" dxfId="1687" priority="1961"/>
    <cfRule type="duplicateValues" dxfId="1686" priority="1962"/>
  </conditionalFormatting>
  <conditionalFormatting sqref="L107">
    <cfRule type="duplicateValues" dxfId="1685" priority="1967"/>
    <cfRule type="duplicateValues" dxfId="1684" priority="1968"/>
  </conditionalFormatting>
  <conditionalFormatting sqref="L108">
    <cfRule type="duplicateValues" dxfId="1683" priority="1965"/>
    <cfRule type="duplicateValues" dxfId="1682" priority="1966"/>
  </conditionalFormatting>
  <conditionalFormatting sqref="L109">
    <cfRule type="duplicateValues" dxfId="1681" priority="1937"/>
    <cfRule type="duplicateValues" dxfId="1680" priority="1938"/>
  </conditionalFormatting>
  <conditionalFormatting sqref="L110">
    <cfRule type="duplicateValues" dxfId="1679" priority="1935"/>
    <cfRule type="duplicateValues" dxfId="1678" priority="1936"/>
  </conditionalFormatting>
  <conditionalFormatting sqref="L111">
    <cfRule type="duplicateValues" dxfId="1677" priority="1941"/>
    <cfRule type="duplicateValues" dxfId="1676" priority="1942"/>
  </conditionalFormatting>
  <conditionalFormatting sqref="L112">
    <cfRule type="duplicateValues" dxfId="1675" priority="1955"/>
    <cfRule type="duplicateValues" dxfId="1674" priority="1956"/>
  </conditionalFormatting>
  <conditionalFormatting sqref="L113">
    <cfRule type="duplicateValues" dxfId="1673" priority="1920"/>
    <cfRule type="duplicateValues" dxfId="1672" priority="1921"/>
  </conditionalFormatting>
  <conditionalFormatting sqref="L114">
    <cfRule type="duplicateValues" dxfId="1671" priority="1971"/>
    <cfRule type="duplicateValues" dxfId="1670" priority="1972"/>
  </conditionalFormatting>
  <conditionalFormatting sqref="L115">
    <cfRule type="duplicateValues" dxfId="1669" priority="1939"/>
    <cfRule type="duplicateValues" dxfId="1668" priority="1940"/>
  </conditionalFormatting>
  <conditionalFormatting sqref="L116">
    <cfRule type="duplicateValues" dxfId="1667" priority="1927"/>
    <cfRule type="duplicateValues" dxfId="1666" priority="1928"/>
  </conditionalFormatting>
  <conditionalFormatting sqref="L117">
    <cfRule type="duplicateValues" dxfId="1665" priority="1931"/>
    <cfRule type="duplicateValues" dxfId="1664" priority="1932"/>
  </conditionalFormatting>
  <conditionalFormatting sqref="L118">
    <cfRule type="duplicateValues" dxfId="1663" priority="1929"/>
    <cfRule type="duplicateValues" dxfId="1662" priority="1930"/>
  </conditionalFormatting>
  <conditionalFormatting sqref="L119">
    <cfRule type="duplicateValues" dxfId="1661" priority="1933"/>
    <cfRule type="duplicateValues" dxfId="1660" priority="1934"/>
  </conditionalFormatting>
  <conditionalFormatting sqref="L120:L121">
    <cfRule type="duplicateValues" dxfId="1659" priority="1973"/>
    <cfRule type="duplicateValues" dxfId="1658" priority="1974"/>
  </conditionalFormatting>
  <conditionalFormatting sqref="L122">
    <cfRule type="duplicateValues" dxfId="1657" priority="1953"/>
    <cfRule type="duplicateValues" dxfId="1656" priority="1954"/>
  </conditionalFormatting>
  <conditionalFormatting sqref="L123">
    <cfRule type="duplicateValues" dxfId="1655" priority="1914"/>
    <cfRule type="duplicateValues" dxfId="1654" priority="1915"/>
  </conditionalFormatting>
  <conditionalFormatting sqref="L124">
    <cfRule type="duplicateValues" dxfId="1653" priority="1985"/>
    <cfRule type="duplicateValues" dxfId="1652" priority="1986"/>
  </conditionalFormatting>
  <conditionalFormatting sqref="L125">
    <cfRule type="duplicateValues" dxfId="1651" priority="1951"/>
    <cfRule type="duplicateValues" dxfId="1650" priority="1952"/>
  </conditionalFormatting>
  <conditionalFormatting sqref="L126">
    <cfRule type="duplicateValues" dxfId="1649" priority="1983"/>
    <cfRule type="duplicateValues" dxfId="1648" priority="1984"/>
  </conditionalFormatting>
  <conditionalFormatting sqref="L127">
    <cfRule type="duplicateValues" dxfId="1647" priority="1977"/>
    <cfRule type="duplicateValues" dxfId="1646" priority="1978"/>
  </conditionalFormatting>
  <conditionalFormatting sqref="L128">
    <cfRule type="duplicateValues" dxfId="1645" priority="1975"/>
    <cfRule type="duplicateValues" dxfId="1644" priority="1976"/>
  </conditionalFormatting>
  <conditionalFormatting sqref="L129">
    <cfRule type="duplicateValues" dxfId="1643" priority="1912"/>
    <cfRule type="duplicateValues" dxfId="1642" priority="1913"/>
  </conditionalFormatting>
  <conditionalFormatting sqref="L130">
    <cfRule type="duplicateValues" dxfId="1641" priority="1981"/>
    <cfRule type="duplicateValues" dxfId="1640" priority="1982"/>
  </conditionalFormatting>
  <conditionalFormatting sqref="L131">
    <cfRule type="duplicateValues" dxfId="1639" priority="1947"/>
    <cfRule type="duplicateValues" dxfId="1638" priority="1948"/>
  </conditionalFormatting>
  <conditionalFormatting sqref="L132">
    <cfRule type="duplicateValues" dxfId="1637" priority="1987"/>
    <cfRule type="duplicateValues" dxfId="1636" priority="1988"/>
  </conditionalFormatting>
  <conditionalFormatting sqref="L133">
    <cfRule type="duplicateValues" dxfId="1635" priority="1979"/>
    <cfRule type="duplicateValues" dxfId="1634" priority="1980"/>
  </conditionalFormatting>
  <conditionalFormatting sqref="L134">
    <cfRule type="duplicateValues" dxfId="1633" priority="1945"/>
    <cfRule type="duplicateValues" dxfId="1632" priority="1946"/>
  </conditionalFormatting>
  <conditionalFormatting sqref="L135:L137 L139:L143">
    <cfRule type="duplicateValues" dxfId="1631" priority="1989"/>
    <cfRule type="duplicateValues" dxfId="1630" priority="1990"/>
  </conditionalFormatting>
  <conditionalFormatting sqref="L138">
    <cfRule type="duplicateValues" dxfId="1629" priority="1949"/>
    <cfRule type="duplicateValues" dxfId="1628" priority="1950"/>
  </conditionalFormatting>
  <conditionalFormatting sqref="L144">
    <cfRule type="duplicateValues" dxfId="1627" priority="1894"/>
    <cfRule type="duplicateValues" dxfId="1626" priority="1895"/>
  </conditionalFormatting>
  <conditionalFormatting sqref="L145">
    <cfRule type="duplicateValues" dxfId="1625" priority="1870"/>
    <cfRule type="duplicateValues" dxfId="1624" priority="1871"/>
  </conditionalFormatting>
  <conditionalFormatting sqref="L146">
    <cfRule type="duplicateValues" dxfId="1623" priority="1882"/>
    <cfRule type="duplicateValues" dxfId="1622" priority="1883"/>
  </conditionalFormatting>
  <conditionalFormatting sqref="L147">
    <cfRule type="duplicateValues" dxfId="1621" priority="1884"/>
    <cfRule type="duplicateValues" dxfId="1620" priority="1885"/>
  </conditionalFormatting>
  <conditionalFormatting sqref="L148">
    <cfRule type="duplicateValues" dxfId="1619" priority="1888"/>
    <cfRule type="duplicateValues" dxfId="1618" priority="1889"/>
  </conditionalFormatting>
  <conditionalFormatting sqref="L149">
    <cfRule type="duplicateValues" dxfId="1617" priority="1886"/>
    <cfRule type="duplicateValues" dxfId="1616" priority="1887"/>
  </conditionalFormatting>
  <conditionalFormatting sqref="L150">
    <cfRule type="duplicateValues" dxfId="1615" priority="1892"/>
    <cfRule type="duplicateValues" dxfId="1614" priority="1893"/>
  </conditionalFormatting>
  <conditionalFormatting sqref="L151">
    <cfRule type="duplicateValues" dxfId="1613" priority="1890"/>
    <cfRule type="duplicateValues" dxfId="1612" priority="1891"/>
  </conditionalFormatting>
  <conditionalFormatting sqref="L152">
    <cfRule type="duplicateValues" dxfId="1611" priority="1866"/>
    <cfRule type="duplicateValues" dxfId="1610" priority="1867"/>
  </conditionalFormatting>
  <conditionalFormatting sqref="L153">
    <cfRule type="duplicateValues" dxfId="1609" priority="1864"/>
    <cfRule type="duplicateValues" dxfId="1608" priority="1865"/>
  </conditionalFormatting>
  <conditionalFormatting sqref="L154">
    <cfRule type="duplicateValues" dxfId="1607" priority="1848"/>
    <cfRule type="duplicateValues" dxfId="1606" priority="1849"/>
  </conditionalFormatting>
  <conditionalFormatting sqref="L155">
    <cfRule type="duplicateValues" dxfId="1605" priority="1846"/>
    <cfRule type="duplicateValues" dxfId="1604" priority="1847"/>
  </conditionalFormatting>
  <conditionalFormatting sqref="L156">
    <cfRule type="duplicateValues" dxfId="1603" priority="1853"/>
    <cfRule type="duplicateValues" dxfId="1602" priority="1854"/>
  </conditionalFormatting>
  <conditionalFormatting sqref="L157">
    <cfRule type="duplicateValues" dxfId="1601" priority="1844"/>
    <cfRule type="duplicateValues" dxfId="1600" priority="1845"/>
  </conditionalFormatting>
  <conditionalFormatting sqref="L158">
    <cfRule type="duplicateValues" dxfId="1599" priority="1868"/>
    <cfRule type="duplicateValues" dxfId="1598" priority="1869"/>
  </conditionalFormatting>
  <conditionalFormatting sqref="L159">
    <cfRule type="duplicateValues" dxfId="1597" priority="1856"/>
    <cfRule type="duplicateValues" dxfId="1596" priority="1857"/>
  </conditionalFormatting>
  <conditionalFormatting sqref="L160">
    <cfRule type="duplicateValues" dxfId="1595" priority="1860"/>
    <cfRule type="duplicateValues" dxfId="1594" priority="1861"/>
  </conditionalFormatting>
  <conditionalFormatting sqref="L161">
    <cfRule type="duplicateValues" dxfId="1593" priority="1858"/>
    <cfRule type="duplicateValues" dxfId="1592" priority="1859"/>
  </conditionalFormatting>
  <conditionalFormatting sqref="L162">
    <cfRule type="duplicateValues" dxfId="1591" priority="1862"/>
    <cfRule type="duplicateValues" dxfId="1590" priority="1863"/>
  </conditionalFormatting>
  <conditionalFormatting sqref="L163:L164">
    <cfRule type="duplicateValues" dxfId="1589" priority="1896"/>
    <cfRule type="duplicateValues" dxfId="1588" priority="1897"/>
  </conditionalFormatting>
  <conditionalFormatting sqref="L165">
    <cfRule type="duplicateValues" dxfId="1587" priority="1880"/>
    <cfRule type="duplicateValues" dxfId="1586" priority="1881"/>
  </conditionalFormatting>
  <conditionalFormatting sqref="L166">
    <cfRule type="duplicateValues" dxfId="1585" priority="1851"/>
    <cfRule type="duplicateValues" dxfId="1584" priority="1852"/>
  </conditionalFormatting>
  <conditionalFormatting sqref="L167">
    <cfRule type="duplicateValues" dxfId="1583" priority="1904"/>
    <cfRule type="duplicateValues" dxfId="1582" priority="1905"/>
  </conditionalFormatting>
  <conditionalFormatting sqref="L168">
    <cfRule type="duplicateValues" dxfId="1581" priority="1878"/>
    <cfRule type="duplicateValues" dxfId="1580" priority="1879"/>
  </conditionalFormatting>
  <conditionalFormatting sqref="L169">
    <cfRule type="duplicateValues" dxfId="1579" priority="1902"/>
    <cfRule type="duplicateValues" dxfId="1578" priority="1903"/>
  </conditionalFormatting>
  <conditionalFormatting sqref="L170">
    <cfRule type="duplicateValues" dxfId="1577" priority="1841"/>
    <cfRule type="duplicateValues" dxfId="1576" priority="1842"/>
  </conditionalFormatting>
  <conditionalFormatting sqref="L171">
    <cfRule type="duplicateValues" dxfId="1575" priority="1839"/>
    <cfRule type="duplicateValues" dxfId="1574" priority="1840"/>
  </conditionalFormatting>
  <conditionalFormatting sqref="L172">
    <cfRule type="duplicateValues" dxfId="1573" priority="1837"/>
    <cfRule type="duplicateValues" dxfId="1572" priority="1838"/>
  </conditionalFormatting>
  <conditionalFormatting sqref="L173">
    <cfRule type="duplicateValues" dxfId="1571" priority="1900"/>
    <cfRule type="duplicateValues" dxfId="1570" priority="1901"/>
  </conditionalFormatting>
  <conditionalFormatting sqref="L174">
    <cfRule type="duplicateValues" dxfId="1569" priority="1874"/>
    <cfRule type="duplicateValues" dxfId="1568" priority="1875"/>
  </conditionalFormatting>
  <conditionalFormatting sqref="L175">
    <cfRule type="duplicateValues" dxfId="1567" priority="1906"/>
    <cfRule type="duplicateValues" dxfId="1566" priority="1907"/>
  </conditionalFormatting>
  <conditionalFormatting sqref="L176">
    <cfRule type="duplicateValues" dxfId="1565" priority="1898"/>
    <cfRule type="duplicateValues" dxfId="1564" priority="1899"/>
  </conditionalFormatting>
  <conditionalFormatting sqref="L177">
    <cfRule type="duplicateValues" dxfId="1563" priority="1872"/>
    <cfRule type="duplicateValues" dxfId="1562" priority="1873"/>
  </conditionalFormatting>
  <conditionalFormatting sqref="L178:L180 L182:L185">
    <cfRule type="duplicateValues" dxfId="1561" priority="1908"/>
    <cfRule type="duplicateValues" dxfId="1560" priority="1909"/>
  </conditionalFormatting>
  <conditionalFormatting sqref="L181">
    <cfRule type="duplicateValues" dxfId="1559" priority="1876"/>
    <cfRule type="duplicateValues" dxfId="1558" priority="1877"/>
  </conditionalFormatting>
  <conditionalFormatting sqref="L186">
    <cfRule type="duplicateValues" dxfId="1557" priority="1816"/>
    <cfRule type="duplicateValues" dxfId="1556" priority="1817"/>
  </conditionalFormatting>
  <conditionalFormatting sqref="L187">
    <cfRule type="duplicateValues" dxfId="1555" priority="1792"/>
    <cfRule type="duplicateValues" dxfId="1554" priority="1793"/>
  </conditionalFormatting>
  <conditionalFormatting sqref="L188">
    <cfRule type="duplicateValues" dxfId="1553" priority="1804"/>
    <cfRule type="duplicateValues" dxfId="1552" priority="1805"/>
  </conditionalFormatting>
  <conditionalFormatting sqref="L189">
    <cfRule type="duplicateValues" dxfId="1551" priority="1806"/>
    <cfRule type="duplicateValues" dxfId="1550" priority="1807"/>
  </conditionalFormatting>
  <conditionalFormatting sqref="L190">
    <cfRule type="duplicateValues" dxfId="1549" priority="1810"/>
    <cfRule type="duplicateValues" dxfId="1548" priority="1811"/>
  </conditionalFormatting>
  <conditionalFormatting sqref="L191">
    <cfRule type="duplicateValues" dxfId="1547" priority="1808"/>
    <cfRule type="duplicateValues" dxfId="1546" priority="1809"/>
  </conditionalFormatting>
  <conditionalFormatting sqref="L192">
    <cfRule type="duplicateValues" dxfId="1545" priority="1814"/>
    <cfRule type="duplicateValues" dxfId="1544" priority="1815"/>
  </conditionalFormatting>
  <conditionalFormatting sqref="L193">
    <cfRule type="duplicateValues" dxfId="1543" priority="1812"/>
    <cfRule type="duplicateValues" dxfId="1542" priority="1813"/>
  </conditionalFormatting>
  <conditionalFormatting sqref="L194">
    <cfRule type="duplicateValues" dxfId="1541" priority="1788"/>
    <cfRule type="duplicateValues" dxfId="1540" priority="1789"/>
  </conditionalFormatting>
  <conditionalFormatting sqref="L195">
    <cfRule type="duplicateValues" dxfId="1539" priority="1786"/>
    <cfRule type="duplicateValues" dxfId="1538" priority="1787"/>
  </conditionalFormatting>
  <conditionalFormatting sqref="L196">
    <cfRule type="duplicateValues" dxfId="1537" priority="1772"/>
    <cfRule type="duplicateValues" dxfId="1536" priority="1773"/>
  </conditionalFormatting>
  <conditionalFormatting sqref="L197">
    <cfRule type="duplicateValues" dxfId="1535" priority="1770"/>
    <cfRule type="duplicateValues" dxfId="1534" priority="1771"/>
  </conditionalFormatting>
  <conditionalFormatting sqref="L198">
    <cfRule type="duplicateValues" dxfId="1533" priority="1776"/>
    <cfRule type="duplicateValues" dxfId="1532" priority="1777"/>
  </conditionalFormatting>
  <conditionalFormatting sqref="L199">
    <cfRule type="duplicateValues" dxfId="1531" priority="1768"/>
    <cfRule type="duplicateValues" dxfId="1530" priority="1769"/>
  </conditionalFormatting>
  <conditionalFormatting sqref="L200">
    <cfRule type="duplicateValues" dxfId="1529" priority="1790"/>
    <cfRule type="duplicateValues" dxfId="1528" priority="1791"/>
  </conditionalFormatting>
  <conditionalFormatting sqref="L201">
    <cfRule type="duplicateValues" dxfId="1527" priority="1778"/>
    <cfRule type="duplicateValues" dxfId="1526" priority="1779"/>
  </conditionalFormatting>
  <conditionalFormatting sqref="L202">
    <cfRule type="duplicateValues" dxfId="1525" priority="1782"/>
    <cfRule type="duplicateValues" dxfId="1524" priority="1783"/>
  </conditionalFormatting>
  <conditionalFormatting sqref="L203">
    <cfRule type="duplicateValues" dxfId="1523" priority="1780"/>
    <cfRule type="duplicateValues" dxfId="1522" priority="1781"/>
  </conditionalFormatting>
  <conditionalFormatting sqref="L204">
    <cfRule type="duplicateValues" dxfId="1521" priority="1784"/>
    <cfRule type="duplicateValues" dxfId="1520" priority="1785"/>
  </conditionalFormatting>
  <conditionalFormatting sqref="L205:L206">
    <cfRule type="duplicateValues" dxfId="1519" priority="1818"/>
    <cfRule type="duplicateValues" dxfId="1518" priority="1819"/>
  </conditionalFormatting>
  <conditionalFormatting sqref="L207">
    <cfRule type="duplicateValues" dxfId="1517" priority="1802"/>
    <cfRule type="duplicateValues" dxfId="1516" priority="1803"/>
  </conditionalFormatting>
  <conditionalFormatting sqref="L208">
    <cfRule type="duplicateValues" dxfId="1515" priority="1774"/>
    <cfRule type="duplicateValues" dxfId="1514" priority="1775"/>
  </conditionalFormatting>
  <conditionalFormatting sqref="L209">
    <cfRule type="duplicateValues" dxfId="1513" priority="1826"/>
    <cfRule type="duplicateValues" dxfId="1512" priority="1827"/>
  </conditionalFormatting>
  <conditionalFormatting sqref="L210">
    <cfRule type="duplicateValues" dxfId="1511" priority="1800"/>
    <cfRule type="duplicateValues" dxfId="1510" priority="1801"/>
  </conditionalFormatting>
  <conditionalFormatting sqref="L211:L212">
    <cfRule type="duplicateValues" dxfId="1509" priority="1824"/>
    <cfRule type="duplicateValues" dxfId="1508" priority="1825"/>
  </conditionalFormatting>
  <conditionalFormatting sqref="L213">
    <cfRule type="duplicateValues" dxfId="1507" priority="1766"/>
    <cfRule type="duplicateValues" dxfId="1506" priority="1767"/>
  </conditionalFormatting>
  <conditionalFormatting sqref="L214">
    <cfRule type="duplicateValues" dxfId="1505" priority="1764"/>
    <cfRule type="duplicateValues" dxfId="1504" priority="1765"/>
  </conditionalFormatting>
  <conditionalFormatting sqref="L215">
    <cfRule type="duplicateValues" dxfId="1503" priority="1822"/>
    <cfRule type="duplicateValues" dxfId="1502" priority="1823"/>
  </conditionalFormatting>
  <conditionalFormatting sqref="L216">
    <cfRule type="duplicateValues" dxfId="1501" priority="1796"/>
    <cfRule type="duplicateValues" dxfId="1500" priority="1797"/>
  </conditionalFormatting>
  <conditionalFormatting sqref="L217">
    <cfRule type="duplicateValues" dxfId="1499" priority="1828"/>
    <cfRule type="duplicateValues" dxfId="1498" priority="1829"/>
  </conditionalFormatting>
  <conditionalFormatting sqref="L218">
    <cfRule type="duplicateValues" dxfId="1497" priority="1820"/>
    <cfRule type="duplicateValues" dxfId="1496" priority="1821"/>
  </conditionalFormatting>
  <conditionalFormatting sqref="L219">
    <cfRule type="duplicateValues" dxfId="1495" priority="1794"/>
    <cfRule type="duplicateValues" dxfId="1494" priority="1795"/>
  </conditionalFormatting>
  <conditionalFormatting sqref="L220:L222 L224:L227">
    <cfRule type="duplicateValues" dxfId="1493" priority="1830"/>
    <cfRule type="duplicateValues" dxfId="1492" priority="1831"/>
  </conditionalFormatting>
  <conditionalFormatting sqref="L223">
    <cfRule type="duplicateValues" dxfId="1491" priority="1798"/>
    <cfRule type="duplicateValues" dxfId="1490" priority="1799"/>
  </conditionalFormatting>
  <conditionalFormatting sqref="L228">
    <cfRule type="duplicateValues" dxfId="1489" priority="1742"/>
    <cfRule type="duplicateValues" dxfId="1488" priority="1743"/>
  </conditionalFormatting>
  <conditionalFormatting sqref="L229">
    <cfRule type="duplicateValues" dxfId="1487" priority="1718"/>
    <cfRule type="duplicateValues" dxfId="1486" priority="1719"/>
  </conditionalFormatting>
  <conditionalFormatting sqref="L230">
    <cfRule type="duplicateValues" dxfId="1485" priority="1730"/>
    <cfRule type="duplicateValues" dxfId="1484" priority="1731"/>
  </conditionalFormatting>
  <conditionalFormatting sqref="L231">
    <cfRule type="duplicateValues" dxfId="1483" priority="1732"/>
    <cfRule type="duplicateValues" dxfId="1482" priority="1733"/>
  </conditionalFormatting>
  <conditionalFormatting sqref="L232">
    <cfRule type="duplicateValues" dxfId="1481" priority="1736"/>
    <cfRule type="duplicateValues" dxfId="1480" priority="1737"/>
  </conditionalFormatting>
  <conditionalFormatting sqref="L233">
    <cfRule type="duplicateValues" dxfId="1479" priority="1734"/>
    <cfRule type="duplicateValues" dxfId="1478" priority="1735"/>
  </conditionalFormatting>
  <conditionalFormatting sqref="L234">
    <cfRule type="duplicateValues" dxfId="1477" priority="1740"/>
    <cfRule type="duplicateValues" dxfId="1476" priority="1741"/>
  </conditionalFormatting>
  <conditionalFormatting sqref="L235">
    <cfRule type="duplicateValues" dxfId="1475" priority="1738"/>
    <cfRule type="duplicateValues" dxfId="1474" priority="1739"/>
  </conditionalFormatting>
  <conditionalFormatting sqref="L236">
    <cfRule type="duplicateValues" dxfId="1473" priority="1714"/>
    <cfRule type="duplicateValues" dxfId="1472" priority="1715"/>
  </conditionalFormatting>
  <conditionalFormatting sqref="L237">
    <cfRule type="duplicateValues" dxfId="1471" priority="1712"/>
    <cfRule type="duplicateValues" dxfId="1470" priority="1713"/>
  </conditionalFormatting>
  <conditionalFormatting sqref="L238">
    <cfRule type="duplicateValues" dxfId="1469" priority="1698"/>
    <cfRule type="duplicateValues" dxfId="1468" priority="1699"/>
  </conditionalFormatting>
  <conditionalFormatting sqref="L239">
    <cfRule type="duplicateValues" dxfId="1467" priority="1696"/>
    <cfRule type="duplicateValues" dxfId="1466" priority="1697"/>
  </conditionalFormatting>
  <conditionalFormatting sqref="L240">
    <cfRule type="duplicateValues" dxfId="1465" priority="1702"/>
    <cfRule type="duplicateValues" dxfId="1464" priority="1703"/>
  </conditionalFormatting>
  <conditionalFormatting sqref="L241">
    <cfRule type="duplicateValues" dxfId="1463" priority="1694"/>
    <cfRule type="duplicateValues" dxfId="1462" priority="1695"/>
  </conditionalFormatting>
  <conditionalFormatting sqref="L242">
    <cfRule type="duplicateValues" dxfId="1461" priority="1716"/>
    <cfRule type="duplicateValues" dxfId="1460" priority="1717"/>
  </conditionalFormatting>
  <conditionalFormatting sqref="L243">
    <cfRule type="duplicateValues" dxfId="1459" priority="1704"/>
    <cfRule type="duplicateValues" dxfId="1458" priority="1705"/>
  </conditionalFormatting>
  <conditionalFormatting sqref="L244">
    <cfRule type="duplicateValues" dxfId="1457" priority="1708"/>
    <cfRule type="duplicateValues" dxfId="1456" priority="1709"/>
  </conditionalFormatting>
  <conditionalFormatting sqref="L245">
    <cfRule type="duplicateValues" dxfId="1455" priority="1706"/>
    <cfRule type="duplicateValues" dxfId="1454" priority="1707"/>
  </conditionalFormatting>
  <conditionalFormatting sqref="L246">
    <cfRule type="duplicateValues" dxfId="1453" priority="1710"/>
    <cfRule type="duplicateValues" dxfId="1452" priority="1711"/>
  </conditionalFormatting>
  <conditionalFormatting sqref="L247:L248">
    <cfRule type="duplicateValues" dxfId="1451" priority="1744"/>
    <cfRule type="duplicateValues" dxfId="1450" priority="1745"/>
  </conditionalFormatting>
  <conditionalFormatting sqref="L249">
    <cfRule type="duplicateValues" dxfId="1449" priority="1728"/>
    <cfRule type="duplicateValues" dxfId="1448" priority="1729"/>
  </conditionalFormatting>
  <conditionalFormatting sqref="L250">
    <cfRule type="duplicateValues" dxfId="1447" priority="1700"/>
    <cfRule type="duplicateValues" dxfId="1446" priority="1701"/>
  </conditionalFormatting>
  <conditionalFormatting sqref="L251">
    <cfRule type="duplicateValues" dxfId="1445" priority="1752"/>
    <cfRule type="duplicateValues" dxfId="1444" priority="1753"/>
  </conditionalFormatting>
  <conditionalFormatting sqref="L252">
    <cfRule type="duplicateValues" dxfId="1443" priority="1726"/>
    <cfRule type="duplicateValues" dxfId="1442" priority="1727"/>
  </conditionalFormatting>
  <conditionalFormatting sqref="L253:L254">
    <cfRule type="duplicateValues" dxfId="1441" priority="1750"/>
    <cfRule type="duplicateValues" dxfId="1440" priority="1751"/>
  </conditionalFormatting>
  <conditionalFormatting sqref="L255">
    <cfRule type="duplicateValues" dxfId="1439" priority="1692"/>
    <cfRule type="duplicateValues" dxfId="1438" priority="1693"/>
  </conditionalFormatting>
  <conditionalFormatting sqref="L256">
    <cfRule type="duplicateValues" dxfId="1437" priority="1690"/>
    <cfRule type="duplicateValues" dxfId="1436" priority="1691"/>
  </conditionalFormatting>
  <conditionalFormatting sqref="L257">
    <cfRule type="duplicateValues" dxfId="1435" priority="1748"/>
    <cfRule type="duplicateValues" dxfId="1434" priority="1749"/>
  </conditionalFormatting>
  <conditionalFormatting sqref="L258">
    <cfRule type="duplicateValues" dxfId="1433" priority="1722"/>
    <cfRule type="duplicateValues" dxfId="1432" priority="1723"/>
  </conditionalFormatting>
  <conditionalFormatting sqref="L259">
    <cfRule type="duplicateValues" dxfId="1431" priority="1754"/>
    <cfRule type="duplicateValues" dxfId="1430" priority="1755"/>
  </conditionalFormatting>
  <conditionalFormatting sqref="L260">
    <cfRule type="duplicateValues" dxfId="1429" priority="1746"/>
    <cfRule type="duplicateValues" dxfId="1428" priority="1747"/>
  </conditionalFormatting>
  <conditionalFormatting sqref="L261">
    <cfRule type="duplicateValues" dxfId="1427" priority="1720"/>
    <cfRule type="duplicateValues" dxfId="1426" priority="1721"/>
  </conditionalFormatting>
  <conditionalFormatting sqref="L262:L264 L266:L270">
    <cfRule type="duplicateValues" dxfId="1425" priority="1756"/>
    <cfRule type="duplicateValues" dxfId="1424" priority="1757"/>
  </conditionalFormatting>
  <conditionalFormatting sqref="L265">
    <cfRule type="duplicateValues" dxfId="1423" priority="1724"/>
    <cfRule type="duplicateValues" dxfId="1422" priority="1725"/>
  </conditionalFormatting>
  <conditionalFormatting sqref="L271">
    <cfRule type="duplicateValues" dxfId="1421" priority="1674"/>
    <cfRule type="duplicateValues" dxfId="1420" priority="1675"/>
  </conditionalFormatting>
  <conditionalFormatting sqref="L272">
    <cfRule type="duplicateValues" dxfId="1419" priority="1650"/>
    <cfRule type="duplicateValues" dxfId="1418" priority="1651"/>
  </conditionalFormatting>
  <conditionalFormatting sqref="L273">
    <cfRule type="duplicateValues" dxfId="1417" priority="1662"/>
    <cfRule type="duplicateValues" dxfId="1416" priority="1663"/>
  </conditionalFormatting>
  <conditionalFormatting sqref="L274">
    <cfRule type="duplicateValues" dxfId="1415" priority="1664"/>
    <cfRule type="duplicateValues" dxfId="1414" priority="1665"/>
  </conditionalFormatting>
  <conditionalFormatting sqref="L275">
    <cfRule type="duplicateValues" dxfId="1413" priority="1668"/>
    <cfRule type="duplicateValues" dxfId="1412" priority="1669"/>
  </conditionalFormatting>
  <conditionalFormatting sqref="L276">
    <cfRule type="duplicateValues" dxfId="1411" priority="1666"/>
    <cfRule type="duplicateValues" dxfId="1410" priority="1667"/>
  </conditionalFormatting>
  <conditionalFormatting sqref="L277">
    <cfRule type="duplicateValues" dxfId="1409" priority="1672"/>
    <cfRule type="duplicateValues" dxfId="1408" priority="1673"/>
  </conditionalFormatting>
  <conditionalFormatting sqref="L278">
    <cfRule type="duplicateValues" dxfId="1407" priority="1670"/>
    <cfRule type="duplicateValues" dxfId="1406" priority="1671"/>
  </conditionalFormatting>
  <conditionalFormatting sqref="L279">
    <cfRule type="duplicateValues" dxfId="1405" priority="1646"/>
    <cfRule type="duplicateValues" dxfId="1404" priority="1647"/>
  </conditionalFormatting>
  <conditionalFormatting sqref="L280">
    <cfRule type="duplicateValues" dxfId="1403" priority="1644"/>
    <cfRule type="duplicateValues" dxfId="1402" priority="1645"/>
  </conditionalFormatting>
  <conditionalFormatting sqref="L281">
    <cfRule type="duplicateValues" dxfId="1401" priority="1628"/>
    <cfRule type="duplicateValues" dxfId="1400" priority="1629"/>
  </conditionalFormatting>
  <conditionalFormatting sqref="L282">
    <cfRule type="duplicateValues" dxfId="1399" priority="1626"/>
    <cfRule type="duplicateValues" dxfId="1398" priority="1627"/>
  </conditionalFormatting>
  <conditionalFormatting sqref="L283">
    <cfRule type="duplicateValues" dxfId="1397" priority="1632"/>
    <cfRule type="duplicateValues" dxfId="1396" priority="1633"/>
  </conditionalFormatting>
  <conditionalFormatting sqref="L284">
    <cfRule type="duplicateValues" dxfId="1395" priority="1624"/>
    <cfRule type="duplicateValues" dxfId="1394" priority="1625"/>
  </conditionalFormatting>
  <conditionalFormatting sqref="L285">
    <cfRule type="duplicateValues" dxfId="1393" priority="1648"/>
    <cfRule type="duplicateValues" dxfId="1392" priority="1649"/>
  </conditionalFormatting>
  <conditionalFormatting sqref="L286">
    <cfRule type="duplicateValues" dxfId="1391" priority="1636"/>
    <cfRule type="duplicateValues" dxfId="1390" priority="1637"/>
  </conditionalFormatting>
  <conditionalFormatting sqref="L287">
    <cfRule type="duplicateValues" dxfId="1389" priority="1640"/>
    <cfRule type="duplicateValues" dxfId="1388" priority="1641"/>
  </conditionalFormatting>
  <conditionalFormatting sqref="L288">
    <cfRule type="duplicateValues" dxfId="1387" priority="1638"/>
    <cfRule type="duplicateValues" dxfId="1386" priority="1639"/>
  </conditionalFormatting>
  <conditionalFormatting sqref="L289">
    <cfRule type="duplicateValues" dxfId="1385" priority="1642"/>
    <cfRule type="duplicateValues" dxfId="1384" priority="1643"/>
  </conditionalFormatting>
  <conditionalFormatting sqref="L290">
    <cfRule type="duplicateValues" dxfId="1383" priority="1676"/>
    <cfRule type="duplicateValues" dxfId="1382" priority="1677"/>
  </conditionalFormatting>
  <conditionalFormatting sqref="L291">
    <cfRule type="duplicateValues" dxfId="1381" priority="1609"/>
    <cfRule type="duplicateValues" dxfId="1380" priority="1610"/>
  </conditionalFormatting>
  <conditionalFormatting sqref="L292">
    <cfRule type="duplicateValues" dxfId="1379" priority="1607"/>
    <cfRule type="duplicateValues" dxfId="1378" priority="1608"/>
  </conditionalFormatting>
  <conditionalFormatting sqref="L293">
    <cfRule type="duplicateValues" dxfId="1377" priority="1630"/>
    <cfRule type="duplicateValues" dxfId="1376" priority="1631"/>
  </conditionalFormatting>
  <conditionalFormatting sqref="L294">
    <cfRule type="duplicateValues" dxfId="1375" priority="1688"/>
    <cfRule type="duplicateValues" dxfId="1374" priority="1689"/>
  </conditionalFormatting>
  <conditionalFormatting sqref="L295">
    <cfRule type="duplicateValues" dxfId="1373" priority="1660"/>
    <cfRule type="duplicateValues" dxfId="1372" priority="1661"/>
  </conditionalFormatting>
  <conditionalFormatting sqref="L296:L297">
    <cfRule type="duplicateValues" dxfId="1371" priority="1682"/>
    <cfRule type="duplicateValues" dxfId="1370" priority="1683"/>
  </conditionalFormatting>
  <conditionalFormatting sqref="L298">
    <cfRule type="duplicateValues" dxfId="1369" priority="1622"/>
    <cfRule type="duplicateValues" dxfId="1368" priority="1623"/>
  </conditionalFormatting>
  <conditionalFormatting sqref="L299">
    <cfRule type="duplicateValues" dxfId="1367" priority="1620"/>
    <cfRule type="duplicateValues" dxfId="1366" priority="1621"/>
  </conditionalFormatting>
  <conditionalFormatting sqref="L300">
    <cfRule type="duplicateValues" dxfId="1365" priority="1680"/>
    <cfRule type="duplicateValues" dxfId="1364" priority="1681"/>
  </conditionalFormatting>
  <conditionalFormatting sqref="L301">
    <cfRule type="duplicateValues" dxfId="1363" priority="1656"/>
    <cfRule type="duplicateValues" dxfId="1362" priority="1657"/>
  </conditionalFormatting>
  <conditionalFormatting sqref="L302">
    <cfRule type="duplicateValues" dxfId="1361" priority="1684"/>
    <cfRule type="duplicateValues" dxfId="1360" priority="1685"/>
  </conditionalFormatting>
  <conditionalFormatting sqref="L303">
    <cfRule type="duplicateValues" dxfId="1359" priority="1678"/>
    <cfRule type="duplicateValues" dxfId="1358" priority="1679"/>
  </conditionalFormatting>
  <conditionalFormatting sqref="L304">
    <cfRule type="duplicateValues" dxfId="1357" priority="1654"/>
    <cfRule type="duplicateValues" dxfId="1356" priority="1655"/>
  </conditionalFormatting>
  <conditionalFormatting sqref="L305:L307 L309:L315">
    <cfRule type="duplicateValues" dxfId="1355" priority="1686"/>
    <cfRule type="duplicateValues" dxfId="1354" priority="1687"/>
  </conditionalFormatting>
  <conditionalFormatting sqref="L308">
    <cfRule type="duplicateValues" dxfId="1353" priority="1658"/>
    <cfRule type="duplicateValues" dxfId="1352" priority="1659"/>
  </conditionalFormatting>
  <conditionalFormatting sqref="L317">
    <cfRule type="duplicateValues" dxfId="1351" priority="1652"/>
    <cfRule type="duplicateValues" dxfId="1350" priority="1653"/>
  </conditionalFormatting>
  <conditionalFormatting sqref="L318">
    <cfRule type="duplicateValues" dxfId="1349" priority="1605"/>
    <cfRule type="duplicateValues" dxfId="1348" priority="1606"/>
  </conditionalFormatting>
  <conditionalFormatting sqref="L320">
    <cfRule type="duplicateValues" dxfId="1347" priority="1589"/>
    <cfRule type="duplicateValues" dxfId="1346" priority="1590"/>
  </conditionalFormatting>
  <conditionalFormatting sqref="L321">
    <cfRule type="duplicateValues" dxfId="1345" priority="1567"/>
    <cfRule type="duplicateValues" dxfId="1344" priority="1568"/>
  </conditionalFormatting>
  <conditionalFormatting sqref="L322">
    <cfRule type="duplicateValues" dxfId="1343" priority="1539"/>
    <cfRule type="duplicateValues" dxfId="1342" priority="1540"/>
  </conditionalFormatting>
  <conditionalFormatting sqref="L323">
    <cfRule type="duplicateValues" dxfId="1341" priority="1579"/>
    <cfRule type="duplicateValues" dxfId="1340" priority="1580"/>
  </conditionalFormatting>
  <conditionalFormatting sqref="L324">
    <cfRule type="duplicateValues" dxfId="1339" priority="1583"/>
    <cfRule type="duplicateValues" dxfId="1338" priority="1584"/>
  </conditionalFormatting>
  <conditionalFormatting sqref="L325">
    <cfRule type="duplicateValues" dxfId="1337" priority="1581"/>
    <cfRule type="duplicateValues" dxfId="1336" priority="1582"/>
  </conditionalFormatting>
  <conditionalFormatting sqref="L326">
    <cfRule type="duplicateValues" dxfId="1335" priority="1587"/>
    <cfRule type="duplicateValues" dxfId="1334" priority="1588"/>
  </conditionalFormatting>
  <conditionalFormatting sqref="L327">
    <cfRule type="duplicateValues" dxfId="1333" priority="1585"/>
    <cfRule type="duplicateValues" dxfId="1332" priority="1586"/>
  </conditionalFormatting>
  <conditionalFormatting sqref="L328">
    <cfRule type="duplicateValues" dxfId="1331" priority="1535"/>
    <cfRule type="duplicateValues" dxfId="1330" priority="1536"/>
  </conditionalFormatting>
  <conditionalFormatting sqref="L329">
    <cfRule type="duplicateValues" dxfId="1329" priority="1563"/>
    <cfRule type="duplicateValues" dxfId="1328" priority="1564"/>
  </conditionalFormatting>
  <conditionalFormatting sqref="L330">
    <cfRule type="duplicateValues" dxfId="1327" priority="1553"/>
    <cfRule type="duplicateValues" dxfId="1326" priority="1554"/>
  </conditionalFormatting>
  <conditionalFormatting sqref="L331">
    <cfRule type="duplicateValues" dxfId="1325" priority="1551"/>
    <cfRule type="duplicateValues" dxfId="1324" priority="1552"/>
  </conditionalFormatting>
  <conditionalFormatting sqref="L332">
    <cfRule type="duplicateValues" dxfId="1323" priority="1557"/>
    <cfRule type="duplicateValues" dxfId="1322" priority="1558"/>
  </conditionalFormatting>
  <conditionalFormatting sqref="L333">
    <cfRule type="duplicateValues" dxfId="1321" priority="1549"/>
    <cfRule type="duplicateValues" dxfId="1320" priority="1550"/>
  </conditionalFormatting>
  <conditionalFormatting sqref="L334">
    <cfRule type="duplicateValues" dxfId="1319" priority="1565"/>
    <cfRule type="duplicateValues" dxfId="1318" priority="1566"/>
  </conditionalFormatting>
  <conditionalFormatting sqref="L335">
    <cfRule type="duplicateValues" dxfId="1317" priority="1533"/>
    <cfRule type="duplicateValues" dxfId="1316" priority="1534"/>
  </conditionalFormatting>
  <conditionalFormatting sqref="L336">
    <cfRule type="duplicateValues" dxfId="1315" priority="1531"/>
    <cfRule type="duplicateValues" dxfId="1314" priority="1532"/>
  </conditionalFormatting>
  <conditionalFormatting sqref="L337">
    <cfRule type="duplicateValues" dxfId="1313" priority="1559"/>
    <cfRule type="duplicateValues" dxfId="1312" priority="1560"/>
  </conditionalFormatting>
  <conditionalFormatting sqref="L338">
    <cfRule type="duplicateValues" dxfId="1311" priority="1561"/>
    <cfRule type="duplicateValues" dxfId="1310" priority="1562"/>
  </conditionalFormatting>
  <conditionalFormatting sqref="L339">
    <cfRule type="duplicateValues" dxfId="1309" priority="1591"/>
    <cfRule type="duplicateValues" dxfId="1308" priority="1592"/>
  </conditionalFormatting>
  <conditionalFormatting sqref="L340">
    <cfRule type="duplicateValues" dxfId="1307" priority="1545"/>
    <cfRule type="duplicateValues" dxfId="1306" priority="1546"/>
  </conditionalFormatting>
  <conditionalFormatting sqref="L341">
    <cfRule type="duplicateValues" dxfId="1305" priority="1543"/>
    <cfRule type="duplicateValues" dxfId="1304" priority="1544"/>
  </conditionalFormatting>
  <conditionalFormatting sqref="L342">
    <cfRule type="duplicateValues" dxfId="1303" priority="1555"/>
    <cfRule type="duplicateValues" dxfId="1302" priority="1556"/>
  </conditionalFormatting>
  <conditionalFormatting sqref="L343">
    <cfRule type="duplicateValues" dxfId="1301" priority="1599"/>
    <cfRule type="duplicateValues" dxfId="1300" priority="1600"/>
  </conditionalFormatting>
  <conditionalFormatting sqref="L344">
    <cfRule type="duplicateValues" dxfId="1299" priority="1577"/>
    <cfRule type="duplicateValues" dxfId="1298" priority="1578"/>
  </conditionalFormatting>
  <conditionalFormatting sqref="L345">
    <cfRule type="duplicateValues" dxfId="1297" priority="1597"/>
    <cfRule type="duplicateValues" dxfId="1296" priority="1598"/>
  </conditionalFormatting>
  <conditionalFormatting sqref="L346">
    <cfRule type="duplicateValues" dxfId="1295" priority="1527"/>
    <cfRule type="duplicateValues" dxfId="1294" priority="1528"/>
  </conditionalFormatting>
  <conditionalFormatting sqref="L347">
    <cfRule type="duplicateValues" dxfId="1293" priority="1529"/>
    <cfRule type="duplicateValues" dxfId="1292" priority="1530"/>
  </conditionalFormatting>
  <conditionalFormatting sqref="L348">
    <cfRule type="duplicateValues" dxfId="1291" priority="1547"/>
    <cfRule type="duplicateValues" dxfId="1290" priority="1548"/>
  </conditionalFormatting>
  <conditionalFormatting sqref="L349">
    <cfRule type="duplicateValues" dxfId="1289" priority="1595"/>
    <cfRule type="duplicateValues" dxfId="1288" priority="1596"/>
  </conditionalFormatting>
  <conditionalFormatting sqref="L350">
    <cfRule type="duplicateValues" dxfId="1287" priority="1573"/>
    <cfRule type="duplicateValues" dxfId="1286" priority="1574"/>
  </conditionalFormatting>
  <conditionalFormatting sqref="L351">
    <cfRule type="duplicateValues" dxfId="1285" priority="1601"/>
    <cfRule type="duplicateValues" dxfId="1284" priority="1602"/>
  </conditionalFormatting>
  <conditionalFormatting sqref="L352">
    <cfRule type="duplicateValues" dxfId="1283" priority="1593"/>
    <cfRule type="duplicateValues" dxfId="1282" priority="1594"/>
  </conditionalFormatting>
  <conditionalFormatting sqref="L353">
    <cfRule type="duplicateValues" dxfId="1281" priority="1571"/>
    <cfRule type="duplicateValues" dxfId="1280" priority="1572"/>
  </conditionalFormatting>
  <conditionalFormatting sqref="L354:L356 L358:L364">
    <cfRule type="duplicateValues" dxfId="1279" priority="1603"/>
    <cfRule type="duplicateValues" dxfId="1278" priority="1604"/>
  </conditionalFormatting>
  <conditionalFormatting sqref="L357">
    <cfRule type="duplicateValues" dxfId="1277" priority="1575"/>
    <cfRule type="duplicateValues" dxfId="1276" priority="1576"/>
  </conditionalFormatting>
  <conditionalFormatting sqref="L365">
    <cfRule type="duplicateValues" dxfId="1275" priority="1523"/>
    <cfRule type="duplicateValues" dxfId="1274" priority="1524"/>
  </conditionalFormatting>
  <conditionalFormatting sqref="L366">
    <cfRule type="duplicateValues" dxfId="1273" priority="1569"/>
    <cfRule type="duplicateValues" dxfId="1272" priority="1570"/>
  </conditionalFormatting>
  <conditionalFormatting sqref="L367">
    <cfRule type="duplicateValues" dxfId="1271" priority="1541"/>
    <cfRule type="duplicateValues" dxfId="1270" priority="1542"/>
  </conditionalFormatting>
  <conditionalFormatting sqref="L369">
    <cfRule type="duplicateValues" dxfId="1269" priority="1520"/>
    <cfRule type="duplicateValues" dxfId="1268" priority="1521"/>
  </conditionalFormatting>
  <conditionalFormatting sqref="L373">
    <cfRule type="duplicateValues" dxfId="1267" priority="1518"/>
    <cfRule type="duplicateValues" dxfId="1266" priority="1519"/>
  </conditionalFormatting>
  <conditionalFormatting sqref="L374">
    <cfRule type="duplicateValues" dxfId="1265" priority="1504"/>
    <cfRule type="duplicateValues" dxfId="1264" priority="1505"/>
  </conditionalFormatting>
  <conditionalFormatting sqref="L375">
    <cfRule type="duplicateValues" dxfId="1263" priority="1490"/>
    <cfRule type="duplicateValues" dxfId="1262" priority="1491"/>
  </conditionalFormatting>
  <conditionalFormatting sqref="L376">
    <cfRule type="duplicateValues" dxfId="1261" priority="1472"/>
    <cfRule type="duplicateValues" dxfId="1260" priority="1473"/>
  </conditionalFormatting>
  <conditionalFormatting sqref="L377">
    <cfRule type="duplicateValues" dxfId="1259" priority="1502"/>
    <cfRule type="duplicateValues" dxfId="1258" priority="1503"/>
  </conditionalFormatting>
  <conditionalFormatting sqref="L378">
    <cfRule type="duplicateValues" dxfId="1257" priority="1462"/>
    <cfRule type="duplicateValues" dxfId="1256" priority="1463"/>
  </conditionalFormatting>
  <conditionalFormatting sqref="L379">
    <cfRule type="duplicateValues" dxfId="1255" priority="1460"/>
    <cfRule type="duplicateValues" dxfId="1254" priority="1461"/>
  </conditionalFormatting>
  <conditionalFormatting sqref="L380">
    <cfRule type="duplicateValues" dxfId="1253" priority="1458"/>
    <cfRule type="duplicateValues" dxfId="1252" priority="1459"/>
  </conditionalFormatting>
  <conditionalFormatting sqref="L381">
    <cfRule type="duplicateValues" dxfId="1251" priority="1456"/>
    <cfRule type="duplicateValues" dxfId="1250" priority="1457"/>
  </conditionalFormatting>
  <conditionalFormatting sqref="L382">
    <cfRule type="duplicateValues" dxfId="1249" priority="1454"/>
    <cfRule type="duplicateValues" dxfId="1248" priority="1455"/>
  </conditionalFormatting>
  <conditionalFormatting sqref="L383">
    <cfRule type="duplicateValues" dxfId="1247" priority="1486"/>
    <cfRule type="duplicateValues" dxfId="1246" priority="1487"/>
  </conditionalFormatting>
  <conditionalFormatting sqref="L384">
    <cfRule type="duplicateValues" dxfId="1245" priority="1452"/>
    <cfRule type="duplicateValues" dxfId="1244" priority="1453"/>
  </conditionalFormatting>
  <conditionalFormatting sqref="L385">
    <cfRule type="duplicateValues" dxfId="1243" priority="1450"/>
    <cfRule type="duplicateValues" dxfId="1242" priority="1451"/>
  </conditionalFormatting>
  <conditionalFormatting sqref="L386">
    <cfRule type="duplicateValues" dxfId="1241" priority="1480"/>
    <cfRule type="duplicateValues" dxfId="1240" priority="1481"/>
  </conditionalFormatting>
  <conditionalFormatting sqref="L387">
    <cfRule type="duplicateValues" dxfId="1239" priority="1476"/>
    <cfRule type="duplicateValues" dxfId="1238" priority="1477"/>
  </conditionalFormatting>
  <conditionalFormatting sqref="L388">
    <cfRule type="duplicateValues" dxfId="1237" priority="1488"/>
    <cfRule type="duplicateValues" dxfId="1236" priority="1489"/>
  </conditionalFormatting>
  <conditionalFormatting sqref="L389">
    <cfRule type="duplicateValues" dxfId="1235" priority="1470"/>
    <cfRule type="duplicateValues" dxfId="1234" priority="1471"/>
  </conditionalFormatting>
  <conditionalFormatting sqref="L390">
    <cfRule type="duplicateValues" dxfId="1233" priority="1448"/>
    <cfRule type="duplicateValues" dxfId="1232" priority="1449"/>
  </conditionalFormatting>
  <conditionalFormatting sqref="L391">
    <cfRule type="duplicateValues" dxfId="1231" priority="1482"/>
    <cfRule type="duplicateValues" dxfId="1230" priority="1483"/>
  </conditionalFormatting>
  <conditionalFormatting sqref="L392">
    <cfRule type="duplicateValues" dxfId="1229" priority="1484"/>
    <cfRule type="duplicateValues" dxfId="1228" priority="1485"/>
  </conditionalFormatting>
  <conditionalFormatting sqref="L393">
    <cfRule type="duplicateValues" dxfId="1227" priority="1506"/>
    <cfRule type="duplicateValues" dxfId="1226" priority="1507"/>
  </conditionalFormatting>
  <conditionalFormatting sqref="L394">
    <cfRule type="duplicateValues" dxfId="1225" priority="1444"/>
    <cfRule type="duplicateValues" dxfId="1224" priority="1445"/>
  </conditionalFormatting>
  <conditionalFormatting sqref="L395">
    <cfRule type="duplicateValues" dxfId="1223" priority="1446"/>
    <cfRule type="duplicateValues" dxfId="1222" priority="1447"/>
  </conditionalFormatting>
  <conditionalFormatting sqref="L396">
    <cfRule type="duplicateValues" dxfId="1221" priority="1478"/>
    <cfRule type="duplicateValues" dxfId="1220" priority="1479"/>
  </conditionalFormatting>
  <conditionalFormatting sqref="L397">
    <cfRule type="duplicateValues" dxfId="1219" priority="1512"/>
    <cfRule type="duplicateValues" dxfId="1218" priority="1513"/>
  </conditionalFormatting>
  <conditionalFormatting sqref="L398">
    <cfRule type="duplicateValues" dxfId="1217" priority="1500"/>
    <cfRule type="duplicateValues" dxfId="1216" priority="1501"/>
  </conditionalFormatting>
  <conditionalFormatting sqref="L399">
    <cfRule type="duplicateValues" dxfId="1215" priority="1510"/>
    <cfRule type="duplicateValues" dxfId="1214" priority="1511"/>
  </conditionalFormatting>
  <conditionalFormatting sqref="L400">
    <cfRule type="duplicateValues" dxfId="1213" priority="1466"/>
    <cfRule type="duplicateValues" dxfId="1212" priority="1467"/>
  </conditionalFormatting>
  <conditionalFormatting sqref="L401">
    <cfRule type="duplicateValues" dxfId="1211" priority="1468"/>
    <cfRule type="duplicateValues" dxfId="1210" priority="1469"/>
  </conditionalFormatting>
  <conditionalFormatting sqref="L402">
    <cfRule type="duplicateValues" dxfId="1209" priority="1474"/>
    <cfRule type="duplicateValues" dxfId="1208" priority="1475"/>
  </conditionalFormatting>
  <conditionalFormatting sqref="L403">
    <cfRule type="duplicateValues" dxfId="1207" priority="1508"/>
    <cfRule type="duplicateValues" dxfId="1206" priority="1509"/>
  </conditionalFormatting>
  <conditionalFormatting sqref="L404">
    <cfRule type="duplicateValues" dxfId="1205" priority="1496"/>
    <cfRule type="duplicateValues" dxfId="1204" priority="1497"/>
  </conditionalFormatting>
  <conditionalFormatting sqref="L405">
    <cfRule type="duplicateValues" dxfId="1203" priority="1514"/>
    <cfRule type="duplicateValues" dxfId="1202" priority="1515"/>
  </conditionalFormatting>
  <conditionalFormatting sqref="L406">
    <cfRule type="duplicateValues" dxfId="1201" priority="1442"/>
    <cfRule type="duplicateValues" dxfId="1200" priority="1443"/>
  </conditionalFormatting>
  <conditionalFormatting sqref="L407">
    <cfRule type="duplicateValues" dxfId="1199" priority="1494"/>
    <cfRule type="duplicateValues" dxfId="1198" priority="1495"/>
  </conditionalFormatting>
  <conditionalFormatting sqref="L408:L410 L412:L418">
    <cfRule type="duplicateValues" dxfId="1197" priority="1516"/>
    <cfRule type="duplicateValues" dxfId="1196" priority="1517"/>
  </conditionalFormatting>
  <conditionalFormatting sqref="L411">
    <cfRule type="duplicateValues" dxfId="1195" priority="1498"/>
    <cfRule type="duplicateValues" dxfId="1194" priority="1499"/>
  </conditionalFormatting>
  <conditionalFormatting sqref="L419">
    <cfRule type="duplicateValues" dxfId="1193" priority="1464"/>
    <cfRule type="duplicateValues" dxfId="1192" priority="1465"/>
  </conditionalFormatting>
  <conditionalFormatting sqref="L420">
    <cfRule type="duplicateValues" dxfId="1191" priority="1492"/>
    <cfRule type="duplicateValues" dxfId="1190" priority="1493"/>
  </conditionalFormatting>
  <conditionalFormatting sqref="L421">
    <cfRule type="duplicateValues" dxfId="1189" priority="1428"/>
    <cfRule type="duplicateValues" dxfId="1188" priority="1429"/>
  </conditionalFormatting>
  <conditionalFormatting sqref="L422">
    <cfRule type="duplicateValues" dxfId="1187" priority="1416"/>
    <cfRule type="duplicateValues" dxfId="1186" priority="1417"/>
  </conditionalFormatting>
  <conditionalFormatting sqref="L423">
    <cfRule type="duplicateValues" dxfId="1185" priority="1398"/>
    <cfRule type="duplicateValues" dxfId="1184" priority="1399"/>
  </conditionalFormatting>
  <conditionalFormatting sqref="L424">
    <cfRule type="duplicateValues" dxfId="1183" priority="1426"/>
    <cfRule type="duplicateValues" dxfId="1182" priority="1427"/>
  </conditionalFormatting>
  <conditionalFormatting sqref="L425">
    <cfRule type="duplicateValues" dxfId="1181" priority="1386"/>
    <cfRule type="duplicateValues" dxfId="1180" priority="1387"/>
  </conditionalFormatting>
  <conditionalFormatting sqref="L426">
    <cfRule type="duplicateValues" dxfId="1179" priority="1364"/>
    <cfRule type="duplicateValues" dxfId="1178" priority="1365"/>
  </conditionalFormatting>
  <conditionalFormatting sqref="L427">
    <cfRule type="duplicateValues" dxfId="1177" priority="1384"/>
    <cfRule type="duplicateValues" dxfId="1176" priority="1385"/>
  </conditionalFormatting>
  <conditionalFormatting sqref="L428">
    <cfRule type="duplicateValues" dxfId="1175" priority="1382"/>
    <cfRule type="duplicateValues" dxfId="1174" priority="1383"/>
  </conditionalFormatting>
  <conditionalFormatting sqref="L429">
    <cfRule type="duplicateValues" dxfId="1173" priority="1380"/>
    <cfRule type="duplicateValues" dxfId="1172" priority="1381"/>
  </conditionalFormatting>
  <conditionalFormatting sqref="L430">
    <cfRule type="duplicateValues" dxfId="1171" priority="1412"/>
    <cfRule type="duplicateValues" dxfId="1170" priority="1413"/>
  </conditionalFormatting>
  <conditionalFormatting sqref="L431">
    <cfRule type="duplicateValues" dxfId="1169" priority="1378"/>
    <cfRule type="duplicateValues" dxfId="1168" priority="1379"/>
  </conditionalFormatting>
  <conditionalFormatting sqref="L432">
    <cfRule type="duplicateValues" dxfId="1167" priority="1376"/>
    <cfRule type="duplicateValues" dxfId="1166" priority="1377"/>
  </conditionalFormatting>
  <conditionalFormatting sqref="L433">
    <cfRule type="duplicateValues" dxfId="1165" priority="1406"/>
    <cfRule type="duplicateValues" dxfId="1164" priority="1407"/>
  </conditionalFormatting>
  <conditionalFormatting sqref="L434">
    <cfRule type="duplicateValues" dxfId="1163" priority="1402"/>
    <cfRule type="duplicateValues" dxfId="1162" priority="1403"/>
  </conditionalFormatting>
  <conditionalFormatting sqref="L435">
    <cfRule type="duplicateValues" dxfId="1161" priority="1414"/>
    <cfRule type="duplicateValues" dxfId="1160" priority="1415"/>
  </conditionalFormatting>
  <conditionalFormatting sqref="L436">
    <cfRule type="duplicateValues" dxfId="1159" priority="1357"/>
    <cfRule type="duplicateValues" dxfId="1158" priority="1358"/>
  </conditionalFormatting>
  <conditionalFormatting sqref="L437">
    <cfRule type="duplicateValues" dxfId="1157" priority="1355"/>
    <cfRule type="duplicateValues" dxfId="1156" priority="1356"/>
  </conditionalFormatting>
  <conditionalFormatting sqref="L438">
    <cfRule type="duplicateValues" dxfId="1155" priority="1408"/>
    <cfRule type="duplicateValues" dxfId="1154" priority="1409"/>
  </conditionalFormatting>
  <conditionalFormatting sqref="L439">
    <cfRule type="duplicateValues" dxfId="1153" priority="1410"/>
    <cfRule type="duplicateValues" dxfId="1152" priority="1411"/>
  </conditionalFormatting>
  <conditionalFormatting sqref="L440">
    <cfRule type="duplicateValues" dxfId="1151" priority="1430"/>
    <cfRule type="duplicateValues" dxfId="1150" priority="1431"/>
  </conditionalFormatting>
  <conditionalFormatting sqref="L441">
    <cfRule type="duplicateValues" dxfId="1149" priority="1372"/>
    <cfRule type="duplicateValues" dxfId="1148" priority="1373"/>
  </conditionalFormatting>
  <conditionalFormatting sqref="L442">
    <cfRule type="duplicateValues" dxfId="1147" priority="1374"/>
    <cfRule type="duplicateValues" dxfId="1146" priority="1375"/>
  </conditionalFormatting>
  <conditionalFormatting sqref="L443">
    <cfRule type="duplicateValues" dxfId="1145" priority="1404"/>
    <cfRule type="duplicateValues" dxfId="1144" priority="1405"/>
  </conditionalFormatting>
  <conditionalFormatting sqref="L444">
    <cfRule type="duplicateValues" dxfId="1143" priority="1436"/>
    <cfRule type="duplicateValues" dxfId="1142" priority="1437"/>
  </conditionalFormatting>
  <conditionalFormatting sqref="L445">
    <cfRule type="duplicateValues" dxfId="1141" priority="1424"/>
    <cfRule type="duplicateValues" dxfId="1140" priority="1425"/>
  </conditionalFormatting>
  <conditionalFormatting sqref="L446">
    <cfRule type="duplicateValues" dxfId="1139" priority="1434"/>
    <cfRule type="duplicateValues" dxfId="1138" priority="1435"/>
  </conditionalFormatting>
  <conditionalFormatting sqref="L447">
    <cfRule type="duplicateValues" dxfId="1137" priority="1394"/>
    <cfRule type="duplicateValues" dxfId="1136" priority="1395"/>
  </conditionalFormatting>
  <conditionalFormatting sqref="L448">
    <cfRule type="duplicateValues" dxfId="1135" priority="1396"/>
    <cfRule type="duplicateValues" dxfId="1134" priority="1397"/>
  </conditionalFormatting>
  <conditionalFormatting sqref="L449">
    <cfRule type="duplicateValues" dxfId="1133" priority="1400"/>
    <cfRule type="duplicateValues" dxfId="1132" priority="1401"/>
  </conditionalFormatting>
  <conditionalFormatting sqref="L450">
    <cfRule type="duplicateValues" dxfId="1131" priority="1432"/>
    <cfRule type="duplicateValues" dxfId="1130" priority="1433"/>
  </conditionalFormatting>
  <conditionalFormatting sqref="L451">
    <cfRule type="duplicateValues" dxfId="1129" priority="1422"/>
    <cfRule type="duplicateValues" dxfId="1128" priority="1423"/>
  </conditionalFormatting>
  <conditionalFormatting sqref="L452">
    <cfRule type="duplicateValues" dxfId="1127" priority="1438"/>
    <cfRule type="duplicateValues" dxfId="1126" priority="1439"/>
  </conditionalFormatting>
  <conditionalFormatting sqref="L453">
    <cfRule type="duplicateValues" dxfId="1125" priority="1370"/>
    <cfRule type="duplicateValues" dxfId="1124" priority="1371"/>
  </conditionalFormatting>
  <conditionalFormatting sqref="L454">
    <cfRule type="duplicateValues" dxfId="1123" priority="1420"/>
    <cfRule type="duplicateValues" dxfId="1122" priority="1421"/>
  </conditionalFormatting>
  <conditionalFormatting sqref="L455:L457 L459:L465">
    <cfRule type="duplicateValues" dxfId="1121" priority="1440"/>
    <cfRule type="duplicateValues" dxfId="1120" priority="1441"/>
  </conditionalFormatting>
  <conditionalFormatting sqref="L458">
    <cfRule type="duplicateValues" dxfId="1119" priority="1350"/>
    <cfRule type="duplicateValues" dxfId="1118" priority="1351"/>
  </conditionalFormatting>
  <conditionalFormatting sqref="L466">
    <cfRule type="duplicateValues" dxfId="1117" priority="1392"/>
    <cfRule type="duplicateValues" dxfId="1116" priority="1393"/>
  </conditionalFormatting>
  <conditionalFormatting sqref="L467">
    <cfRule type="duplicateValues" dxfId="1115" priority="1418"/>
    <cfRule type="duplicateValues" dxfId="1114" priority="1419"/>
  </conditionalFormatting>
  <conditionalFormatting sqref="L468">
    <cfRule type="duplicateValues" dxfId="1113" priority="1348"/>
    <cfRule type="duplicateValues" dxfId="1112" priority="1349"/>
  </conditionalFormatting>
  <conditionalFormatting sqref="L470">
    <cfRule type="duplicateValues" dxfId="1111" priority="1390"/>
    <cfRule type="duplicateValues" dxfId="1110" priority="1391"/>
  </conditionalFormatting>
  <conditionalFormatting sqref="L474">
    <cfRule type="duplicateValues" dxfId="1109" priority="1388"/>
    <cfRule type="duplicateValues" dxfId="1108" priority="1389"/>
  </conditionalFormatting>
  <conditionalFormatting sqref="L475">
    <cfRule type="duplicateValues" dxfId="1107" priority="1336"/>
    <cfRule type="duplicateValues" dxfId="1106" priority="1337"/>
  </conditionalFormatting>
  <conditionalFormatting sqref="L476">
    <cfRule type="duplicateValues" dxfId="1105" priority="1324"/>
    <cfRule type="duplicateValues" dxfId="1104" priority="1325"/>
  </conditionalFormatting>
  <conditionalFormatting sqref="L477">
    <cfRule type="duplicateValues" dxfId="1103" priority="1306"/>
    <cfRule type="duplicateValues" dxfId="1102" priority="1307"/>
  </conditionalFormatting>
  <conditionalFormatting sqref="L478">
    <cfRule type="duplicateValues" dxfId="1101" priority="1334"/>
    <cfRule type="duplicateValues" dxfId="1100" priority="1335"/>
  </conditionalFormatting>
  <conditionalFormatting sqref="L479">
    <cfRule type="duplicateValues" dxfId="1099" priority="1296"/>
    <cfRule type="duplicateValues" dxfId="1098" priority="1297"/>
  </conditionalFormatting>
  <conditionalFormatting sqref="L480">
    <cfRule type="duplicateValues" dxfId="1097" priority="1282"/>
    <cfRule type="duplicateValues" dxfId="1096" priority="1283"/>
  </conditionalFormatting>
  <conditionalFormatting sqref="L481">
    <cfRule type="duplicateValues" dxfId="1095" priority="1294"/>
    <cfRule type="duplicateValues" dxfId="1094" priority="1295"/>
  </conditionalFormatting>
  <conditionalFormatting sqref="L482">
    <cfRule type="duplicateValues" dxfId="1093" priority="1292"/>
    <cfRule type="duplicateValues" dxfId="1092" priority="1293"/>
  </conditionalFormatting>
  <conditionalFormatting sqref="L483">
    <cfRule type="duplicateValues" dxfId="1091" priority="1290"/>
    <cfRule type="duplicateValues" dxfId="1090" priority="1291"/>
  </conditionalFormatting>
  <conditionalFormatting sqref="L484">
    <cfRule type="duplicateValues" dxfId="1089" priority="1320"/>
    <cfRule type="duplicateValues" dxfId="1088" priority="1321"/>
  </conditionalFormatting>
  <conditionalFormatting sqref="L485">
    <cfRule type="duplicateValues" dxfId="1087" priority="1271"/>
    <cfRule type="duplicateValues" dxfId="1086" priority="1272"/>
  </conditionalFormatting>
  <conditionalFormatting sqref="L486">
    <cfRule type="duplicateValues" dxfId="1085" priority="1288"/>
    <cfRule type="duplicateValues" dxfId="1084" priority="1289"/>
  </conditionalFormatting>
  <conditionalFormatting sqref="L487">
    <cfRule type="duplicateValues" dxfId="1083" priority="1314"/>
    <cfRule type="duplicateValues" dxfId="1082" priority="1315"/>
  </conditionalFormatting>
  <conditionalFormatting sqref="L488">
    <cfRule type="duplicateValues" dxfId="1081" priority="1310"/>
    <cfRule type="duplicateValues" dxfId="1080" priority="1311"/>
  </conditionalFormatting>
  <conditionalFormatting sqref="L489">
    <cfRule type="duplicateValues" dxfId="1079" priority="1322"/>
    <cfRule type="duplicateValues" dxfId="1078" priority="1323"/>
  </conditionalFormatting>
  <conditionalFormatting sqref="L490">
    <cfRule type="duplicateValues" dxfId="1077" priority="1279"/>
    <cfRule type="duplicateValues" dxfId="1076" priority="1280"/>
  </conditionalFormatting>
  <conditionalFormatting sqref="L491">
    <cfRule type="duplicateValues" dxfId="1075" priority="1267"/>
    <cfRule type="duplicateValues" dxfId="1074" priority="1268"/>
  </conditionalFormatting>
  <conditionalFormatting sqref="L492">
    <cfRule type="duplicateValues" dxfId="1073" priority="1316"/>
    <cfRule type="duplicateValues" dxfId="1072" priority="1317"/>
  </conditionalFormatting>
  <conditionalFormatting sqref="L493">
    <cfRule type="duplicateValues" dxfId="1071" priority="1318"/>
    <cfRule type="duplicateValues" dxfId="1070" priority="1319"/>
  </conditionalFormatting>
  <conditionalFormatting sqref="L494">
    <cfRule type="duplicateValues" dxfId="1069" priority="1263"/>
    <cfRule type="duplicateValues" dxfId="1068" priority="1264"/>
  </conditionalFormatting>
  <conditionalFormatting sqref="L495">
    <cfRule type="duplicateValues" dxfId="1067" priority="1284"/>
    <cfRule type="duplicateValues" dxfId="1066" priority="1285"/>
  </conditionalFormatting>
  <conditionalFormatting sqref="L496">
    <cfRule type="duplicateValues" dxfId="1065" priority="1286"/>
    <cfRule type="duplicateValues" dxfId="1064" priority="1287"/>
  </conditionalFormatting>
  <conditionalFormatting sqref="L497">
    <cfRule type="duplicateValues" dxfId="1063" priority="1312"/>
    <cfRule type="duplicateValues" dxfId="1062" priority="1313"/>
  </conditionalFormatting>
  <conditionalFormatting sqref="L498">
    <cfRule type="duplicateValues" dxfId="1061" priority="1342"/>
    <cfRule type="duplicateValues" dxfId="1060" priority="1343"/>
  </conditionalFormatting>
  <conditionalFormatting sqref="L499">
    <cfRule type="duplicateValues" dxfId="1059" priority="1332"/>
    <cfRule type="duplicateValues" dxfId="1058" priority="1333"/>
  </conditionalFormatting>
  <conditionalFormatting sqref="L500">
    <cfRule type="duplicateValues" dxfId="1057" priority="1340"/>
    <cfRule type="duplicateValues" dxfId="1056" priority="1341"/>
  </conditionalFormatting>
  <conditionalFormatting sqref="L501">
    <cfRule type="duplicateValues" dxfId="1055" priority="1302"/>
    <cfRule type="duplicateValues" dxfId="1054" priority="1303"/>
  </conditionalFormatting>
  <conditionalFormatting sqref="L502">
    <cfRule type="duplicateValues" dxfId="1053" priority="1304"/>
    <cfRule type="duplicateValues" dxfId="1052" priority="1305"/>
  </conditionalFormatting>
  <conditionalFormatting sqref="L503">
    <cfRule type="duplicateValues" dxfId="1051" priority="1308"/>
    <cfRule type="duplicateValues" dxfId="1050" priority="1309"/>
  </conditionalFormatting>
  <conditionalFormatting sqref="L504">
    <cfRule type="duplicateValues" dxfId="1049" priority="1338"/>
    <cfRule type="duplicateValues" dxfId="1048" priority="1339"/>
  </conditionalFormatting>
  <conditionalFormatting sqref="L505">
    <cfRule type="duplicateValues" dxfId="1047" priority="1330"/>
    <cfRule type="duplicateValues" dxfId="1046" priority="1331"/>
  </conditionalFormatting>
  <conditionalFormatting sqref="L506">
    <cfRule type="duplicateValues" dxfId="1045" priority="1344"/>
    <cfRule type="duplicateValues" dxfId="1044" priority="1345"/>
  </conditionalFormatting>
  <conditionalFormatting sqref="L507">
    <cfRule type="duplicateValues" dxfId="1043" priority="1258"/>
    <cfRule type="duplicateValues" dxfId="1042" priority="1259"/>
  </conditionalFormatting>
  <conditionalFormatting sqref="L508">
    <cfRule type="duplicateValues" dxfId="1041" priority="1328"/>
    <cfRule type="duplicateValues" dxfId="1040" priority="1329"/>
  </conditionalFormatting>
  <conditionalFormatting sqref="L509:L510 L515:L519">
    <cfRule type="duplicateValues" dxfId="1039" priority="1346"/>
    <cfRule type="duplicateValues" dxfId="1038" priority="1347"/>
  </conditionalFormatting>
  <conditionalFormatting sqref="L511">
    <cfRule type="duplicateValues" dxfId="1037" priority="1256"/>
    <cfRule type="duplicateValues" dxfId="1036" priority="1257"/>
  </conditionalFormatting>
  <conditionalFormatting sqref="L512">
    <cfRule type="duplicateValues" dxfId="1035" priority="1277"/>
    <cfRule type="duplicateValues" dxfId="1034" priority="1278"/>
  </conditionalFormatting>
  <conditionalFormatting sqref="L513">
    <cfRule type="duplicateValues" dxfId="1033" priority="1254"/>
    <cfRule type="duplicateValues" dxfId="1032" priority="1255"/>
  </conditionalFormatting>
  <conditionalFormatting sqref="L514">
    <cfRule type="duplicateValues" dxfId="1031" priority="1252"/>
    <cfRule type="duplicateValues" dxfId="1030" priority="1253"/>
  </conditionalFormatting>
  <conditionalFormatting sqref="L520">
    <cfRule type="duplicateValues" dxfId="1029" priority="1300"/>
    <cfRule type="duplicateValues" dxfId="1028" priority="1301"/>
  </conditionalFormatting>
  <conditionalFormatting sqref="L521">
    <cfRule type="duplicateValues" dxfId="1027" priority="1326"/>
    <cfRule type="duplicateValues" dxfId="1026" priority="1327"/>
  </conditionalFormatting>
  <conditionalFormatting sqref="L522">
    <cfRule type="duplicateValues" dxfId="1025" priority="1275"/>
    <cfRule type="duplicateValues" dxfId="1024" priority="1276"/>
  </conditionalFormatting>
  <conditionalFormatting sqref="L524">
    <cfRule type="duplicateValues" dxfId="1023" priority="1298"/>
    <cfRule type="duplicateValues" dxfId="1022" priority="1299"/>
  </conditionalFormatting>
  <conditionalFormatting sqref="L526">
    <cfRule type="duplicateValues" dxfId="1021" priority="1234"/>
    <cfRule type="duplicateValues" dxfId="1020" priority="1235"/>
  </conditionalFormatting>
  <conditionalFormatting sqref="L527">
    <cfRule type="duplicateValues" dxfId="1019" priority="1224"/>
    <cfRule type="duplicateValues" dxfId="1018" priority="1225"/>
  </conditionalFormatting>
  <conditionalFormatting sqref="L528">
    <cfRule type="duplicateValues" dxfId="1017" priority="1206"/>
    <cfRule type="duplicateValues" dxfId="1016" priority="1207"/>
  </conditionalFormatting>
  <conditionalFormatting sqref="L529">
    <cfRule type="duplicateValues" dxfId="1015" priority="1232"/>
    <cfRule type="duplicateValues" dxfId="1014" priority="1233"/>
  </conditionalFormatting>
  <conditionalFormatting sqref="L530">
    <cfRule type="duplicateValues" dxfId="1013" priority="1200"/>
    <cfRule type="duplicateValues" dxfId="1012" priority="1201"/>
  </conditionalFormatting>
  <conditionalFormatting sqref="L531">
    <cfRule type="duplicateValues" dxfId="1011" priority="1186"/>
    <cfRule type="duplicateValues" dxfId="1010" priority="1187"/>
  </conditionalFormatting>
  <conditionalFormatting sqref="L532">
    <cfRule type="duplicateValues" dxfId="1009" priority="1198"/>
    <cfRule type="duplicateValues" dxfId="1008" priority="1199"/>
  </conditionalFormatting>
  <conditionalFormatting sqref="L533">
    <cfRule type="duplicateValues" dxfId="1007" priority="1196"/>
    <cfRule type="duplicateValues" dxfId="1006" priority="1197"/>
  </conditionalFormatting>
  <conditionalFormatting sqref="L534">
    <cfRule type="duplicateValues" dxfId="1005" priority="1194"/>
    <cfRule type="duplicateValues" dxfId="1004" priority="1195"/>
  </conditionalFormatting>
  <conditionalFormatting sqref="L535">
    <cfRule type="duplicateValues" dxfId="1003" priority="1220"/>
    <cfRule type="duplicateValues" dxfId="1002" priority="1221"/>
  </conditionalFormatting>
  <conditionalFormatting sqref="L536">
    <cfRule type="duplicateValues" dxfId="1001" priority="1180"/>
    <cfRule type="duplicateValues" dxfId="1000" priority="1181"/>
  </conditionalFormatting>
  <conditionalFormatting sqref="L537">
    <cfRule type="duplicateValues" dxfId="999" priority="1192"/>
    <cfRule type="duplicateValues" dxfId="998" priority="1193"/>
  </conditionalFormatting>
  <conditionalFormatting sqref="L538">
    <cfRule type="duplicateValues" dxfId="997" priority="1214"/>
    <cfRule type="duplicateValues" dxfId="996" priority="1215"/>
  </conditionalFormatting>
  <conditionalFormatting sqref="L539">
    <cfRule type="duplicateValues" dxfId="995" priority="1210"/>
    <cfRule type="duplicateValues" dxfId="994" priority="1211"/>
  </conditionalFormatting>
  <conditionalFormatting sqref="L540">
    <cfRule type="duplicateValues" dxfId="993" priority="1222"/>
    <cfRule type="duplicateValues" dxfId="992" priority="1223"/>
  </conditionalFormatting>
  <conditionalFormatting sqref="L541">
    <cfRule type="duplicateValues" dxfId="991" priority="1184"/>
    <cfRule type="duplicateValues" dxfId="990" priority="1185"/>
  </conditionalFormatting>
  <conditionalFormatting sqref="L542">
    <cfRule type="duplicateValues" dxfId="989" priority="1178"/>
    <cfRule type="duplicateValues" dxfId="988" priority="1179"/>
  </conditionalFormatting>
  <conditionalFormatting sqref="L543">
    <cfRule type="duplicateValues" dxfId="987" priority="1216"/>
    <cfRule type="duplicateValues" dxfId="986" priority="1217"/>
  </conditionalFormatting>
  <conditionalFormatting sqref="L544">
    <cfRule type="duplicateValues" dxfId="985" priority="1218"/>
    <cfRule type="duplicateValues" dxfId="984" priority="1219"/>
  </conditionalFormatting>
  <conditionalFormatting sqref="L545">
    <cfRule type="duplicateValues" dxfId="983" priority="1176"/>
    <cfRule type="duplicateValues" dxfId="982" priority="1177"/>
  </conditionalFormatting>
  <conditionalFormatting sqref="L546">
    <cfRule type="duplicateValues" dxfId="981" priority="1188"/>
    <cfRule type="duplicateValues" dxfId="980" priority="1189"/>
  </conditionalFormatting>
  <conditionalFormatting sqref="L547">
    <cfRule type="duplicateValues" dxfId="979" priority="1190"/>
    <cfRule type="duplicateValues" dxfId="978" priority="1191"/>
  </conditionalFormatting>
  <conditionalFormatting sqref="L548">
    <cfRule type="duplicateValues" dxfId="977" priority="1212"/>
    <cfRule type="duplicateValues" dxfId="976" priority="1213"/>
  </conditionalFormatting>
  <conditionalFormatting sqref="L549">
    <cfRule type="duplicateValues" dxfId="975" priority="1240"/>
    <cfRule type="duplicateValues" dxfId="974" priority="1241"/>
  </conditionalFormatting>
  <conditionalFormatting sqref="L550">
    <cfRule type="duplicateValues" dxfId="973" priority="1230"/>
    <cfRule type="duplicateValues" dxfId="972" priority="1231"/>
  </conditionalFormatting>
  <conditionalFormatting sqref="L551">
    <cfRule type="duplicateValues" dxfId="971" priority="1238"/>
    <cfRule type="duplicateValues" dxfId="970" priority="1239"/>
  </conditionalFormatting>
  <conditionalFormatting sqref="L552">
    <cfRule type="duplicateValues" dxfId="969" priority="1202"/>
    <cfRule type="duplicateValues" dxfId="968" priority="1203"/>
  </conditionalFormatting>
  <conditionalFormatting sqref="L553">
    <cfRule type="duplicateValues" dxfId="967" priority="1204"/>
    <cfRule type="duplicateValues" dxfId="966" priority="1205"/>
  </conditionalFormatting>
  <conditionalFormatting sqref="L554">
    <cfRule type="duplicateValues" dxfId="965" priority="1208"/>
    <cfRule type="duplicateValues" dxfId="964" priority="1209"/>
  </conditionalFormatting>
  <conditionalFormatting sqref="L555">
    <cfRule type="duplicateValues" dxfId="963" priority="1236"/>
    <cfRule type="duplicateValues" dxfId="962" priority="1237"/>
  </conditionalFormatting>
  <conditionalFormatting sqref="L556">
    <cfRule type="duplicateValues" dxfId="961" priority="1228"/>
    <cfRule type="duplicateValues" dxfId="960" priority="1229"/>
  </conditionalFormatting>
  <conditionalFormatting sqref="L557">
    <cfRule type="duplicateValues" dxfId="959" priority="1242"/>
    <cfRule type="duplicateValues" dxfId="958" priority="1243"/>
  </conditionalFormatting>
  <conditionalFormatting sqref="L558">
    <cfRule type="duplicateValues" dxfId="957" priority="1174"/>
    <cfRule type="duplicateValues" dxfId="956" priority="1175"/>
  </conditionalFormatting>
  <conditionalFormatting sqref="L559">
    <cfRule type="duplicateValues" dxfId="955" priority="1226"/>
    <cfRule type="duplicateValues" dxfId="954" priority="1227"/>
  </conditionalFormatting>
  <conditionalFormatting sqref="L560:L561">
    <cfRule type="duplicateValues" dxfId="953" priority="1244"/>
    <cfRule type="duplicateValues" dxfId="952" priority="1245"/>
  </conditionalFormatting>
  <conditionalFormatting sqref="L562">
    <cfRule type="duplicateValues" dxfId="951" priority="1172"/>
    <cfRule type="duplicateValues" dxfId="950" priority="1173"/>
  </conditionalFormatting>
  <conditionalFormatting sqref="L563">
    <cfRule type="duplicateValues" dxfId="949" priority="1182"/>
    <cfRule type="duplicateValues" dxfId="948" priority="1183"/>
  </conditionalFormatting>
  <conditionalFormatting sqref="L564">
    <cfRule type="duplicateValues" dxfId="947" priority="1170"/>
    <cfRule type="duplicateValues" dxfId="946" priority="1171"/>
  </conditionalFormatting>
  <conditionalFormatting sqref="L565">
    <cfRule type="duplicateValues" dxfId="945" priority="1028"/>
    <cfRule type="duplicateValues" dxfId="944" priority="1029"/>
  </conditionalFormatting>
  <conditionalFormatting sqref="L566">
    <cfRule type="duplicateValues" dxfId="943" priority="1078"/>
    <cfRule type="duplicateValues" dxfId="942" priority="1079"/>
  </conditionalFormatting>
  <conditionalFormatting sqref="L568">
    <cfRule type="duplicateValues" dxfId="941" priority="1076"/>
    <cfRule type="duplicateValues" dxfId="940" priority="1077"/>
  </conditionalFormatting>
  <conditionalFormatting sqref="L569">
    <cfRule type="duplicateValues" dxfId="939" priority="1058"/>
    <cfRule type="duplicateValues" dxfId="938" priority="1059"/>
  </conditionalFormatting>
  <conditionalFormatting sqref="L570">
    <cfRule type="duplicateValues" dxfId="937" priority="1048"/>
    <cfRule type="duplicateValues" dxfId="936" priority="1049"/>
  </conditionalFormatting>
  <conditionalFormatting sqref="L571">
    <cfRule type="duplicateValues" dxfId="935" priority="1056"/>
    <cfRule type="duplicateValues" dxfId="934" priority="1057"/>
  </conditionalFormatting>
  <conditionalFormatting sqref="L572">
    <cfRule type="duplicateValues" dxfId="933" priority="1054"/>
    <cfRule type="duplicateValues" dxfId="932" priority="1055"/>
  </conditionalFormatting>
  <conditionalFormatting sqref="L573">
    <cfRule type="duplicateValues" dxfId="931" priority="1026"/>
    <cfRule type="duplicateValues" dxfId="930" priority="1027"/>
  </conditionalFormatting>
  <conditionalFormatting sqref="L574">
    <cfRule type="duplicateValues" dxfId="929" priority="1066"/>
    <cfRule type="duplicateValues" dxfId="928" priority="1067"/>
  </conditionalFormatting>
  <conditionalFormatting sqref="L575">
    <cfRule type="duplicateValues" dxfId="927" priority="1040"/>
    <cfRule type="duplicateValues" dxfId="926" priority="1041"/>
  </conditionalFormatting>
  <conditionalFormatting sqref="L576">
    <cfRule type="duplicateValues" dxfId="925" priority="1024"/>
    <cfRule type="duplicateValues" dxfId="924" priority="1025"/>
  </conditionalFormatting>
  <conditionalFormatting sqref="L577">
    <cfRule type="duplicateValues" dxfId="923" priority="1022"/>
    <cfRule type="duplicateValues" dxfId="922" priority="1023"/>
  </conditionalFormatting>
  <conditionalFormatting sqref="L578">
    <cfRule type="duplicateValues" dxfId="921" priority="1020"/>
    <cfRule type="duplicateValues" dxfId="920" priority="1021"/>
  </conditionalFormatting>
  <conditionalFormatting sqref="L579">
    <cfRule type="duplicateValues" dxfId="919" priority="1068"/>
    <cfRule type="duplicateValues" dxfId="918" priority="1069"/>
  </conditionalFormatting>
  <conditionalFormatting sqref="L580">
    <cfRule type="duplicateValues" dxfId="917" priority="1046"/>
    <cfRule type="duplicateValues" dxfId="916" priority="1047"/>
  </conditionalFormatting>
  <conditionalFormatting sqref="L581">
    <cfRule type="duplicateValues" dxfId="915" priority="1018"/>
    <cfRule type="duplicateValues" dxfId="914" priority="1019"/>
  </conditionalFormatting>
  <conditionalFormatting sqref="L582">
    <cfRule type="duplicateValues" dxfId="913" priority="1016"/>
    <cfRule type="duplicateValues" dxfId="912" priority="1017"/>
  </conditionalFormatting>
  <conditionalFormatting sqref="L583">
    <cfRule type="duplicateValues" dxfId="911" priority="1064"/>
    <cfRule type="duplicateValues" dxfId="910" priority="1065"/>
  </conditionalFormatting>
  <conditionalFormatting sqref="L584">
    <cfRule type="duplicateValues" dxfId="909" priority="1038"/>
    <cfRule type="duplicateValues" dxfId="908" priority="1039"/>
  </conditionalFormatting>
  <conditionalFormatting sqref="L585">
    <cfRule type="duplicateValues" dxfId="907" priority="1050"/>
    <cfRule type="duplicateValues" dxfId="906" priority="1051"/>
  </conditionalFormatting>
  <conditionalFormatting sqref="L586">
    <cfRule type="duplicateValues" dxfId="905" priority="1052"/>
    <cfRule type="duplicateValues" dxfId="904" priority="1053"/>
  </conditionalFormatting>
  <conditionalFormatting sqref="L587">
    <cfRule type="duplicateValues" dxfId="903" priority="1062"/>
    <cfRule type="duplicateValues" dxfId="902" priority="1063"/>
  </conditionalFormatting>
  <conditionalFormatting sqref="L588">
    <cfRule type="duplicateValues" dxfId="901" priority="1082"/>
    <cfRule type="duplicateValues" dxfId="900" priority="1083"/>
  </conditionalFormatting>
  <conditionalFormatting sqref="L589">
    <cfRule type="duplicateValues" dxfId="899" priority="1074"/>
    <cfRule type="duplicateValues" dxfId="898" priority="1075"/>
  </conditionalFormatting>
  <conditionalFormatting sqref="L590">
    <cfRule type="duplicateValues" dxfId="897" priority="1080"/>
    <cfRule type="duplicateValues" dxfId="896" priority="1081"/>
  </conditionalFormatting>
  <conditionalFormatting sqref="L591">
    <cfRule type="duplicateValues" dxfId="895" priority="1013"/>
    <cfRule type="duplicateValues" dxfId="894" priority="1014"/>
  </conditionalFormatting>
  <conditionalFormatting sqref="L592">
    <cfRule type="duplicateValues" dxfId="893" priority="1011"/>
    <cfRule type="duplicateValues" dxfId="892" priority="1012"/>
  </conditionalFormatting>
  <conditionalFormatting sqref="L593">
    <cfRule type="duplicateValues" dxfId="891" priority="1009"/>
    <cfRule type="duplicateValues" dxfId="890" priority="1010"/>
  </conditionalFormatting>
  <conditionalFormatting sqref="L594">
    <cfRule type="duplicateValues" dxfId="889" priority="1007"/>
    <cfRule type="duplicateValues" dxfId="888" priority="1008"/>
  </conditionalFormatting>
  <conditionalFormatting sqref="L595">
    <cfRule type="duplicateValues" dxfId="887" priority="1072"/>
    <cfRule type="duplicateValues" dxfId="886" priority="1073"/>
  </conditionalFormatting>
  <conditionalFormatting sqref="L596">
    <cfRule type="duplicateValues" dxfId="885" priority="1084"/>
    <cfRule type="duplicateValues" dxfId="884" priority="1085"/>
  </conditionalFormatting>
  <conditionalFormatting sqref="L597">
    <cfRule type="duplicateValues" dxfId="883" priority="1036"/>
    <cfRule type="duplicateValues" dxfId="882" priority="1037"/>
  </conditionalFormatting>
  <conditionalFormatting sqref="L598">
    <cfRule type="duplicateValues" dxfId="881" priority="1070"/>
    <cfRule type="duplicateValues" dxfId="880" priority="1071"/>
  </conditionalFormatting>
  <conditionalFormatting sqref="L599:L600 L605:L609">
    <cfRule type="duplicateValues" dxfId="879" priority="1086"/>
    <cfRule type="duplicateValues" dxfId="878" priority="1087"/>
  </conditionalFormatting>
  <conditionalFormatting sqref="L601">
    <cfRule type="duplicateValues" dxfId="877" priority="1034"/>
    <cfRule type="duplicateValues" dxfId="876" priority="1035"/>
  </conditionalFormatting>
  <conditionalFormatting sqref="L602">
    <cfRule type="duplicateValues" dxfId="875" priority="1044"/>
    <cfRule type="duplicateValues" dxfId="874" priority="1045"/>
  </conditionalFormatting>
  <conditionalFormatting sqref="L603">
    <cfRule type="duplicateValues" dxfId="873" priority="1032"/>
    <cfRule type="duplicateValues" dxfId="872" priority="1033"/>
  </conditionalFormatting>
  <conditionalFormatting sqref="L604">
    <cfRule type="duplicateValues" dxfId="871" priority="1030"/>
    <cfRule type="duplicateValues" dxfId="870" priority="1031"/>
  </conditionalFormatting>
  <conditionalFormatting sqref="L610:L611">
    <cfRule type="duplicateValues" dxfId="869" priority="1060"/>
    <cfRule type="duplicateValues" dxfId="868" priority="1061"/>
  </conditionalFormatting>
  <conditionalFormatting sqref="L612">
    <cfRule type="duplicateValues" dxfId="867" priority="1042"/>
    <cfRule type="duplicateValues" dxfId="866" priority="1043"/>
  </conditionalFormatting>
  <conditionalFormatting sqref="L614">
    <cfRule type="duplicateValues" dxfId="865" priority="1005"/>
    <cfRule type="duplicateValues" dxfId="864" priority="1006"/>
  </conditionalFormatting>
  <conditionalFormatting sqref="L615">
    <cfRule type="duplicateValues" dxfId="863" priority="1003"/>
    <cfRule type="duplicateValues" dxfId="862" priority="1004"/>
  </conditionalFormatting>
  <conditionalFormatting sqref="L617">
    <cfRule type="duplicateValues" dxfId="861" priority="1000"/>
    <cfRule type="duplicateValues" dxfId="860" priority="1001"/>
  </conditionalFormatting>
  <conditionalFormatting sqref="L618">
    <cfRule type="duplicateValues" dxfId="859" priority="997"/>
    <cfRule type="duplicateValues" dxfId="858" priority="998"/>
  </conditionalFormatting>
  <conditionalFormatting sqref="L619">
    <cfRule type="duplicateValues" dxfId="857" priority="994"/>
    <cfRule type="duplicateValues" dxfId="856" priority="995"/>
  </conditionalFormatting>
  <conditionalFormatting sqref="L620">
    <cfRule type="duplicateValues" dxfId="855" priority="992"/>
    <cfRule type="duplicateValues" dxfId="854" priority="993"/>
  </conditionalFormatting>
  <conditionalFormatting sqref="L621">
    <cfRule type="duplicateValues" dxfId="853" priority="990"/>
    <cfRule type="duplicateValues" dxfId="852" priority="991"/>
  </conditionalFormatting>
  <conditionalFormatting sqref="L622">
    <cfRule type="duplicateValues" dxfId="851" priority="988"/>
    <cfRule type="duplicateValues" dxfId="850" priority="989"/>
  </conditionalFormatting>
  <conditionalFormatting sqref="L623">
    <cfRule type="duplicateValues" dxfId="849" priority="986"/>
    <cfRule type="duplicateValues" dxfId="848" priority="987"/>
  </conditionalFormatting>
  <conditionalFormatting sqref="L624">
    <cfRule type="duplicateValues" dxfId="847" priority="984"/>
    <cfRule type="duplicateValues" dxfId="846" priority="985"/>
  </conditionalFormatting>
  <conditionalFormatting sqref="L625">
    <cfRule type="duplicateValues" dxfId="845" priority="982"/>
    <cfRule type="duplicateValues" dxfId="844" priority="983"/>
  </conditionalFormatting>
  <conditionalFormatting sqref="L626">
    <cfRule type="duplicateValues" dxfId="843" priority="980"/>
    <cfRule type="duplicateValues" dxfId="842" priority="981"/>
  </conditionalFormatting>
  <conditionalFormatting sqref="L627">
    <cfRule type="duplicateValues" dxfId="841" priority="978"/>
    <cfRule type="duplicateValues" dxfId="840" priority="979"/>
  </conditionalFormatting>
  <conditionalFormatting sqref="L628">
    <cfRule type="duplicateValues" dxfId="839" priority="976"/>
    <cfRule type="duplicateValues" dxfId="838" priority="977"/>
  </conditionalFormatting>
  <conditionalFormatting sqref="L629">
    <cfRule type="duplicateValues" dxfId="837" priority="974"/>
    <cfRule type="duplicateValues" dxfId="836" priority="975"/>
  </conditionalFormatting>
  <conditionalFormatting sqref="L630">
    <cfRule type="duplicateValues" dxfId="835" priority="972"/>
    <cfRule type="duplicateValues" dxfId="834" priority="973"/>
  </conditionalFormatting>
  <conditionalFormatting sqref="L631">
    <cfRule type="duplicateValues" dxfId="833" priority="970"/>
    <cfRule type="duplicateValues" dxfId="832" priority="971"/>
  </conditionalFormatting>
  <conditionalFormatting sqref="L632">
    <cfRule type="duplicateValues" dxfId="831" priority="932"/>
    <cfRule type="duplicateValues" dxfId="830" priority="933"/>
  </conditionalFormatting>
  <conditionalFormatting sqref="L633">
    <cfRule type="duplicateValues" dxfId="829" priority="966"/>
    <cfRule type="duplicateValues" dxfId="828" priority="967"/>
  </conditionalFormatting>
  <conditionalFormatting sqref="L635">
    <cfRule type="duplicateValues" dxfId="827" priority="964"/>
    <cfRule type="duplicateValues" dxfId="826" priority="965"/>
  </conditionalFormatting>
  <conditionalFormatting sqref="L636">
    <cfRule type="duplicateValues" dxfId="825" priority="954"/>
    <cfRule type="duplicateValues" dxfId="824" priority="955"/>
  </conditionalFormatting>
  <conditionalFormatting sqref="L637">
    <cfRule type="duplicateValues" dxfId="823" priority="910"/>
    <cfRule type="duplicateValues" dxfId="822" priority="911"/>
  </conditionalFormatting>
  <conditionalFormatting sqref="L638">
    <cfRule type="duplicateValues" dxfId="821" priority="952"/>
    <cfRule type="duplicateValues" dxfId="820" priority="953"/>
  </conditionalFormatting>
  <conditionalFormatting sqref="L639">
    <cfRule type="duplicateValues" dxfId="819" priority="950"/>
    <cfRule type="duplicateValues" dxfId="818" priority="951"/>
  </conditionalFormatting>
  <conditionalFormatting sqref="L640">
    <cfRule type="duplicateValues" dxfId="817" priority="922"/>
    <cfRule type="duplicateValues" dxfId="816" priority="923"/>
  </conditionalFormatting>
  <conditionalFormatting sqref="L641">
    <cfRule type="duplicateValues" dxfId="815" priority="920"/>
    <cfRule type="duplicateValues" dxfId="814" priority="921"/>
  </conditionalFormatting>
  <conditionalFormatting sqref="L642">
    <cfRule type="duplicateValues" dxfId="813" priority="940"/>
    <cfRule type="duplicateValues" dxfId="812" priority="941"/>
  </conditionalFormatting>
  <conditionalFormatting sqref="L643">
    <cfRule type="duplicateValues" dxfId="811" priority="930"/>
    <cfRule type="duplicateValues" dxfId="810" priority="931"/>
  </conditionalFormatting>
  <conditionalFormatting sqref="L644">
    <cfRule type="duplicateValues" dxfId="809" priority="928"/>
    <cfRule type="duplicateValues" dxfId="808" priority="929"/>
  </conditionalFormatting>
  <conditionalFormatting sqref="L645">
    <cfRule type="duplicateValues" dxfId="807" priority="918"/>
    <cfRule type="duplicateValues" dxfId="806" priority="919"/>
  </conditionalFormatting>
  <conditionalFormatting sqref="L646">
    <cfRule type="duplicateValues" dxfId="805" priority="916"/>
    <cfRule type="duplicateValues" dxfId="804" priority="917"/>
  </conditionalFormatting>
  <conditionalFormatting sqref="L647">
    <cfRule type="duplicateValues" dxfId="803" priority="944"/>
    <cfRule type="duplicateValues" dxfId="802" priority="945"/>
  </conditionalFormatting>
  <conditionalFormatting sqref="L648">
    <cfRule type="duplicateValues" dxfId="801" priority="914"/>
    <cfRule type="duplicateValues" dxfId="800" priority="915"/>
  </conditionalFormatting>
  <conditionalFormatting sqref="L649">
    <cfRule type="duplicateValues" dxfId="799" priority="912"/>
    <cfRule type="duplicateValues" dxfId="798" priority="913"/>
  </conditionalFormatting>
  <conditionalFormatting sqref="L650">
    <cfRule type="duplicateValues" dxfId="797" priority="960"/>
    <cfRule type="duplicateValues" dxfId="796" priority="961"/>
  </conditionalFormatting>
  <conditionalFormatting sqref="L651">
    <cfRule type="duplicateValues" dxfId="795" priority="900"/>
    <cfRule type="duplicateValues" dxfId="794" priority="901"/>
  </conditionalFormatting>
  <conditionalFormatting sqref="L652">
    <cfRule type="duplicateValues" dxfId="793" priority="946"/>
    <cfRule type="duplicateValues" dxfId="792" priority="947"/>
  </conditionalFormatting>
  <conditionalFormatting sqref="L653">
    <cfRule type="duplicateValues" dxfId="791" priority="948"/>
    <cfRule type="duplicateValues" dxfId="790" priority="949"/>
  </conditionalFormatting>
  <conditionalFormatting sqref="L654">
    <cfRule type="duplicateValues" dxfId="789" priority="898"/>
    <cfRule type="duplicateValues" dxfId="788" priority="899"/>
  </conditionalFormatting>
  <conditionalFormatting sqref="L655">
    <cfRule type="duplicateValues" dxfId="787" priority="896"/>
    <cfRule type="duplicateValues" dxfId="786" priority="897"/>
  </conditionalFormatting>
  <conditionalFormatting sqref="L656">
    <cfRule type="duplicateValues" dxfId="785" priority="958"/>
    <cfRule type="duplicateValues" dxfId="784" priority="959"/>
  </conditionalFormatting>
  <conditionalFormatting sqref="L657">
    <cfRule type="duplicateValues" dxfId="783" priority="894"/>
    <cfRule type="duplicateValues" dxfId="782" priority="895"/>
  </conditionalFormatting>
  <conditionalFormatting sqref="L658">
    <cfRule type="duplicateValues" dxfId="781" priority="926"/>
    <cfRule type="duplicateValues" dxfId="780" priority="927"/>
  </conditionalFormatting>
  <conditionalFormatting sqref="L659">
    <cfRule type="duplicateValues" dxfId="779" priority="924"/>
    <cfRule type="duplicateValues" dxfId="778" priority="925"/>
  </conditionalFormatting>
  <conditionalFormatting sqref="L660">
    <cfRule type="duplicateValues" dxfId="777" priority="892"/>
    <cfRule type="duplicateValues" dxfId="776" priority="893"/>
  </conditionalFormatting>
  <conditionalFormatting sqref="L661">
    <cfRule type="duplicateValues" dxfId="775" priority="890"/>
    <cfRule type="duplicateValues" dxfId="774" priority="891"/>
  </conditionalFormatting>
  <conditionalFormatting sqref="L662">
    <cfRule type="duplicateValues" dxfId="773" priority="888"/>
    <cfRule type="duplicateValues" dxfId="772" priority="889"/>
  </conditionalFormatting>
  <conditionalFormatting sqref="L663">
    <cfRule type="duplicateValues" dxfId="771" priority="938"/>
    <cfRule type="duplicateValues" dxfId="770" priority="939"/>
  </conditionalFormatting>
  <conditionalFormatting sqref="L664">
    <cfRule type="duplicateValues" dxfId="769" priority="962"/>
    <cfRule type="duplicateValues" dxfId="768" priority="963"/>
  </conditionalFormatting>
  <conditionalFormatting sqref="L665:L666 L671:L675">
    <cfRule type="duplicateValues" dxfId="767" priority="968"/>
    <cfRule type="duplicateValues" dxfId="766" priority="969"/>
  </conditionalFormatting>
  <conditionalFormatting sqref="L667">
    <cfRule type="duplicateValues" dxfId="765" priority="936"/>
    <cfRule type="duplicateValues" dxfId="764" priority="937"/>
  </conditionalFormatting>
  <conditionalFormatting sqref="L668">
    <cfRule type="duplicateValues" dxfId="763" priority="942"/>
    <cfRule type="duplicateValues" dxfId="762" priority="943"/>
  </conditionalFormatting>
  <conditionalFormatting sqref="L669">
    <cfRule type="duplicateValues" dxfId="761" priority="886"/>
    <cfRule type="duplicateValues" dxfId="760" priority="887"/>
  </conditionalFormatting>
  <conditionalFormatting sqref="L670">
    <cfRule type="duplicateValues" dxfId="759" priority="934"/>
    <cfRule type="duplicateValues" dxfId="758" priority="935"/>
  </conditionalFormatting>
  <conditionalFormatting sqref="L676:L677">
    <cfRule type="duplicateValues" dxfId="757" priority="956"/>
    <cfRule type="duplicateValues" dxfId="756" priority="957"/>
  </conditionalFormatting>
  <conditionalFormatting sqref="L678">
    <cfRule type="duplicateValues" dxfId="755" priority="856"/>
    <cfRule type="duplicateValues" dxfId="754" priority="857"/>
  </conditionalFormatting>
  <conditionalFormatting sqref="L679">
    <cfRule type="duplicateValues" dxfId="753" priority="882"/>
    <cfRule type="duplicateValues" dxfId="752" priority="883"/>
  </conditionalFormatting>
  <conditionalFormatting sqref="L680">
    <cfRule type="duplicateValues" dxfId="751" priority="820"/>
    <cfRule type="duplicateValues" dxfId="750" priority="821"/>
  </conditionalFormatting>
  <conditionalFormatting sqref="L681">
    <cfRule type="duplicateValues" dxfId="749" priority="880"/>
    <cfRule type="duplicateValues" dxfId="748" priority="881"/>
  </conditionalFormatting>
  <conditionalFormatting sqref="L682">
    <cfRule type="duplicateValues" dxfId="747" priority="874"/>
    <cfRule type="duplicateValues" dxfId="746" priority="875"/>
  </conditionalFormatting>
  <conditionalFormatting sqref="L683">
    <cfRule type="duplicateValues" dxfId="745" priority="836"/>
    <cfRule type="duplicateValues" dxfId="744" priority="837"/>
  </conditionalFormatting>
  <conditionalFormatting sqref="L684">
    <cfRule type="duplicateValues" dxfId="743" priority="872"/>
    <cfRule type="duplicateValues" dxfId="742" priority="873"/>
  </conditionalFormatting>
  <conditionalFormatting sqref="L685">
    <cfRule type="duplicateValues" dxfId="741" priority="870"/>
    <cfRule type="duplicateValues" dxfId="740" priority="871"/>
  </conditionalFormatting>
  <conditionalFormatting sqref="L686">
    <cfRule type="duplicateValues" dxfId="739" priority="846"/>
    <cfRule type="duplicateValues" dxfId="738" priority="847"/>
  </conditionalFormatting>
  <conditionalFormatting sqref="L687">
    <cfRule type="duplicateValues" dxfId="737" priority="844"/>
    <cfRule type="duplicateValues" dxfId="736" priority="845"/>
  </conditionalFormatting>
  <conditionalFormatting sqref="L688">
    <cfRule type="duplicateValues" dxfId="735" priority="864"/>
    <cfRule type="duplicateValues" dxfId="734" priority="865"/>
  </conditionalFormatting>
  <conditionalFormatting sqref="L689">
    <cfRule type="duplicateValues" dxfId="733" priority="854"/>
    <cfRule type="duplicateValues" dxfId="732" priority="855"/>
  </conditionalFormatting>
  <conditionalFormatting sqref="L690">
    <cfRule type="duplicateValues" dxfId="731" priority="852"/>
    <cfRule type="duplicateValues" dxfId="730" priority="853"/>
  </conditionalFormatting>
  <conditionalFormatting sqref="L691">
    <cfRule type="duplicateValues" dxfId="729" priority="842"/>
    <cfRule type="duplicateValues" dxfId="728" priority="843"/>
  </conditionalFormatting>
  <conditionalFormatting sqref="L692">
    <cfRule type="duplicateValues" dxfId="727" priority="840"/>
    <cfRule type="duplicateValues" dxfId="726" priority="841"/>
  </conditionalFormatting>
  <conditionalFormatting sqref="L693">
    <cfRule type="duplicateValues" dxfId="725" priority="868"/>
    <cfRule type="duplicateValues" dxfId="724" priority="869"/>
  </conditionalFormatting>
  <conditionalFormatting sqref="L694">
    <cfRule type="duplicateValues" dxfId="723" priority="838"/>
    <cfRule type="duplicateValues" dxfId="722" priority="839"/>
  </conditionalFormatting>
  <conditionalFormatting sqref="L695">
    <cfRule type="duplicateValues" dxfId="721" priority="818"/>
    <cfRule type="duplicateValues" dxfId="720" priority="819"/>
  </conditionalFormatting>
  <conditionalFormatting sqref="L696">
    <cfRule type="duplicateValues" dxfId="719" priority="816"/>
    <cfRule type="duplicateValues" dxfId="718" priority="817"/>
  </conditionalFormatting>
  <conditionalFormatting sqref="L697">
    <cfRule type="duplicateValues" dxfId="717" priority="834"/>
    <cfRule type="duplicateValues" dxfId="716" priority="835"/>
  </conditionalFormatting>
  <conditionalFormatting sqref="L698">
    <cfRule type="duplicateValues" dxfId="715" priority="814"/>
    <cfRule type="duplicateValues" dxfId="714" priority="815"/>
  </conditionalFormatting>
  <conditionalFormatting sqref="L699">
    <cfRule type="duplicateValues" dxfId="713" priority="812"/>
    <cfRule type="duplicateValues" dxfId="712" priority="813"/>
  </conditionalFormatting>
  <conditionalFormatting sqref="L700">
    <cfRule type="duplicateValues" dxfId="711" priority="810"/>
    <cfRule type="duplicateValues" dxfId="710" priority="811"/>
  </conditionalFormatting>
  <conditionalFormatting sqref="L701">
    <cfRule type="duplicateValues" dxfId="709" priority="832"/>
    <cfRule type="duplicateValues" dxfId="708" priority="833"/>
  </conditionalFormatting>
  <conditionalFormatting sqref="L702">
    <cfRule type="duplicateValues" dxfId="707" priority="876"/>
    <cfRule type="duplicateValues" dxfId="706" priority="877"/>
  </conditionalFormatting>
  <conditionalFormatting sqref="L703">
    <cfRule type="duplicateValues" dxfId="705" priority="830"/>
    <cfRule type="duplicateValues" dxfId="704" priority="831"/>
  </conditionalFormatting>
  <conditionalFormatting sqref="L704">
    <cfRule type="duplicateValues" dxfId="703" priority="850"/>
    <cfRule type="duplicateValues" dxfId="702" priority="851"/>
  </conditionalFormatting>
  <conditionalFormatting sqref="L705">
    <cfRule type="duplicateValues" dxfId="701" priority="848"/>
    <cfRule type="duplicateValues" dxfId="700" priority="849"/>
  </conditionalFormatting>
  <conditionalFormatting sqref="L706">
    <cfRule type="duplicateValues" dxfId="699" priority="828"/>
    <cfRule type="duplicateValues" dxfId="698" priority="829"/>
  </conditionalFormatting>
  <conditionalFormatting sqref="L707">
    <cfRule type="duplicateValues" dxfId="697" priority="826"/>
    <cfRule type="duplicateValues" dxfId="696" priority="827"/>
  </conditionalFormatting>
  <conditionalFormatting sqref="L708">
    <cfRule type="duplicateValues" dxfId="695" priority="824"/>
    <cfRule type="duplicateValues" dxfId="694" priority="825"/>
  </conditionalFormatting>
  <conditionalFormatting sqref="L709">
    <cfRule type="duplicateValues" dxfId="693" priority="862"/>
    <cfRule type="duplicateValues" dxfId="692" priority="863"/>
  </conditionalFormatting>
  <conditionalFormatting sqref="L710">
    <cfRule type="duplicateValues" dxfId="691" priority="878"/>
    <cfRule type="duplicateValues" dxfId="690" priority="879"/>
  </conditionalFormatting>
  <conditionalFormatting sqref="L711:L712">
    <cfRule type="duplicateValues" dxfId="689" priority="884"/>
    <cfRule type="duplicateValues" dxfId="688" priority="885"/>
  </conditionalFormatting>
  <conditionalFormatting sqref="L713">
    <cfRule type="duplicateValues" dxfId="687" priority="860"/>
    <cfRule type="duplicateValues" dxfId="686" priority="861"/>
  </conditionalFormatting>
  <conditionalFormatting sqref="L714">
    <cfRule type="duplicateValues" dxfId="685" priority="866"/>
    <cfRule type="duplicateValues" dxfId="684" priority="867"/>
  </conditionalFormatting>
  <conditionalFormatting sqref="L715">
    <cfRule type="duplicateValues" dxfId="683" priority="822"/>
    <cfRule type="duplicateValues" dxfId="682" priority="823"/>
  </conditionalFormatting>
  <conditionalFormatting sqref="L716">
    <cfRule type="duplicateValues" dxfId="681" priority="858"/>
    <cfRule type="duplicateValues" dxfId="680" priority="859"/>
  </conditionalFormatting>
  <conditionalFormatting sqref="L717">
    <cfRule type="duplicateValues" dxfId="679" priority="806"/>
    <cfRule type="duplicateValues" dxfId="678" priority="807"/>
  </conditionalFormatting>
  <conditionalFormatting sqref="L718">
    <cfRule type="duplicateValues" dxfId="677" priority="802"/>
    <cfRule type="duplicateValues" dxfId="676" priority="803"/>
  </conditionalFormatting>
  <conditionalFormatting sqref="L719">
    <cfRule type="duplicateValues" dxfId="675" priority="804"/>
    <cfRule type="duplicateValues" dxfId="674" priority="805"/>
  </conditionalFormatting>
  <conditionalFormatting sqref="L720">
    <cfRule type="duplicateValues" dxfId="673" priority="808"/>
    <cfRule type="duplicateValues" dxfId="672" priority="809"/>
  </conditionalFormatting>
  <conditionalFormatting sqref="L722">
    <cfRule type="duplicateValues" dxfId="671" priority="776"/>
    <cfRule type="duplicateValues" dxfId="670" priority="777"/>
  </conditionalFormatting>
  <conditionalFormatting sqref="L723">
    <cfRule type="duplicateValues" dxfId="669" priority="740"/>
    <cfRule type="duplicateValues" dxfId="668" priority="741"/>
  </conditionalFormatting>
  <conditionalFormatting sqref="L724">
    <cfRule type="duplicateValues" dxfId="667" priority="798"/>
    <cfRule type="duplicateValues" dxfId="666" priority="799"/>
  </conditionalFormatting>
  <conditionalFormatting sqref="L725">
    <cfRule type="duplicateValues" dxfId="665" priority="794"/>
    <cfRule type="duplicateValues" dxfId="664" priority="795"/>
  </conditionalFormatting>
  <conditionalFormatting sqref="L726">
    <cfRule type="duplicateValues" dxfId="663" priority="756"/>
    <cfRule type="duplicateValues" dxfId="662" priority="757"/>
  </conditionalFormatting>
  <conditionalFormatting sqref="L727">
    <cfRule type="duplicateValues" dxfId="661" priority="792"/>
    <cfRule type="duplicateValues" dxfId="660" priority="793"/>
  </conditionalFormatting>
  <conditionalFormatting sqref="L728">
    <cfRule type="duplicateValues" dxfId="659" priority="790"/>
    <cfRule type="duplicateValues" dxfId="658" priority="791"/>
  </conditionalFormatting>
  <conditionalFormatting sqref="L729">
    <cfRule type="duplicateValues" dxfId="657" priority="766"/>
    <cfRule type="duplicateValues" dxfId="656" priority="767"/>
  </conditionalFormatting>
  <conditionalFormatting sqref="L730">
    <cfRule type="duplicateValues" dxfId="655" priority="764"/>
    <cfRule type="duplicateValues" dxfId="654" priority="765"/>
  </conditionalFormatting>
  <conditionalFormatting sqref="L731">
    <cfRule type="duplicateValues" dxfId="653" priority="784"/>
    <cfRule type="duplicateValues" dxfId="652" priority="785"/>
  </conditionalFormatting>
  <conditionalFormatting sqref="L732">
    <cfRule type="duplicateValues" dxfId="651" priority="774"/>
    <cfRule type="duplicateValues" dxfId="650" priority="775"/>
  </conditionalFormatting>
  <conditionalFormatting sqref="L733">
    <cfRule type="duplicateValues" dxfId="649" priority="772"/>
    <cfRule type="duplicateValues" dxfId="648" priority="773"/>
  </conditionalFormatting>
  <conditionalFormatting sqref="L734">
    <cfRule type="duplicateValues" dxfId="647" priority="762"/>
    <cfRule type="duplicateValues" dxfId="646" priority="763"/>
  </conditionalFormatting>
  <conditionalFormatting sqref="L735">
    <cfRule type="duplicateValues" dxfId="645" priority="760"/>
    <cfRule type="duplicateValues" dxfId="644" priority="761"/>
  </conditionalFormatting>
  <conditionalFormatting sqref="L736">
    <cfRule type="duplicateValues" dxfId="643" priority="788"/>
    <cfRule type="duplicateValues" dxfId="642" priority="789"/>
  </conditionalFormatting>
  <conditionalFormatting sqref="L737">
    <cfRule type="duplicateValues" dxfId="641" priority="758"/>
    <cfRule type="duplicateValues" dxfId="640" priority="759"/>
  </conditionalFormatting>
  <conditionalFormatting sqref="L738">
    <cfRule type="duplicateValues" dxfId="639" priority="738"/>
    <cfRule type="duplicateValues" dxfId="638" priority="739"/>
  </conditionalFormatting>
  <conditionalFormatting sqref="L739">
    <cfRule type="duplicateValues" dxfId="637" priority="736"/>
    <cfRule type="duplicateValues" dxfId="636" priority="737"/>
  </conditionalFormatting>
  <conditionalFormatting sqref="L740">
    <cfRule type="duplicateValues" dxfId="635" priority="754"/>
    <cfRule type="duplicateValues" dxfId="634" priority="755"/>
  </conditionalFormatting>
  <conditionalFormatting sqref="L741">
    <cfRule type="duplicateValues" dxfId="633" priority="734"/>
    <cfRule type="duplicateValues" dxfId="632" priority="735"/>
  </conditionalFormatting>
  <conditionalFormatting sqref="L742">
    <cfRule type="duplicateValues" dxfId="631" priority="732"/>
    <cfRule type="duplicateValues" dxfId="630" priority="733"/>
  </conditionalFormatting>
  <conditionalFormatting sqref="L743">
    <cfRule type="duplicateValues" dxfId="629" priority="730"/>
    <cfRule type="duplicateValues" dxfId="628" priority="731"/>
  </conditionalFormatting>
  <conditionalFormatting sqref="L744">
    <cfRule type="duplicateValues" dxfId="627" priority="752"/>
    <cfRule type="duplicateValues" dxfId="626" priority="753"/>
  </conditionalFormatting>
  <conditionalFormatting sqref="L745">
    <cfRule type="duplicateValues" dxfId="625" priority="796"/>
    <cfRule type="duplicateValues" dxfId="624" priority="797"/>
  </conditionalFormatting>
  <conditionalFormatting sqref="L746">
    <cfRule type="duplicateValues" dxfId="623" priority="750"/>
    <cfRule type="duplicateValues" dxfId="622" priority="751"/>
  </conditionalFormatting>
  <conditionalFormatting sqref="L747">
    <cfRule type="duplicateValues" dxfId="621" priority="770"/>
    <cfRule type="duplicateValues" dxfId="620" priority="771"/>
  </conditionalFormatting>
  <conditionalFormatting sqref="L748">
    <cfRule type="duplicateValues" dxfId="619" priority="768"/>
    <cfRule type="duplicateValues" dxfId="618" priority="769"/>
  </conditionalFormatting>
  <conditionalFormatting sqref="L749">
    <cfRule type="duplicateValues" dxfId="617" priority="748"/>
    <cfRule type="duplicateValues" dxfId="616" priority="749"/>
  </conditionalFormatting>
  <conditionalFormatting sqref="L750">
    <cfRule type="duplicateValues" dxfId="615" priority="746"/>
    <cfRule type="duplicateValues" dxfId="614" priority="747"/>
  </conditionalFormatting>
  <conditionalFormatting sqref="L751">
    <cfRule type="duplicateValues" dxfId="613" priority="744"/>
    <cfRule type="duplicateValues" dxfId="612" priority="745"/>
  </conditionalFormatting>
  <conditionalFormatting sqref="L752">
    <cfRule type="duplicateValues" dxfId="611" priority="782"/>
    <cfRule type="duplicateValues" dxfId="610" priority="783"/>
  </conditionalFormatting>
  <conditionalFormatting sqref="L753">
    <cfRule type="duplicateValues" dxfId="609" priority="716"/>
    <cfRule type="duplicateValues" dxfId="608" priority="717"/>
  </conditionalFormatting>
  <conditionalFormatting sqref="L754:L755">
    <cfRule type="duplicateValues" dxfId="607" priority="800"/>
    <cfRule type="duplicateValues" dxfId="606" priority="801"/>
  </conditionalFormatting>
  <conditionalFormatting sqref="L756">
    <cfRule type="duplicateValues" dxfId="605" priority="780"/>
    <cfRule type="duplicateValues" dxfId="604" priority="781"/>
  </conditionalFormatting>
  <conditionalFormatting sqref="L757">
    <cfRule type="duplicateValues" dxfId="603" priority="786"/>
    <cfRule type="duplicateValues" dxfId="602" priority="787"/>
  </conditionalFormatting>
  <conditionalFormatting sqref="L758">
    <cfRule type="duplicateValues" dxfId="601" priority="742"/>
    <cfRule type="duplicateValues" dxfId="600" priority="743"/>
  </conditionalFormatting>
  <conditionalFormatting sqref="L759">
    <cfRule type="duplicateValues" dxfId="599" priority="778"/>
    <cfRule type="duplicateValues" dxfId="598" priority="779"/>
  </conditionalFormatting>
  <conditionalFormatting sqref="L760">
    <cfRule type="duplicateValues" dxfId="597" priority="652"/>
    <cfRule type="duplicateValues" dxfId="596" priority="653"/>
  </conditionalFormatting>
  <conditionalFormatting sqref="L761">
    <cfRule type="duplicateValues" dxfId="595" priority="696"/>
    <cfRule type="duplicateValues" dxfId="594" priority="697"/>
  </conditionalFormatting>
  <conditionalFormatting sqref="L762">
    <cfRule type="duplicateValues" dxfId="593" priority="668"/>
    <cfRule type="duplicateValues" dxfId="592" priority="669"/>
  </conditionalFormatting>
  <conditionalFormatting sqref="L763">
    <cfRule type="duplicateValues" dxfId="591" priority="712"/>
    <cfRule type="duplicateValues" dxfId="590" priority="713"/>
  </conditionalFormatting>
  <conditionalFormatting sqref="L764">
    <cfRule type="duplicateValues" dxfId="589" priority="708"/>
    <cfRule type="duplicateValues" dxfId="588" priority="709"/>
  </conditionalFormatting>
  <conditionalFormatting sqref="L765">
    <cfRule type="duplicateValues" dxfId="587" priority="680"/>
    <cfRule type="duplicateValues" dxfId="586" priority="681"/>
  </conditionalFormatting>
  <conditionalFormatting sqref="L766">
    <cfRule type="duplicateValues" dxfId="585" priority="706"/>
    <cfRule type="duplicateValues" dxfId="584" priority="707"/>
  </conditionalFormatting>
  <conditionalFormatting sqref="L767">
    <cfRule type="duplicateValues" dxfId="583" priority="704"/>
    <cfRule type="duplicateValues" dxfId="582" priority="705"/>
  </conditionalFormatting>
  <conditionalFormatting sqref="L768">
    <cfRule type="duplicateValues" dxfId="581" priority="686"/>
    <cfRule type="duplicateValues" dxfId="580" priority="687"/>
  </conditionalFormatting>
  <conditionalFormatting sqref="L769">
    <cfRule type="duplicateValues" dxfId="579" priority="646"/>
    <cfRule type="duplicateValues" dxfId="578" priority="647"/>
  </conditionalFormatting>
  <conditionalFormatting sqref="L770">
    <cfRule type="duplicateValues" dxfId="577" priority="644"/>
    <cfRule type="duplicateValues" dxfId="576" priority="645"/>
  </conditionalFormatting>
  <conditionalFormatting sqref="L771">
    <cfRule type="duplicateValues" dxfId="575" priority="694"/>
    <cfRule type="duplicateValues" dxfId="574" priority="695"/>
  </conditionalFormatting>
  <conditionalFormatting sqref="L772">
    <cfRule type="duplicateValues" dxfId="573" priority="692"/>
    <cfRule type="duplicateValues" dxfId="572" priority="693"/>
  </conditionalFormatting>
  <conditionalFormatting sqref="L773:L774">
    <cfRule type="duplicateValues" dxfId="571" priority="636"/>
    <cfRule type="duplicateValues" dxfId="570" priority="637"/>
  </conditionalFormatting>
  <conditionalFormatting sqref="L775">
    <cfRule type="duplicateValues" dxfId="569" priority="684"/>
    <cfRule type="duplicateValues" dxfId="568" priority="685"/>
  </conditionalFormatting>
  <conditionalFormatting sqref="L776">
    <cfRule type="duplicateValues" dxfId="567" priority="702"/>
    <cfRule type="duplicateValues" dxfId="566" priority="703"/>
  </conditionalFormatting>
  <conditionalFormatting sqref="L777">
    <cfRule type="duplicateValues" dxfId="565" priority="682"/>
    <cfRule type="duplicateValues" dxfId="564" priority="683"/>
  </conditionalFormatting>
  <conditionalFormatting sqref="L778">
    <cfRule type="duplicateValues" dxfId="563" priority="666"/>
    <cfRule type="duplicateValues" dxfId="562" priority="667"/>
  </conditionalFormatting>
  <conditionalFormatting sqref="L779">
    <cfRule type="duplicateValues" dxfId="561" priority="664"/>
    <cfRule type="duplicateValues" dxfId="560" priority="665"/>
  </conditionalFormatting>
  <conditionalFormatting sqref="L780">
    <cfRule type="duplicateValues" dxfId="559" priority="678"/>
    <cfRule type="duplicateValues" dxfId="558" priority="679"/>
  </conditionalFormatting>
  <conditionalFormatting sqref="L781">
    <cfRule type="duplicateValues" dxfId="557" priority="662"/>
    <cfRule type="duplicateValues" dxfId="556" priority="663"/>
  </conditionalFormatting>
  <conditionalFormatting sqref="L782">
    <cfRule type="duplicateValues" dxfId="555" priority="660"/>
    <cfRule type="duplicateValues" dxfId="554" priority="661"/>
  </conditionalFormatting>
  <conditionalFormatting sqref="L783">
    <cfRule type="duplicateValues" dxfId="553" priority="658"/>
    <cfRule type="duplicateValues" dxfId="552" priority="659"/>
  </conditionalFormatting>
  <conditionalFormatting sqref="L784">
    <cfRule type="duplicateValues" dxfId="551" priority="676"/>
    <cfRule type="duplicateValues" dxfId="550" priority="677"/>
  </conditionalFormatting>
  <conditionalFormatting sqref="L785">
    <cfRule type="duplicateValues" dxfId="549" priority="710"/>
    <cfRule type="duplicateValues" dxfId="548" priority="711"/>
  </conditionalFormatting>
  <conditionalFormatting sqref="L786">
    <cfRule type="duplicateValues" dxfId="547" priority="632"/>
    <cfRule type="duplicateValues" dxfId="546" priority="633"/>
  </conditionalFormatting>
  <conditionalFormatting sqref="L787">
    <cfRule type="duplicateValues" dxfId="545" priority="690"/>
    <cfRule type="duplicateValues" dxfId="544" priority="691"/>
  </conditionalFormatting>
  <conditionalFormatting sqref="L788">
    <cfRule type="duplicateValues" dxfId="543" priority="688"/>
    <cfRule type="duplicateValues" dxfId="542" priority="689"/>
  </conditionalFormatting>
  <conditionalFormatting sqref="L789">
    <cfRule type="duplicateValues" dxfId="541" priority="674"/>
    <cfRule type="duplicateValues" dxfId="540" priority="675"/>
  </conditionalFormatting>
  <conditionalFormatting sqref="L790">
    <cfRule type="duplicateValues" dxfId="539" priority="672"/>
    <cfRule type="duplicateValues" dxfId="538" priority="673"/>
  </conditionalFormatting>
  <conditionalFormatting sqref="L791">
    <cfRule type="duplicateValues" dxfId="537" priority="670"/>
    <cfRule type="duplicateValues" dxfId="536" priority="671"/>
  </conditionalFormatting>
  <conditionalFormatting sqref="L792">
    <cfRule type="duplicateValues" dxfId="535" priority="700"/>
    <cfRule type="duplicateValues" dxfId="534" priority="701"/>
  </conditionalFormatting>
  <conditionalFormatting sqref="L793">
    <cfRule type="duplicateValues" dxfId="533" priority="656"/>
    <cfRule type="duplicateValues" dxfId="532" priority="657"/>
  </conditionalFormatting>
  <conditionalFormatting sqref="L794:L795">
    <cfRule type="duplicateValues" dxfId="531" priority="714"/>
    <cfRule type="duplicateValues" dxfId="530" priority="715"/>
  </conditionalFormatting>
  <conditionalFormatting sqref="L796">
    <cfRule type="duplicateValues" dxfId="529" priority="698"/>
    <cfRule type="duplicateValues" dxfId="528" priority="699"/>
  </conditionalFormatting>
  <conditionalFormatting sqref="L797">
    <cfRule type="duplicateValues" dxfId="527" priority="573"/>
    <cfRule type="duplicateValues" dxfId="526" priority="574"/>
  </conditionalFormatting>
  <conditionalFormatting sqref="L798">
    <cfRule type="duplicateValues" dxfId="525" priority="609"/>
    <cfRule type="duplicateValues" dxfId="524" priority="610"/>
  </conditionalFormatting>
  <conditionalFormatting sqref="L799">
    <cfRule type="duplicateValues" dxfId="523" priority="585"/>
    <cfRule type="duplicateValues" dxfId="522" priority="586"/>
  </conditionalFormatting>
  <conditionalFormatting sqref="L800">
    <cfRule type="duplicateValues" dxfId="521" priority="627"/>
    <cfRule type="duplicateValues" dxfId="520" priority="628"/>
  </conditionalFormatting>
  <conditionalFormatting sqref="L801">
    <cfRule type="duplicateValues" dxfId="519" priority="623"/>
    <cfRule type="duplicateValues" dxfId="518" priority="624"/>
  </conditionalFormatting>
  <conditionalFormatting sqref="L802">
    <cfRule type="duplicateValues" dxfId="517" priority="599"/>
    <cfRule type="duplicateValues" dxfId="516" priority="600"/>
  </conditionalFormatting>
  <conditionalFormatting sqref="L803">
    <cfRule type="duplicateValues" dxfId="515" priority="621"/>
    <cfRule type="duplicateValues" dxfId="514" priority="622"/>
  </conditionalFormatting>
  <conditionalFormatting sqref="L804">
    <cfRule type="duplicateValues" dxfId="513" priority="619"/>
    <cfRule type="duplicateValues" dxfId="512" priority="620"/>
  </conditionalFormatting>
  <conditionalFormatting sqref="L805">
    <cfRule type="duplicateValues" dxfId="511" priority="553"/>
    <cfRule type="duplicateValues" dxfId="510" priority="554"/>
  </conditionalFormatting>
  <conditionalFormatting sqref="L806">
    <cfRule type="duplicateValues" dxfId="509" priority="569"/>
    <cfRule type="duplicateValues" dxfId="508" priority="570"/>
  </conditionalFormatting>
  <conditionalFormatting sqref="L807">
    <cfRule type="duplicateValues" dxfId="507" priority="567"/>
    <cfRule type="duplicateValues" dxfId="506" priority="568"/>
  </conditionalFormatting>
  <conditionalFormatting sqref="L808">
    <cfRule type="duplicateValues" dxfId="505" priority="549"/>
    <cfRule type="duplicateValues" dxfId="504" priority="550"/>
  </conditionalFormatting>
  <conditionalFormatting sqref="L809">
    <cfRule type="duplicateValues" dxfId="503" priority="607"/>
    <cfRule type="duplicateValues" dxfId="502" priority="608"/>
  </conditionalFormatting>
  <conditionalFormatting sqref="L810:L812">
    <cfRule type="duplicateValues" dxfId="501" priority="563"/>
    <cfRule type="duplicateValues" dxfId="500" priority="564"/>
  </conditionalFormatting>
  <conditionalFormatting sqref="L813">
    <cfRule type="duplicateValues" dxfId="499" priority="543"/>
    <cfRule type="duplicateValues" dxfId="498" priority="544"/>
  </conditionalFormatting>
  <conditionalFormatting sqref="L814">
    <cfRule type="duplicateValues" dxfId="497" priority="601"/>
    <cfRule type="duplicateValues" dxfId="496" priority="602"/>
  </conditionalFormatting>
  <conditionalFormatting sqref="L815">
    <cfRule type="duplicateValues" dxfId="495" priority="583"/>
    <cfRule type="duplicateValues" dxfId="494" priority="584"/>
  </conditionalFormatting>
  <conditionalFormatting sqref="L816">
    <cfRule type="duplicateValues" dxfId="493" priority="581"/>
    <cfRule type="duplicateValues" dxfId="492" priority="582"/>
  </conditionalFormatting>
  <conditionalFormatting sqref="L817">
    <cfRule type="duplicateValues" dxfId="491" priority="597"/>
    <cfRule type="duplicateValues" dxfId="490" priority="598"/>
  </conditionalFormatting>
  <conditionalFormatting sqref="L818">
    <cfRule type="duplicateValues" dxfId="489" priority="533"/>
    <cfRule type="duplicateValues" dxfId="488" priority="534"/>
  </conditionalFormatting>
  <conditionalFormatting sqref="L819">
    <cfRule type="duplicateValues" dxfId="487" priority="579"/>
    <cfRule type="duplicateValues" dxfId="486" priority="580"/>
  </conditionalFormatting>
  <conditionalFormatting sqref="L820">
    <cfRule type="duplicateValues" dxfId="485" priority="577"/>
    <cfRule type="duplicateValues" dxfId="484" priority="578"/>
  </conditionalFormatting>
  <conditionalFormatting sqref="L821">
    <cfRule type="duplicateValues" dxfId="483" priority="595"/>
    <cfRule type="duplicateValues" dxfId="482" priority="596"/>
  </conditionalFormatting>
  <conditionalFormatting sqref="L822">
    <cfRule type="duplicateValues" dxfId="481" priority="625"/>
    <cfRule type="duplicateValues" dxfId="480" priority="626"/>
  </conditionalFormatting>
  <conditionalFormatting sqref="L823">
    <cfRule type="duplicateValues" dxfId="479" priority="559"/>
    <cfRule type="duplicateValues" dxfId="478" priority="560"/>
  </conditionalFormatting>
  <conditionalFormatting sqref="L824">
    <cfRule type="duplicateValues" dxfId="477" priority="605"/>
    <cfRule type="duplicateValues" dxfId="476" priority="606"/>
  </conditionalFormatting>
  <conditionalFormatting sqref="L825">
    <cfRule type="duplicateValues" dxfId="475" priority="603"/>
    <cfRule type="duplicateValues" dxfId="474" priority="604"/>
  </conditionalFormatting>
  <conditionalFormatting sqref="L826">
    <cfRule type="duplicateValues" dxfId="473" priority="593"/>
    <cfRule type="duplicateValues" dxfId="472" priority="594"/>
  </conditionalFormatting>
  <conditionalFormatting sqref="L827">
    <cfRule type="duplicateValues" dxfId="471" priority="591"/>
    <cfRule type="duplicateValues" dxfId="470" priority="592"/>
  </conditionalFormatting>
  <conditionalFormatting sqref="L828">
    <cfRule type="duplicateValues" dxfId="469" priority="589"/>
    <cfRule type="duplicateValues" dxfId="468" priority="590"/>
  </conditionalFormatting>
  <conditionalFormatting sqref="L829">
    <cfRule type="duplicateValues" dxfId="467" priority="615"/>
    <cfRule type="duplicateValues" dxfId="466" priority="616"/>
  </conditionalFormatting>
  <conditionalFormatting sqref="L830">
    <cfRule type="duplicateValues" dxfId="465" priority="575"/>
    <cfRule type="duplicateValues" dxfId="464" priority="576"/>
  </conditionalFormatting>
  <conditionalFormatting sqref="L831 L837 L839:L840">
    <cfRule type="duplicateValues" dxfId="463" priority="629"/>
    <cfRule type="duplicateValues" dxfId="462" priority="630"/>
  </conditionalFormatting>
  <conditionalFormatting sqref="L832">
    <cfRule type="duplicateValues" dxfId="461" priority="529"/>
    <cfRule type="duplicateValues" dxfId="460" priority="530"/>
  </conditionalFormatting>
  <conditionalFormatting sqref="L833">
    <cfRule type="duplicateValues" dxfId="459" priority="613"/>
    <cfRule type="duplicateValues" dxfId="458" priority="614"/>
  </conditionalFormatting>
  <conditionalFormatting sqref="L834">
    <cfRule type="duplicateValues" dxfId="457" priority="617"/>
    <cfRule type="duplicateValues" dxfId="456" priority="618"/>
  </conditionalFormatting>
  <conditionalFormatting sqref="L835">
    <cfRule type="duplicateValues" dxfId="455" priority="587"/>
    <cfRule type="duplicateValues" dxfId="454" priority="588"/>
  </conditionalFormatting>
  <conditionalFormatting sqref="L836">
    <cfRule type="duplicateValues" dxfId="453" priority="611"/>
    <cfRule type="duplicateValues" dxfId="452" priority="612"/>
  </conditionalFormatting>
  <conditionalFormatting sqref="L838">
    <cfRule type="duplicateValues" dxfId="451" priority="521"/>
    <cfRule type="duplicateValues" dxfId="450" priority="522"/>
  </conditionalFormatting>
  <conditionalFormatting sqref="L841">
    <cfRule type="duplicateValues" dxfId="449" priority="476"/>
    <cfRule type="duplicateValues" dxfId="448" priority="477"/>
  </conditionalFormatting>
  <conditionalFormatting sqref="L842">
    <cfRule type="duplicateValues" dxfId="447" priority="508"/>
    <cfRule type="duplicateValues" dxfId="446" priority="509"/>
  </conditionalFormatting>
  <conditionalFormatting sqref="L843">
    <cfRule type="duplicateValues" dxfId="445" priority="486"/>
    <cfRule type="duplicateValues" dxfId="444" priority="487"/>
  </conditionalFormatting>
  <conditionalFormatting sqref="L844">
    <cfRule type="duplicateValues" dxfId="443" priority="516"/>
    <cfRule type="duplicateValues" dxfId="442" priority="517"/>
  </conditionalFormatting>
  <conditionalFormatting sqref="L846">
    <cfRule type="duplicateValues" dxfId="441" priority="498"/>
    <cfRule type="duplicateValues" dxfId="440" priority="499"/>
  </conditionalFormatting>
  <conditionalFormatting sqref="L847">
    <cfRule type="duplicateValues" dxfId="439" priority="514"/>
    <cfRule type="duplicateValues" dxfId="438" priority="515"/>
  </conditionalFormatting>
  <conditionalFormatting sqref="L848">
    <cfRule type="duplicateValues" dxfId="437" priority="512"/>
    <cfRule type="duplicateValues" dxfId="436" priority="513"/>
  </conditionalFormatting>
  <conditionalFormatting sqref="L849">
    <cfRule type="duplicateValues" dxfId="435" priority="462"/>
    <cfRule type="duplicateValues" dxfId="434" priority="463"/>
  </conditionalFormatting>
  <conditionalFormatting sqref="L850">
    <cfRule type="duplicateValues" dxfId="433" priority="472"/>
    <cfRule type="duplicateValues" dxfId="432" priority="473"/>
  </conditionalFormatting>
  <conditionalFormatting sqref="L851">
    <cfRule type="duplicateValues" dxfId="431" priority="470"/>
    <cfRule type="duplicateValues" dxfId="430" priority="471"/>
  </conditionalFormatting>
  <conditionalFormatting sqref="L852">
    <cfRule type="duplicateValues" dxfId="429" priority="460"/>
    <cfRule type="duplicateValues" dxfId="428" priority="461"/>
  </conditionalFormatting>
  <conditionalFormatting sqref="L853">
    <cfRule type="duplicateValues" dxfId="427" priority="506"/>
    <cfRule type="duplicateValues" dxfId="426" priority="507"/>
  </conditionalFormatting>
  <conditionalFormatting sqref="L854:L856">
    <cfRule type="duplicateValues" dxfId="425" priority="466"/>
    <cfRule type="duplicateValues" dxfId="424" priority="467"/>
  </conditionalFormatting>
  <conditionalFormatting sqref="L857">
    <cfRule type="duplicateValues" dxfId="423" priority="458"/>
    <cfRule type="duplicateValues" dxfId="422" priority="459"/>
  </conditionalFormatting>
  <conditionalFormatting sqref="L858">
    <cfRule type="duplicateValues" dxfId="421" priority="500"/>
    <cfRule type="duplicateValues" dxfId="420" priority="501"/>
  </conditionalFormatting>
  <conditionalFormatting sqref="L859">
    <cfRule type="duplicateValues" dxfId="419" priority="484"/>
    <cfRule type="duplicateValues" dxfId="418" priority="485"/>
  </conditionalFormatting>
  <conditionalFormatting sqref="L860">
    <cfRule type="duplicateValues" dxfId="417" priority="482"/>
    <cfRule type="duplicateValues" dxfId="416" priority="483"/>
  </conditionalFormatting>
  <conditionalFormatting sqref="L861">
    <cfRule type="duplicateValues" dxfId="415" priority="496"/>
    <cfRule type="duplicateValues" dxfId="414" priority="497"/>
  </conditionalFormatting>
  <conditionalFormatting sqref="L862">
    <cfRule type="duplicateValues" dxfId="413" priority="456"/>
    <cfRule type="duplicateValues" dxfId="412" priority="457"/>
  </conditionalFormatting>
  <conditionalFormatting sqref="L863">
    <cfRule type="duplicateValues" dxfId="411" priority="480"/>
    <cfRule type="duplicateValues" dxfId="410" priority="481"/>
  </conditionalFormatting>
  <conditionalFormatting sqref="L864">
    <cfRule type="duplicateValues" dxfId="409" priority="478"/>
    <cfRule type="duplicateValues" dxfId="408" priority="479"/>
  </conditionalFormatting>
  <conditionalFormatting sqref="L865">
    <cfRule type="duplicateValues" dxfId="407" priority="494"/>
    <cfRule type="duplicateValues" dxfId="406" priority="495"/>
  </conditionalFormatting>
  <conditionalFormatting sqref="L866">
    <cfRule type="duplicateValues" dxfId="405" priority="518"/>
    <cfRule type="duplicateValues" dxfId="404" priority="519"/>
  </conditionalFormatting>
  <conditionalFormatting sqref="L867">
    <cfRule type="duplicateValues" dxfId="403" priority="464"/>
    <cfRule type="duplicateValues" dxfId="402" priority="465"/>
  </conditionalFormatting>
  <conditionalFormatting sqref="L868">
    <cfRule type="duplicateValues" dxfId="401" priority="504"/>
    <cfRule type="duplicateValues" dxfId="400" priority="505"/>
  </conditionalFormatting>
  <conditionalFormatting sqref="L869">
    <cfRule type="duplicateValues" dxfId="399" priority="502"/>
    <cfRule type="duplicateValues" dxfId="398" priority="503"/>
  </conditionalFormatting>
  <conditionalFormatting sqref="L870">
    <cfRule type="duplicateValues" dxfId="397" priority="492"/>
    <cfRule type="duplicateValues" dxfId="396" priority="493"/>
  </conditionalFormatting>
  <conditionalFormatting sqref="L871">
    <cfRule type="duplicateValues" dxfId="395" priority="490"/>
    <cfRule type="duplicateValues" dxfId="394" priority="491"/>
  </conditionalFormatting>
  <conditionalFormatting sqref="L872">
    <cfRule type="duplicateValues" dxfId="393" priority="488"/>
    <cfRule type="duplicateValues" dxfId="392" priority="489"/>
  </conditionalFormatting>
  <conditionalFormatting sqref="L873">
    <cfRule type="duplicateValues" dxfId="391" priority="510"/>
    <cfRule type="duplicateValues" dxfId="390" priority="511"/>
  </conditionalFormatting>
  <conditionalFormatting sqref="L874">
    <cfRule type="duplicateValues" dxfId="389" priority="400"/>
    <cfRule type="duplicateValues" dxfId="388" priority="401"/>
  </conditionalFormatting>
  <conditionalFormatting sqref="L875">
    <cfRule type="duplicateValues" dxfId="387" priority="432"/>
    <cfRule type="duplicateValues" dxfId="386" priority="433"/>
  </conditionalFormatting>
  <conditionalFormatting sqref="L876">
    <cfRule type="duplicateValues" dxfId="385" priority="410"/>
    <cfRule type="duplicateValues" dxfId="384" priority="411"/>
  </conditionalFormatting>
  <conditionalFormatting sqref="L877">
    <cfRule type="duplicateValues" dxfId="383" priority="438"/>
    <cfRule type="duplicateValues" dxfId="382" priority="439"/>
  </conditionalFormatting>
  <conditionalFormatting sqref="L878">
    <cfRule type="duplicateValues" dxfId="381" priority="378"/>
    <cfRule type="duplicateValues" dxfId="380" priority="379"/>
  </conditionalFormatting>
  <conditionalFormatting sqref="L879">
    <cfRule type="duplicateValues" dxfId="379" priority="422"/>
    <cfRule type="duplicateValues" dxfId="378" priority="423"/>
  </conditionalFormatting>
  <conditionalFormatting sqref="L880">
    <cfRule type="duplicateValues" dxfId="377" priority="376"/>
    <cfRule type="duplicateValues" dxfId="376" priority="377"/>
  </conditionalFormatting>
  <conditionalFormatting sqref="L881">
    <cfRule type="duplicateValues" dxfId="375" priority="436"/>
    <cfRule type="duplicateValues" dxfId="374" priority="437"/>
  </conditionalFormatting>
  <conditionalFormatting sqref="L882">
    <cfRule type="duplicateValues" dxfId="373" priority="388"/>
    <cfRule type="duplicateValues" dxfId="372" priority="389"/>
  </conditionalFormatting>
  <conditionalFormatting sqref="L883">
    <cfRule type="duplicateValues" dxfId="371" priority="398"/>
    <cfRule type="duplicateValues" dxfId="370" priority="399"/>
  </conditionalFormatting>
  <conditionalFormatting sqref="L884">
    <cfRule type="duplicateValues" dxfId="369" priority="396"/>
    <cfRule type="duplicateValues" dxfId="368" priority="397"/>
  </conditionalFormatting>
  <conditionalFormatting sqref="L885">
    <cfRule type="duplicateValues" dxfId="367" priority="386"/>
    <cfRule type="duplicateValues" dxfId="366" priority="387"/>
  </conditionalFormatting>
  <conditionalFormatting sqref="L886">
    <cfRule type="duplicateValues" dxfId="365" priority="430"/>
    <cfRule type="duplicateValues" dxfId="364" priority="431"/>
  </conditionalFormatting>
  <conditionalFormatting sqref="L887:L889">
    <cfRule type="duplicateValues" dxfId="363" priority="392"/>
    <cfRule type="duplicateValues" dxfId="362" priority="393"/>
  </conditionalFormatting>
  <conditionalFormatting sqref="L890">
    <cfRule type="duplicateValues" dxfId="361" priority="384"/>
    <cfRule type="duplicateValues" dxfId="360" priority="385"/>
  </conditionalFormatting>
  <conditionalFormatting sqref="L891">
    <cfRule type="duplicateValues" dxfId="359" priority="424"/>
    <cfRule type="duplicateValues" dxfId="358" priority="425"/>
  </conditionalFormatting>
  <conditionalFormatting sqref="L892">
    <cfRule type="duplicateValues" dxfId="357" priority="408"/>
    <cfRule type="duplicateValues" dxfId="356" priority="409"/>
  </conditionalFormatting>
  <conditionalFormatting sqref="L893">
    <cfRule type="duplicateValues" dxfId="355" priority="406"/>
    <cfRule type="duplicateValues" dxfId="354" priority="407"/>
  </conditionalFormatting>
  <conditionalFormatting sqref="L894">
    <cfRule type="duplicateValues" dxfId="353" priority="420"/>
    <cfRule type="duplicateValues" dxfId="352" priority="421"/>
  </conditionalFormatting>
  <conditionalFormatting sqref="L895">
    <cfRule type="duplicateValues" dxfId="351" priority="382"/>
    <cfRule type="duplicateValues" dxfId="350" priority="383"/>
  </conditionalFormatting>
  <conditionalFormatting sqref="L896">
    <cfRule type="duplicateValues" dxfId="349" priority="404"/>
    <cfRule type="duplicateValues" dxfId="348" priority="405"/>
  </conditionalFormatting>
  <conditionalFormatting sqref="L897">
    <cfRule type="duplicateValues" dxfId="347" priority="402"/>
    <cfRule type="duplicateValues" dxfId="346" priority="403"/>
  </conditionalFormatting>
  <conditionalFormatting sqref="L898">
    <cfRule type="duplicateValues" dxfId="345" priority="418"/>
    <cfRule type="duplicateValues" dxfId="344" priority="419"/>
  </conditionalFormatting>
  <conditionalFormatting sqref="L899">
    <cfRule type="duplicateValues" dxfId="343" priority="440"/>
    <cfRule type="duplicateValues" dxfId="342" priority="441"/>
  </conditionalFormatting>
  <conditionalFormatting sqref="L900">
    <cfRule type="duplicateValues" dxfId="341" priority="390"/>
    <cfRule type="duplicateValues" dxfId="340" priority="391"/>
  </conditionalFormatting>
  <conditionalFormatting sqref="L901">
    <cfRule type="duplicateValues" dxfId="339" priority="428"/>
    <cfRule type="duplicateValues" dxfId="338" priority="429"/>
  </conditionalFormatting>
  <conditionalFormatting sqref="L902">
    <cfRule type="duplicateValues" dxfId="337" priority="426"/>
    <cfRule type="duplicateValues" dxfId="336" priority="427"/>
  </conditionalFormatting>
  <conditionalFormatting sqref="L903">
    <cfRule type="duplicateValues" dxfId="335" priority="416"/>
    <cfRule type="duplicateValues" dxfId="334" priority="417"/>
  </conditionalFormatting>
  <conditionalFormatting sqref="L904">
    <cfRule type="duplicateValues" dxfId="333" priority="414"/>
    <cfRule type="duplicateValues" dxfId="332" priority="415"/>
  </conditionalFormatting>
  <conditionalFormatting sqref="L905">
    <cfRule type="duplicateValues" dxfId="331" priority="412"/>
    <cfRule type="duplicateValues" dxfId="330" priority="413"/>
  </conditionalFormatting>
  <conditionalFormatting sqref="L906">
    <cfRule type="duplicateValues" dxfId="329" priority="434"/>
    <cfRule type="duplicateValues" dxfId="328" priority="435"/>
  </conditionalFormatting>
  <conditionalFormatting sqref="L907">
    <cfRule type="duplicateValues" dxfId="327" priority="366"/>
    <cfRule type="duplicateValues" dxfId="326" priority="367"/>
  </conditionalFormatting>
  <conditionalFormatting sqref="L908">
    <cfRule type="duplicateValues" dxfId="325" priority="442"/>
    <cfRule type="duplicateValues" dxfId="324" priority="443"/>
  </conditionalFormatting>
  <conditionalFormatting sqref="L909">
    <cfRule type="duplicateValues" dxfId="323" priority="354"/>
    <cfRule type="duplicateValues" dxfId="322" priority="355"/>
  </conditionalFormatting>
  <conditionalFormatting sqref="L910">
    <cfRule type="duplicateValues" dxfId="321" priority="360"/>
    <cfRule type="duplicateValues" dxfId="320" priority="361"/>
  </conditionalFormatting>
  <conditionalFormatting sqref="L911">
    <cfRule type="duplicateValues" dxfId="319" priority="356"/>
    <cfRule type="duplicateValues" dxfId="318" priority="357"/>
  </conditionalFormatting>
  <conditionalFormatting sqref="L912">
    <cfRule type="duplicateValues" dxfId="317" priority="364"/>
    <cfRule type="duplicateValues" dxfId="316" priority="365"/>
  </conditionalFormatting>
  <conditionalFormatting sqref="L913">
    <cfRule type="duplicateValues" dxfId="315" priority="348"/>
    <cfRule type="duplicateValues" dxfId="314" priority="349"/>
  </conditionalFormatting>
  <conditionalFormatting sqref="L914">
    <cfRule type="duplicateValues" dxfId="313" priority="358"/>
    <cfRule type="duplicateValues" dxfId="312" priority="359"/>
  </conditionalFormatting>
  <conditionalFormatting sqref="L915">
    <cfRule type="duplicateValues" dxfId="311" priority="346"/>
    <cfRule type="duplicateValues" dxfId="310" priority="347"/>
  </conditionalFormatting>
  <conditionalFormatting sqref="L916">
    <cfRule type="duplicateValues" dxfId="309" priority="362"/>
    <cfRule type="duplicateValues" dxfId="308" priority="363"/>
  </conditionalFormatting>
  <conditionalFormatting sqref="L917">
    <cfRule type="duplicateValues" dxfId="307" priority="350"/>
    <cfRule type="duplicateValues" dxfId="306" priority="351"/>
  </conditionalFormatting>
  <conditionalFormatting sqref="L918">
    <cfRule type="duplicateValues" dxfId="305" priority="352"/>
    <cfRule type="duplicateValues" dxfId="304" priority="353"/>
  </conditionalFormatting>
  <conditionalFormatting sqref="L919">
    <cfRule type="duplicateValues" dxfId="303" priority="327"/>
    <cfRule type="duplicateValues" dxfId="302" priority="328"/>
  </conditionalFormatting>
  <conditionalFormatting sqref="L920">
    <cfRule type="duplicateValues" dxfId="301" priority="335"/>
    <cfRule type="duplicateValues" dxfId="300" priority="336"/>
  </conditionalFormatting>
  <conditionalFormatting sqref="L921">
    <cfRule type="duplicateValues" dxfId="299" priority="329"/>
    <cfRule type="duplicateValues" dxfId="298" priority="330"/>
  </conditionalFormatting>
  <conditionalFormatting sqref="L922">
    <cfRule type="duplicateValues" dxfId="297" priority="339"/>
    <cfRule type="duplicateValues" dxfId="296" priority="340"/>
  </conditionalFormatting>
  <conditionalFormatting sqref="L923">
    <cfRule type="duplicateValues" dxfId="295" priority="313"/>
    <cfRule type="duplicateValues" dxfId="294" priority="314"/>
  </conditionalFormatting>
  <conditionalFormatting sqref="L924">
    <cfRule type="duplicateValues" dxfId="293" priority="331"/>
    <cfRule type="duplicateValues" dxfId="292" priority="332"/>
  </conditionalFormatting>
  <conditionalFormatting sqref="L925">
    <cfRule type="duplicateValues" dxfId="291" priority="311"/>
    <cfRule type="duplicateValues" dxfId="290" priority="312"/>
  </conditionalFormatting>
  <conditionalFormatting sqref="L926">
    <cfRule type="duplicateValues" dxfId="289" priority="337"/>
    <cfRule type="duplicateValues" dxfId="288" priority="338"/>
  </conditionalFormatting>
  <conditionalFormatting sqref="L927">
    <cfRule type="duplicateValues" dxfId="287" priority="317"/>
    <cfRule type="duplicateValues" dxfId="286" priority="318"/>
  </conditionalFormatting>
  <conditionalFormatting sqref="L928">
    <cfRule type="duplicateValues" dxfId="285" priority="325"/>
    <cfRule type="duplicateValues" dxfId="284" priority="326"/>
  </conditionalFormatting>
  <conditionalFormatting sqref="L929">
    <cfRule type="duplicateValues" dxfId="283" priority="323"/>
    <cfRule type="duplicateValues" dxfId="282" priority="324"/>
  </conditionalFormatting>
  <conditionalFormatting sqref="L930">
    <cfRule type="duplicateValues" dxfId="281" priority="315"/>
    <cfRule type="duplicateValues" dxfId="280" priority="316"/>
  </conditionalFormatting>
  <conditionalFormatting sqref="L931">
    <cfRule type="duplicateValues" dxfId="279" priority="333"/>
    <cfRule type="duplicateValues" dxfId="278" priority="334"/>
  </conditionalFormatting>
  <conditionalFormatting sqref="L932:L934">
    <cfRule type="duplicateValues" dxfId="277" priority="319"/>
    <cfRule type="duplicateValues" dxfId="276" priority="320"/>
  </conditionalFormatting>
  <conditionalFormatting sqref="L935">
    <cfRule type="duplicateValues" dxfId="275" priority="265"/>
    <cfRule type="duplicateValues" dxfId="274" priority="266"/>
  </conditionalFormatting>
  <conditionalFormatting sqref="L936">
    <cfRule type="duplicateValues" dxfId="273" priority="297"/>
    <cfRule type="duplicateValues" dxfId="272" priority="298"/>
  </conditionalFormatting>
  <conditionalFormatting sqref="L937">
    <cfRule type="duplicateValues" dxfId="271" priority="275"/>
    <cfRule type="duplicateValues" dxfId="270" priority="276"/>
  </conditionalFormatting>
  <conditionalFormatting sqref="L938">
    <cfRule type="duplicateValues" dxfId="269" priority="305"/>
    <cfRule type="duplicateValues" dxfId="268" priority="306"/>
  </conditionalFormatting>
  <conditionalFormatting sqref="L939">
    <cfRule type="duplicateValues" dxfId="267" priority="245"/>
    <cfRule type="duplicateValues" dxfId="266" priority="246"/>
  </conditionalFormatting>
  <conditionalFormatting sqref="L940">
    <cfRule type="duplicateValues" dxfId="265" priority="287"/>
    <cfRule type="duplicateValues" dxfId="264" priority="288"/>
  </conditionalFormatting>
  <conditionalFormatting sqref="L942">
    <cfRule type="duplicateValues" dxfId="263" priority="243"/>
    <cfRule type="duplicateValues" dxfId="262" priority="244"/>
  </conditionalFormatting>
  <conditionalFormatting sqref="L943">
    <cfRule type="duplicateValues" dxfId="261" priority="255"/>
    <cfRule type="duplicateValues" dxfId="260" priority="256"/>
  </conditionalFormatting>
  <conditionalFormatting sqref="L944">
    <cfRule type="duplicateValues" dxfId="259" priority="263"/>
    <cfRule type="duplicateValues" dxfId="258" priority="264"/>
  </conditionalFormatting>
  <conditionalFormatting sqref="L945">
    <cfRule type="duplicateValues" dxfId="257" priority="253"/>
    <cfRule type="duplicateValues" dxfId="256" priority="254"/>
  </conditionalFormatting>
  <conditionalFormatting sqref="L946">
    <cfRule type="duplicateValues" dxfId="255" priority="295"/>
    <cfRule type="duplicateValues" dxfId="254" priority="296"/>
  </conditionalFormatting>
  <conditionalFormatting sqref="L947:L949">
    <cfRule type="duplicateValues" dxfId="253" priority="259"/>
    <cfRule type="duplicateValues" dxfId="252" priority="260"/>
  </conditionalFormatting>
  <conditionalFormatting sqref="L950">
    <cfRule type="duplicateValues" dxfId="251" priority="251"/>
    <cfRule type="duplicateValues" dxfId="250" priority="252"/>
  </conditionalFormatting>
  <conditionalFormatting sqref="L951">
    <cfRule type="duplicateValues" dxfId="249" priority="289"/>
    <cfRule type="duplicateValues" dxfId="248" priority="290"/>
  </conditionalFormatting>
  <conditionalFormatting sqref="L952">
    <cfRule type="duplicateValues" dxfId="247" priority="273"/>
    <cfRule type="duplicateValues" dxfId="246" priority="274"/>
  </conditionalFormatting>
  <conditionalFormatting sqref="L953">
    <cfRule type="duplicateValues" dxfId="245" priority="271"/>
    <cfRule type="duplicateValues" dxfId="244" priority="272"/>
  </conditionalFormatting>
  <conditionalFormatting sqref="L954">
    <cfRule type="duplicateValues" dxfId="243" priority="230"/>
    <cfRule type="duplicateValues" dxfId="242" priority="231"/>
  </conditionalFormatting>
  <conditionalFormatting sqref="L956">
    <cfRule type="duplicateValues" dxfId="241" priority="269"/>
    <cfRule type="duplicateValues" dxfId="240" priority="270"/>
  </conditionalFormatting>
  <conditionalFormatting sqref="L957">
    <cfRule type="duplicateValues" dxfId="239" priority="267"/>
    <cfRule type="duplicateValues" dxfId="238" priority="268"/>
  </conditionalFormatting>
  <conditionalFormatting sqref="L958">
    <cfRule type="duplicateValues" dxfId="237" priority="285"/>
    <cfRule type="duplicateValues" dxfId="236" priority="286"/>
  </conditionalFormatting>
  <conditionalFormatting sqref="L959:L960">
    <cfRule type="duplicateValues" dxfId="235" priority="307"/>
    <cfRule type="duplicateValues" dxfId="234" priority="308"/>
  </conditionalFormatting>
  <conditionalFormatting sqref="L961">
    <cfRule type="duplicateValues" dxfId="233" priority="257"/>
    <cfRule type="duplicateValues" dxfId="232" priority="258"/>
  </conditionalFormatting>
  <conditionalFormatting sqref="L962">
    <cfRule type="duplicateValues" dxfId="231" priority="293"/>
    <cfRule type="duplicateValues" dxfId="230" priority="294"/>
  </conditionalFormatting>
  <conditionalFormatting sqref="L963">
    <cfRule type="duplicateValues" dxfId="229" priority="291"/>
    <cfRule type="duplicateValues" dxfId="228" priority="292"/>
  </conditionalFormatting>
  <conditionalFormatting sqref="L964">
    <cfRule type="duplicateValues" dxfId="227" priority="283"/>
    <cfRule type="duplicateValues" dxfId="226" priority="284"/>
  </conditionalFormatting>
  <conditionalFormatting sqref="L965">
    <cfRule type="duplicateValues" dxfId="225" priority="281"/>
    <cfRule type="duplicateValues" dxfId="224" priority="282"/>
  </conditionalFormatting>
  <conditionalFormatting sqref="L966">
    <cfRule type="duplicateValues" dxfId="223" priority="279"/>
    <cfRule type="duplicateValues" dxfId="222" priority="280"/>
  </conditionalFormatting>
  <conditionalFormatting sqref="L967">
    <cfRule type="duplicateValues" dxfId="221" priority="303"/>
    <cfRule type="duplicateValues" dxfId="220" priority="304"/>
  </conditionalFormatting>
  <conditionalFormatting sqref="L968">
    <cfRule type="duplicateValues" dxfId="219" priority="241"/>
    <cfRule type="duplicateValues" dxfId="218" priority="242"/>
  </conditionalFormatting>
  <conditionalFormatting sqref="L969 L976">
    <cfRule type="duplicateValues" dxfId="217" priority="309"/>
    <cfRule type="duplicateValues" dxfId="216" priority="310"/>
  </conditionalFormatting>
  <conditionalFormatting sqref="L970">
    <cfRule type="duplicateValues" dxfId="215" priority="249"/>
    <cfRule type="duplicateValues" dxfId="214" priority="250"/>
  </conditionalFormatting>
  <conditionalFormatting sqref="L971">
    <cfRule type="duplicateValues" dxfId="213" priority="301"/>
    <cfRule type="duplicateValues" dxfId="212" priority="302"/>
  </conditionalFormatting>
  <conditionalFormatting sqref="L972">
    <cfRule type="duplicateValues" dxfId="211" priority="217"/>
    <cfRule type="duplicateValues" dxfId="210" priority="218"/>
  </conditionalFormatting>
  <conditionalFormatting sqref="L973">
    <cfRule type="duplicateValues" dxfId="209" priority="277"/>
    <cfRule type="duplicateValues" dxfId="208" priority="278"/>
  </conditionalFormatting>
  <conditionalFormatting sqref="L974">
    <cfRule type="duplicateValues" dxfId="207" priority="299"/>
    <cfRule type="duplicateValues" dxfId="206" priority="300"/>
  </conditionalFormatting>
  <conditionalFormatting sqref="L975">
    <cfRule type="duplicateValues" dxfId="205" priority="247"/>
    <cfRule type="duplicateValues" dxfId="204" priority="248"/>
  </conditionalFormatting>
  <conditionalFormatting sqref="L977">
    <cfRule type="duplicateValues" dxfId="203" priority="183"/>
    <cfRule type="duplicateValues" dxfId="202" priority="184"/>
  </conditionalFormatting>
  <conditionalFormatting sqref="L978">
    <cfRule type="duplicateValues" dxfId="201" priority="211"/>
    <cfRule type="duplicateValues" dxfId="200" priority="212"/>
  </conditionalFormatting>
  <conditionalFormatting sqref="L979">
    <cfRule type="duplicateValues" dxfId="199" priority="193"/>
    <cfRule type="duplicateValues" dxfId="198" priority="194"/>
  </conditionalFormatting>
  <conditionalFormatting sqref="L980">
    <cfRule type="duplicateValues" dxfId="197" priority="213"/>
    <cfRule type="duplicateValues" dxfId="196" priority="214"/>
  </conditionalFormatting>
  <conditionalFormatting sqref="L981">
    <cfRule type="duplicateValues" dxfId="195" priority="169"/>
    <cfRule type="duplicateValues" dxfId="194" priority="170"/>
  </conditionalFormatting>
  <conditionalFormatting sqref="L982">
    <cfRule type="duplicateValues" dxfId="193" priority="201"/>
    <cfRule type="duplicateValues" dxfId="192" priority="202"/>
  </conditionalFormatting>
  <conditionalFormatting sqref="L984">
    <cfRule type="duplicateValues" dxfId="191" priority="167"/>
    <cfRule type="duplicateValues" dxfId="190" priority="168"/>
  </conditionalFormatting>
  <conditionalFormatting sqref="L985">
    <cfRule type="duplicateValues" dxfId="189" priority="161"/>
    <cfRule type="duplicateValues" dxfId="188" priority="162"/>
  </conditionalFormatting>
  <conditionalFormatting sqref="L986">
    <cfRule type="duplicateValues" dxfId="187" priority="181"/>
    <cfRule type="duplicateValues" dxfId="186" priority="182"/>
  </conditionalFormatting>
  <conditionalFormatting sqref="L987">
    <cfRule type="duplicateValues" dxfId="185" priority="173"/>
    <cfRule type="duplicateValues" dxfId="184" priority="174"/>
  </conditionalFormatting>
  <conditionalFormatting sqref="L988">
    <cfRule type="duplicateValues" dxfId="183" priority="209"/>
    <cfRule type="duplicateValues" dxfId="182" priority="210"/>
  </conditionalFormatting>
  <conditionalFormatting sqref="L989:L991">
    <cfRule type="duplicateValues" dxfId="181" priority="177"/>
    <cfRule type="duplicateValues" dxfId="180" priority="178"/>
  </conditionalFormatting>
  <conditionalFormatting sqref="L992">
    <cfRule type="duplicateValues" dxfId="179" priority="171"/>
    <cfRule type="duplicateValues" dxfId="178" priority="172"/>
  </conditionalFormatting>
  <conditionalFormatting sqref="L993">
    <cfRule type="duplicateValues" dxfId="177" priority="203"/>
    <cfRule type="duplicateValues" dxfId="176" priority="204"/>
  </conditionalFormatting>
  <conditionalFormatting sqref="L994">
    <cfRule type="duplicateValues" dxfId="175" priority="191"/>
    <cfRule type="duplicateValues" dxfId="174" priority="192"/>
  </conditionalFormatting>
  <conditionalFormatting sqref="L995">
    <cfRule type="duplicateValues" dxfId="173" priority="189"/>
    <cfRule type="duplicateValues" dxfId="172" priority="190"/>
  </conditionalFormatting>
  <conditionalFormatting sqref="L996">
    <cfRule type="duplicateValues" dxfId="171" priority="164"/>
    <cfRule type="duplicateValues" dxfId="170" priority="165"/>
  </conditionalFormatting>
  <conditionalFormatting sqref="L998">
    <cfRule type="duplicateValues" dxfId="169" priority="187"/>
    <cfRule type="duplicateValues" dxfId="168" priority="188"/>
  </conditionalFormatting>
  <conditionalFormatting sqref="L999">
    <cfRule type="duplicateValues" dxfId="167" priority="185"/>
    <cfRule type="duplicateValues" dxfId="166" priority="186"/>
  </conditionalFormatting>
  <conditionalFormatting sqref="L1000">
    <cfRule type="duplicateValues" dxfId="165" priority="199"/>
    <cfRule type="duplicateValues" dxfId="164" priority="200"/>
  </conditionalFormatting>
  <conditionalFormatting sqref="L1001:L1002">
    <cfRule type="duplicateValues" dxfId="163" priority="215"/>
    <cfRule type="duplicateValues" dxfId="162" priority="216"/>
  </conditionalFormatting>
  <conditionalFormatting sqref="L1003">
    <cfRule type="duplicateValues" dxfId="161" priority="175"/>
    <cfRule type="duplicateValues" dxfId="160" priority="176"/>
  </conditionalFormatting>
  <conditionalFormatting sqref="L1004">
    <cfRule type="duplicateValues" dxfId="159" priority="207"/>
    <cfRule type="duplicateValues" dxfId="158" priority="208"/>
  </conditionalFormatting>
  <conditionalFormatting sqref="L1005">
    <cfRule type="duplicateValues" dxfId="157" priority="205"/>
    <cfRule type="duplicateValues" dxfId="156" priority="206"/>
  </conditionalFormatting>
  <conditionalFormatting sqref="L1006">
    <cfRule type="duplicateValues" dxfId="155" priority="197"/>
    <cfRule type="duplicateValues" dxfId="154" priority="198"/>
  </conditionalFormatting>
  <conditionalFormatting sqref="L1007">
    <cfRule type="duplicateValues" dxfId="153" priority="195"/>
    <cfRule type="duplicateValues" dxfId="152" priority="196"/>
  </conditionalFormatting>
  <conditionalFormatting sqref="L1008">
    <cfRule type="duplicateValues" dxfId="151" priority="107"/>
    <cfRule type="duplicateValues" dxfId="150" priority="108"/>
  </conditionalFormatting>
  <conditionalFormatting sqref="L1009">
    <cfRule type="duplicateValues" dxfId="149" priority="137"/>
    <cfRule type="duplicateValues" dxfId="148" priority="138"/>
  </conditionalFormatting>
  <conditionalFormatting sqref="L1010">
    <cfRule type="duplicateValues" dxfId="147" priority="117"/>
    <cfRule type="duplicateValues" dxfId="146" priority="118"/>
  </conditionalFormatting>
  <conditionalFormatting sqref="L1011">
    <cfRule type="duplicateValues" dxfId="145" priority="141"/>
    <cfRule type="duplicateValues" dxfId="144" priority="142"/>
  </conditionalFormatting>
  <conditionalFormatting sqref="L1012">
    <cfRule type="duplicateValues" dxfId="143" priority="95"/>
    <cfRule type="duplicateValues" dxfId="142" priority="96"/>
  </conditionalFormatting>
  <conditionalFormatting sqref="L1013">
    <cfRule type="duplicateValues" dxfId="141" priority="127"/>
    <cfRule type="duplicateValues" dxfId="140" priority="128"/>
  </conditionalFormatting>
  <conditionalFormatting sqref="L1015">
    <cfRule type="duplicateValues" dxfId="139" priority="93"/>
    <cfRule type="duplicateValues" dxfId="138" priority="94"/>
  </conditionalFormatting>
  <conditionalFormatting sqref="L1016">
    <cfRule type="duplicateValues" dxfId="137" priority="89"/>
    <cfRule type="duplicateValues" dxfId="136" priority="90"/>
  </conditionalFormatting>
  <conditionalFormatting sqref="L1017">
    <cfRule type="duplicateValues" dxfId="135" priority="105"/>
    <cfRule type="duplicateValues" dxfId="134" priority="106"/>
  </conditionalFormatting>
  <conditionalFormatting sqref="L1018">
    <cfRule type="duplicateValues" dxfId="133" priority="99"/>
    <cfRule type="duplicateValues" dxfId="132" priority="100"/>
  </conditionalFormatting>
  <conditionalFormatting sqref="L1019">
    <cfRule type="duplicateValues" dxfId="131" priority="135"/>
    <cfRule type="duplicateValues" dxfId="130" priority="136"/>
  </conditionalFormatting>
  <conditionalFormatting sqref="L1020:L1022">
    <cfRule type="duplicateValues" dxfId="129" priority="101"/>
    <cfRule type="duplicateValues" dxfId="128" priority="102"/>
  </conditionalFormatting>
  <conditionalFormatting sqref="L1023">
    <cfRule type="duplicateValues" dxfId="127" priority="97"/>
    <cfRule type="duplicateValues" dxfId="126" priority="98"/>
  </conditionalFormatting>
  <conditionalFormatting sqref="L1024">
    <cfRule type="duplicateValues" dxfId="125" priority="129"/>
    <cfRule type="duplicateValues" dxfId="124" priority="130"/>
  </conditionalFormatting>
  <conditionalFormatting sqref="L1025">
    <cfRule type="duplicateValues" dxfId="123" priority="115"/>
    <cfRule type="duplicateValues" dxfId="122" priority="116"/>
  </conditionalFormatting>
  <conditionalFormatting sqref="L1026">
    <cfRule type="duplicateValues" dxfId="121" priority="113"/>
    <cfRule type="duplicateValues" dxfId="120" priority="114"/>
  </conditionalFormatting>
  <conditionalFormatting sqref="L1027">
    <cfRule type="duplicateValues" dxfId="119" priority="91"/>
    <cfRule type="duplicateValues" dxfId="118" priority="92"/>
  </conditionalFormatting>
  <conditionalFormatting sqref="L1029">
    <cfRule type="duplicateValues" dxfId="117" priority="111"/>
    <cfRule type="duplicateValues" dxfId="116" priority="112"/>
  </conditionalFormatting>
  <conditionalFormatting sqref="L1030">
    <cfRule type="duplicateValues" dxfId="115" priority="109"/>
    <cfRule type="duplicateValues" dxfId="114" priority="110"/>
  </conditionalFormatting>
  <conditionalFormatting sqref="L1031">
    <cfRule type="duplicateValues" dxfId="113" priority="125"/>
    <cfRule type="duplicateValues" dxfId="112" priority="126"/>
  </conditionalFormatting>
  <conditionalFormatting sqref="L1032:L1033">
    <cfRule type="duplicateValues" dxfId="111" priority="143"/>
    <cfRule type="duplicateValues" dxfId="110" priority="144"/>
  </conditionalFormatting>
  <conditionalFormatting sqref="L1034">
    <cfRule type="duplicateValues" dxfId="109" priority="83"/>
    <cfRule type="duplicateValues" dxfId="108" priority="84"/>
  </conditionalFormatting>
  <conditionalFormatting sqref="L1035">
    <cfRule type="duplicateValues" dxfId="107" priority="133"/>
    <cfRule type="duplicateValues" dxfId="106" priority="134"/>
  </conditionalFormatting>
  <conditionalFormatting sqref="L1036">
    <cfRule type="duplicateValues" dxfId="105" priority="131"/>
    <cfRule type="duplicateValues" dxfId="104" priority="132"/>
  </conditionalFormatting>
  <conditionalFormatting sqref="L1037">
    <cfRule type="duplicateValues" dxfId="103" priority="123"/>
    <cfRule type="duplicateValues" dxfId="102" priority="124"/>
  </conditionalFormatting>
  <conditionalFormatting sqref="L1038">
    <cfRule type="duplicateValues" dxfId="101" priority="121"/>
    <cfRule type="duplicateValues" dxfId="100" priority="122"/>
  </conditionalFormatting>
  <conditionalFormatting sqref="L1039">
    <cfRule type="duplicateValues" dxfId="99" priority="119"/>
    <cfRule type="duplicateValues" dxfId="98" priority="120"/>
  </conditionalFormatting>
  <conditionalFormatting sqref="L1040">
    <cfRule type="duplicateValues" dxfId="97" priority="139"/>
    <cfRule type="duplicateValues" dxfId="96" priority="140"/>
  </conditionalFormatting>
  <conditionalFormatting sqref="L1041">
    <cfRule type="duplicateValues" dxfId="95" priority="70"/>
    <cfRule type="duplicateValues" dxfId="94" priority="71"/>
  </conditionalFormatting>
  <conditionalFormatting sqref="L1042">
    <cfRule type="duplicateValues" dxfId="93" priority="76"/>
    <cfRule type="duplicateValues" dxfId="92" priority="77"/>
  </conditionalFormatting>
  <conditionalFormatting sqref="L1043">
    <cfRule type="duplicateValues" dxfId="91" priority="72"/>
    <cfRule type="duplicateValues" dxfId="90" priority="73"/>
  </conditionalFormatting>
  <conditionalFormatting sqref="L1044">
    <cfRule type="duplicateValues" dxfId="89" priority="78"/>
    <cfRule type="duplicateValues" dxfId="88" priority="79"/>
  </conditionalFormatting>
  <conditionalFormatting sqref="L1045">
    <cfRule type="duplicateValues" dxfId="87" priority="68"/>
    <cfRule type="duplicateValues" dxfId="86" priority="69"/>
  </conditionalFormatting>
  <conditionalFormatting sqref="L1046">
    <cfRule type="duplicateValues" dxfId="85" priority="74"/>
    <cfRule type="duplicateValues" dxfId="84" priority="75"/>
  </conditionalFormatting>
  <conditionalFormatting sqref="L1047">
    <cfRule type="duplicateValues" dxfId="83" priority="61"/>
    <cfRule type="duplicateValues" dxfId="82" priority="62"/>
  </conditionalFormatting>
  <conditionalFormatting sqref="M771:M772">
    <cfRule type="duplicateValues" dxfId="81" priority="638"/>
    <cfRule type="duplicateValues" dxfId="80" priority="639"/>
  </conditionalFormatting>
  <conditionalFormatting sqref="M809">
    <cfRule type="duplicateValues" dxfId="79" priority="565"/>
    <cfRule type="duplicateValues" dxfId="78" priority="566"/>
  </conditionalFormatting>
  <conditionalFormatting sqref="M853">
    <cfRule type="duplicateValues" dxfId="77" priority="468"/>
    <cfRule type="duplicateValues" dxfId="76" priority="469"/>
  </conditionalFormatting>
  <conditionalFormatting sqref="M886">
    <cfRule type="duplicateValues" dxfId="75" priority="394"/>
    <cfRule type="duplicateValues" dxfId="74" priority="395"/>
  </conditionalFormatting>
  <conditionalFormatting sqref="M931">
    <cfRule type="duplicateValues" dxfId="73" priority="321"/>
    <cfRule type="duplicateValues" dxfId="72" priority="322"/>
  </conditionalFormatting>
  <conditionalFormatting sqref="M946">
    <cfRule type="duplicateValues" dxfId="71" priority="261"/>
    <cfRule type="duplicateValues" dxfId="70" priority="262"/>
  </conditionalFormatting>
  <conditionalFormatting sqref="M988">
    <cfRule type="duplicateValues" dxfId="69" priority="179"/>
    <cfRule type="duplicateValues" dxfId="68" priority="180"/>
  </conditionalFormatting>
  <conditionalFormatting sqref="M1019">
    <cfRule type="duplicateValues" dxfId="67" priority="103"/>
    <cfRule type="duplicateValues" dxfId="66" priority="104"/>
  </conditionalFormatting>
  <conditionalFormatting sqref="V981">
    <cfRule type="duplicateValues" dxfId="65" priority="154"/>
    <cfRule type="duplicateValues" dxfId="64" priority="155"/>
  </conditionalFormatting>
  <conditionalFormatting sqref="V1012">
    <cfRule type="duplicateValues" dxfId="63" priority="87"/>
    <cfRule type="duplicateValues" dxfId="62" priority="88"/>
  </conditionalFormatting>
  <conditionalFormatting sqref="V1045">
    <cfRule type="duplicateValues" dxfId="61" priority="66"/>
    <cfRule type="duplicateValues" dxfId="60" priority="67"/>
  </conditionalFormatting>
  <conditionalFormatting sqref="I1056">
    <cfRule type="duplicateValues" dxfId="59" priority="8"/>
    <cfRule type="duplicateValues" dxfId="58" priority="9"/>
  </conditionalFormatting>
  <conditionalFormatting sqref="I1057">
    <cfRule type="duplicateValues" dxfId="57" priority="6"/>
    <cfRule type="duplicateValues" dxfId="56" priority="7"/>
  </conditionalFormatting>
  <conditionalFormatting sqref="I1062">
    <cfRule type="duplicateValues" dxfId="55" priority="5"/>
  </conditionalFormatting>
  <conditionalFormatting sqref="I1063">
    <cfRule type="duplicateValues" dxfId="54" priority="4"/>
  </conditionalFormatting>
  <conditionalFormatting sqref="I1066">
    <cfRule type="duplicateValues" dxfId="53" priority="3"/>
  </conditionalFormatting>
  <conditionalFormatting sqref="I1069">
    <cfRule type="duplicateValues" dxfId="52" priority="2"/>
  </conditionalFormatting>
  <conditionalFormatting sqref="I1071">
    <cfRule type="duplicateValues" dxfId="51" priority="1"/>
  </conditionalFormatting>
  <conditionalFormatting sqref="J1049">
    <cfRule type="duplicateValues" dxfId="50" priority="12"/>
  </conditionalFormatting>
  <conditionalFormatting sqref="J1050">
    <cfRule type="duplicateValues" dxfId="49" priority="11"/>
  </conditionalFormatting>
  <conditionalFormatting sqref="J1051">
    <cfRule type="duplicateValues" dxfId="48" priority="10"/>
  </conditionalFormatting>
  <conditionalFormatting sqref="L1048">
    <cfRule type="duplicateValues" dxfId="47" priority="35"/>
    <cfRule type="duplicateValues" dxfId="46" priority="36"/>
  </conditionalFormatting>
  <conditionalFormatting sqref="L1049">
    <cfRule type="duplicateValues" dxfId="45" priority="55"/>
    <cfRule type="duplicateValues" dxfId="44" priority="56"/>
  </conditionalFormatting>
  <conditionalFormatting sqref="L1050">
    <cfRule type="duplicateValues" dxfId="43" priority="45"/>
    <cfRule type="duplicateValues" dxfId="42" priority="46"/>
  </conditionalFormatting>
  <conditionalFormatting sqref="L1051">
    <cfRule type="duplicateValues" dxfId="41" priority="57"/>
    <cfRule type="duplicateValues" dxfId="40" priority="58"/>
  </conditionalFormatting>
  <conditionalFormatting sqref="L1052">
    <cfRule type="duplicateValues" dxfId="39" priority="23"/>
    <cfRule type="duplicateValues" dxfId="38" priority="24"/>
  </conditionalFormatting>
  <conditionalFormatting sqref="L1053">
    <cfRule type="duplicateValues" dxfId="37" priority="49"/>
    <cfRule type="duplicateValues" dxfId="36" priority="50"/>
  </conditionalFormatting>
  <conditionalFormatting sqref="L1054">
    <cfRule type="duplicateValues" dxfId="35" priority="13"/>
    <cfRule type="duplicateValues" dxfId="34" priority="14"/>
  </conditionalFormatting>
  <conditionalFormatting sqref="L1055">
    <cfRule type="duplicateValues" dxfId="33" priority="21"/>
    <cfRule type="duplicateValues" dxfId="32" priority="22"/>
  </conditionalFormatting>
  <conditionalFormatting sqref="L1056">
    <cfRule type="duplicateValues" dxfId="31" priority="17"/>
    <cfRule type="duplicateValues" dxfId="30" priority="18"/>
  </conditionalFormatting>
  <conditionalFormatting sqref="L1057">
    <cfRule type="duplicateValues" dxfId="29" priority="33"/>
    <cfRule type="duplicateValues" dxfId="28" priority="34"/>
  </conditionalFormatting>
  <conditionalFormatting sqref="L1058">
    <cfRule type="duplicateValues" dxfId="27" priority="27"/>
    <cfRule type="duplicateValues" dxfId="26" priority="28"/>
  </conditionalFormatting>
  <conditionalFormatting sqref="L1059">
    <cfRule type="duplicateValues" dxfId="25" priority="53"/>
    <cfRule type="duplicateValues" dxfId="24" priority="54"/>
  </conditionalFormatting>
  <conditionalFormatting sqref="L1060:L1062">
    <cfRule type="duplicateValues" dxfId="23" priority="29"/>
    <cfRule type="duplicateValues" dxfId="22" priority="30"/>
  </conditionalFormatting>
  <conditionalFormatting sqref="L1063">
    <cfRule type="duplicateValues" dxfId="21" priority="25"/>
    <cfRule type="duplicateValues" dxfId="20" priority="26"/>
  </conditionalFormatting>
  <conditionalFormatting sqref="L1064">
    <cfRule type="duplicateValues" dxfId="19" priority="51"/>
    <cfRule type="duplicateValues" dxfId="18" priority="52"/>
  </conditionalFormatting>
  <conditionalFormatting sqref="L1065">
    <cfRule type="duplicateValues" dxfId="17" priority="43"/>
    <cfRule type="duplicateValues" dxfId="16" priority="44"/>
  </conditionalFormatting>
  <conditionalFormatting sqref="L1066">
    <cfRule type="duplicateValues" dxfId="15" priority="41"/>
    <cfRule type="duplicateValues" dxfId="14" priority="42"/>
  </conditionalFormatting>
  <conditionalFormatting sqref="L1067">
    <cfRule type="duplicateValues" dxfId="13" priority="19"/>
    <cfRule type="duplicateValues" dxfId="12" priority="20"/>
  </conditionalFormatting>
  <conditionalFormatting sqref="L1069">
    <cfRule type="duplicateValues" dxfId="11" priority="39"/>
    <cfRule type="duplicateValues" dxfId="10" priority="40"/>
  </conditionalFormatting>
  <conditionalFormatting sqref="L1070">
    <cfRule type="duplicateValues" dxfId="9" priority="37"/>
    <cfRule type="duplicateValues" dxfId="8" priority="38"/>
  </conditionalFormatting>
  <conditionalFormatting sqref="L1071">
    <cfRule type="duplicateValues" dxfId="7" priority="47"/>
    <cfRule type="duplicateValues" dxfId="6" priority="48"/>
  </conditionalFormatting>
  <conditionalFormatting sqref="L1072">
    <cfRule type="duplicateValues" dxfId="5" priority="59"/>
    <cfRule type="duplicateValues" dxfId="4" priority="60"/>
  </conditionalFormatting>
  <conditionalFormatting sqref="M1059">
    <cfRule type="duplicateValues" dxfId="3" priority="31"/>
    <cfRule type="duplicateValues" dxfId="2" priority="32"/>
  </conditionalFormatting>
  <conditionalFormatting sqref="V1052">
    <cfRule type="duplicateValues" dxfId="1" priority="15"/>
    <cfRule type="duplicateValues" dxfId="0" priority="16"/>
  </conditionalFormatting>
  <dataValidations count="2">
    <dataValidation type="list" allowBlank="1" showInputMessage="1" showErrorMessage="1" sqref="J4:J129 J620:J637 J589:J616 J526:J587 J522:J524 J505:J520 J496:J503 J492 J489 J485:J487 J477:J483 J458:J475 J450:J456 J355:J448 J280:J353 J131:J278 J640:J739 J744:J844 J846:J848 J850:J883 J885:J888 J890:J893 J895:J912 J916:J944 J946:J950 J952:J956 J958:J967 J970:J979 J990:J993 J998:J999 J1005:J1014 J981:J985 J1028:J1045 J1016:J1026 J1047:J1048 J1052:J1072" xr:uid="{00000000-0002-0000-0000-000000000000}">
      <formula1>"RMC,Road Project,Export,Infra,Others"</formula1>
    </dataValidation>
    <dataValidation type="list" allowBlank="1" showInputMessage="1" showErrorMessage="1" sqref="K4:K129 K280:K448 K131:K278 K450:K912 K914 K916:K1072" xr:uid="{00000000-0002-0000-0000-000001000000}">
      <formula1>"CASH,CREDIT"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Sales-Report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Calyx_HP4</dc:creator>
  <cp:lastModifiedBy>k.sivaprasada@sgminerals.com</cp:lastModifiedBy>
  <dcterms:created xsi:type="dcterms:W3CDTF">2024-03-16T05:25:02Z</dcterms:created>
  <dcterms:modified xsi:type="dcterms:W3CDTF">2026-02-02T03:43:18Z</dcterms:modified>
</cp:coreProperties>
</file>