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ay\New-Day\Dec-2025\"/>
    </mc:Choice>
  </mc:AlternateContent>
  <xr:revisionPtr revIDLastSave="0" documentId="13_ncr:1_{B47B3875-B08E-4968-9360-F947502706F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les-Report" sheetId="2" r:id="rId1"/>
  </sheets>
  <definedNames>
    <definedName name="_xlnm._FilterDatabase" localSheetId="0" hidden="1">'Sales-Report'!$A$3:$AL$771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71" i="2" l="1"/>
  <c r="Z771" i="2" s="1"/>
  <c r="P770" i="2"/>
  <c r="R770" i="2" s="1"/>
  <c r="P769" i="2"/>
  <c r="R769" i="2" s="1"/>
  <c r="P768" i="2"/>
  <c r="Z768" i="2" s="1"/>
  <c r="R767" i="2"/>
  <c r="P767" i="2"/>
  <c r="Z767" i="2" s="1"/>
  <c r="P766" i="2"/>
  <c r="R766" i="2" s="1"/>
  <c r="P765" i="2"/>
  <c r="X765" i="2" s="1"/>
  <c r="P764" i="2"/>
  <c r="Z764" i="2" s="1"/>
  <c r="P763" i="2"/>
  <c r="Z763" i="2" s="1"/>
  <c r="P762" i="2"/>
  <c r="R762" i="2" s="1"/>
  <c r="P761" i="2"/>
  <c r="X761" i="2" s="1"/>
  <c r="P760" i="2"/>
  <c r="Z760" i="2" s="1"/>
  <c r="P759" i="2"/>
  <c r="Z759" i="2" s="1"/>
  <c r="P758" i="2"/>
  <c r="Z758" i="2" s="1"/>
  <c r="P757" i="2"/>
  <c r="X757" i="2" s="1"/>
  <c r="P756" i="2"/>
  <c r="Z756" i="2" s="1"/>
  <c r="P755" i="2"/>
  <c r="Z755" i="2" s="1"/>
  <c r="P754" i="2"/>
  <c r="R754" i="2" s="1"/>
  <c r="P753" i="2"/>
  <c r="Z753" i="2" s="1"/>
  <c r="P752" i="2"/>
  <c r="Z752" i="2" s="1"/>
  <c r="P751" i="2"/>
  <c r="Z751" i="2" s="1"/>
  <c r="P750" i="2"/>
  <c r="X750" i="2" s="1"/>
  <c r="P749" i="2"/>
  <c r="R749" i="2" s="1"/>
  <c r="P748" i="2"/>
  <c r="X748" i="2" s="1"/>
  <c r="P747" i="2"/>
  <c r="Z747" i="2" s="1"/>
  <c r="P746" i="2"/>
  <c r="X746" i="2" s="1"/>
  <c r="P745" i="2"/>
  <c r="Z745" i="2" s="1"/>
  <c r="P744" i="2"/>
  <c r="R744" i="2" s="1"/>
  <c r="P743" i="2"/>
  <c r="Z743" i="2" s="1"/>
  <c r="P742" i="2"/>
  <c r="Z742" i="2" s="1"/>
  <c r="P741" i="2"/>
  <c r="R741" i="2" s="1"/>
  <c r="P740" i="2"/>
  <c r="Z740" i="2" s="1"/>
  <c r="P739" i="2"/>
  <c r="X739" i="2" s="1"/>
  <c r="P738" i="2"/>
  <c r="Z738" i="2" s="1"/>
  <c r="P737" i="2"/>
  <c r="R737" i="2" s="1"/>
  <c r="P736" i="2"/>
  <c r="R736" i="2" s="1"/>
  <c r="P735" i="2"/>
  <c r="Z735" i="2" s="1"/>
  <c r="P734" i="2"/>
  <c r="Z734" i="2" s="1"/>
  <c r="P733" i="2"/>
  <c r="R733" i="2" s="1"/>
  <c r="P732" i="2"/>
  <c r="Z732" i="2" s="1"/>
  <c r="P731" i="2"/>
  <c r="X731" i="2" s="1"/>
  <c r="P730" i="2"/>
  <c r="Z730" i="2" s="1"/>
  <c r="P729" i="2"/>
  <c r="R729" i="2" s="1"/>
  <c r="P728" i="2"/>
  <c r="R728" i="2" s="1"/>
  <c r="P727" i="2"/>
  <c r="Z727" i="2" s="1"/>
  <c r="P726" i="2"/>
  <c r="Z726" i="2" s="1"/>
  <c r="P725" i="2"/>
  <c r="R725" i="2" s="1"/>
  <c r="P724" i="2"/>
  <c r="Z724" i="2" s="1"/>
  <c r="P723" i="2"/>
  <c r="X723" i="2" s="1"/>
  <c r="P722" i="2"/>
  <c r="Z722" i="2" s="1"/>
  <c r="P721" i="2"/>
  <c r="R721" i="2" s="1"/>
  <c r="P720" i="2"/>
  <c r="R720" i="2" s="1"/>
  <c r="P719" i="2"/>
  <c r="Z719" i="2" s="1"/>
  <c r="P718" i="2"/>
  <c r="Z718" i="2" s="1"/>
  <c r="P717" i="2"/>
  <c r="R717" i="2" s="1"/>
  <c r="P716" i="2"/>
  <c r="Z716" i="2" s="1"/>
  <c r="P715" i="2"/>
  <c r="X715" i="2" s="1"/>
  <c r="P714" i="2"/>
  <c r="Z714" i="2" s="1"/>
  <c r="P713" i="2"/>
  <c r="R713" i="2" s="1"/>
  <c r="P712" i="2"/>
  <c r="R712" i="2" s="1"/>
  <c r="P711" i="2"/>
  <c r="Z711" i="2" s="1"/>
  <c r="P710" i="2"/>
  <c r="Z710" i="2" s="1"/>
  <c r="P709" i="2"/>
  <c r="R709" i="2" s="1"/>
  <c r="P708" i="2"/>
  <c r="X708" i="2" s="1"/>
  <c r="P707" i="2"/>
  <c r="X707" i="2" s="1"/>
  <c r="P706" i="2"/>
  <c r="Z706" i="2" s="1"/>
  <c r="P705" i="2"/>
  <c r="R705" i="2" s="1"/>
  <c r="P704" i="2"/>
  <c r="R704" i="2" s="1"/>
  <c r="P703" i="2"/>
  <c r="Z703" i="2" s="1"/>
  <c r="P702" i="2"/>
  <c r="Z702" i="2" s="1"/>
  <c r="P701" i="2"/>
  <c r="R701" i="2" s="1"/>
  <c r="P700" i="2"/>
  <c r="Z700" i="2" s="1"/>
  <c r="P699" i="2"/>
  <c r="X699" i="2" s="1"/>
  <c r="P698" i="2"/>
  <c r="Z698" i="2" s="1"/>
  <c r="P697" i="2"/>
  <c r="X697" i="2" s="1"/>
  <c r="P696" i="2"/>
  <c r="R696" i="2" s="1"/>
  <c r="P695" i="2"/>
  <c r="R695" i="2" s="1"/>
  <c r="P694" i="2"/>
  <c r="Z694" i="2" s="1"/>
  <c r="P693" i="2"/>
  <c r="R693" i="2" s="1"/>
  <c r="P692" i="2"/>
  <c r="Z692" i="2" s="1"/>
  <c r="P691" i="2"/>
  <c r="X691" i="2" s="1"/>
  <c r="P690" i="2"/>
  <c r="Z690" i="2" s="1"/>
  <c r="P689" i="2"/>
  <c r="Z689" i="2" s="1"/>
  <c r="P688" i="2"/>
  <c r="Z688" i="2" s="1"/>
  <c r="P687" i="2"/>
  <c r="R687" i="2" s="1"/>
  <c r="P686" i="2"/>
  <c r="Z686" i="2" s="1"/>
  <c r="P685" i="2"/>
  <c r="Z685" i="2" s="1"/>
  <c r="P684" i="2"/>
  <c r="X684" i="2" s="1"/>
  <c r="P683" i="2"/>
  <c r="Z683" i="2" s="1"/>
  <c r="P682" i="2"/>
  <c r="X682" i="2" s="1"/>
  <c r="P681" i="2"/>
  <c r="Z681" i="2" s="1"/>
  <c r="P680" i="2"/>
  <c r="Z680" i="2" s="1"/>
  <c r="P679" i="2"/>
  <c r="R679" i="2" s="1"/>
  <c r="P678" i="2"/>
  <c r="Z678" i="2" s="1"/>
  <c r="P677" i="2"/>
  <c r="Z677" i="2" s="1"/>
  <c r="P676" i="2"/>
  <c r="Z676" i="2" s="1"/>
  <c r="P675" i="2"/>
  <c r="X675" i="2" s="1"/>
  <c r="P674" i="2"/>
  <c r="X674" i="2" s="1"/>
  <c r="P673" i="2"/>
  <c r="X673" i="2" s="1"/>
  <c r="P672" i="2"/>
  <c r="R672" i="2" s="1"/>
  <c r="P671" i="2"/>
  <c r="R671" i="2" s="1"/>
  <c r="P670" i="2"/>
  <c r="X670" i="2" s="1"/>
  <c r="P669" i="2"/>
  <c r="Z669" i="2" s="1"/>
  <c r="P668" i="2"/>
  <c r="R668" i="2" s="1"/>
  <c r="P667" i="2"/>
  <c r="X667" i="2" s="1"/>
  <c r="P666" i="2"/>
  <c r="X666" i="2" s="1"/>
  <c r="P665" i="2"/>
  <c r="Z665" i="2" s="1"/>
  <c r="P664" i="2"/>
  <c r="R664" i="2" s="1"/>
  <c r="P663" i="2"/>
  <c r="R663" i="2" s="1"/>
  <c r="P662" i="2"/>
  <c r="X662" i="2" s="1"/>
  <c r="P661" i="2"/>
  <c r="Z661" i="2" s="1"/>
  <c r="P660" i="2"/>
  <c r="Z660" i="2" s="1"/>
  <c r="P659" i="2"/>
  <c r="Z659" i="2" s="1"/>
  <c r="P658" i="2"/>
  <c r="X658" i="2" s="1"/>
  <c r="P657" i="2"/>
  <c r="Z657" i="2" s="1"/>
  <c r="P656" i="2"/>
  <c r="Z656" i="2" s="1"/>
  <c r="P655" i="2"/>
  <c r="R655" i="2" s="1"/>
  <c r="P654" i="2"/>
  <c r="R654" i="2" s="1"/>
  <c r="P653" i="2"/>
  <c r="Z653" i="2" s="1"/>
  <c r="P652" i="2"/>
  <c r="X652" i="2" s="1"/>
  <c r="P651" i="2"/>
  <c r="X651" i="2" s="1"/>
  <c r="P650" i="2"/>
  <c r="X650" i="2" s="1"/>
  <c r="P649" i="2"/>
  <c r="Z649" i="2" s="1"/>
  <c r="P648" i="2"/>
  <c r="R648" i="2" s="1"/>
  <c r="P647" i="2"/>
  <c r="R647" i="2" s="1"/>
  <c r="P646" i="2"/>
  <c r="Z646" i="2" s="1"/>
  <c r="P645" i="2"/>
  <c r="Z645" i="2" s="1"/>
  <c r="P644" i="2"/>
  <c r="Z644" i="2" s="1"/>
  <c r="P643" i="2"/>
  <c r="X643" i="2" s="1"/>
  <c r="P642" i="2"/>
  <c r="X642" i="2" s="1"/>
  <c r="P641" i="2"/>
  <c r="R641" i="2" s="1"/>
  <c r="P640" i="2"/>
  <c r="Z640" i="2" s="1"/>
  <c r="P639" i="2"/>
  <c r="Z639" i="2" s="1"/>
  <c r="P638" i="2"/>
  <c r="Z638" i="2" s="1"/>
  <c r="P637" i="2"/>
  <c r="Z637" i="2" s="1"/>
  <c r="P636" i="2"/>
  <c r="X636" i="2" s="1"/>
  <c r="P635" i="2"/>
  <c r="X635" i="2" s="1"/>
  <c r="P634" i="2"/>
  <c r="X634" i="2" s="1"/>
  <c r="P633" i="2"/>
  <c r="X633" i="2" s="1"/>
  <c r="P632" i="2"/>
  <c r="Z632" i="2" s="1"/>
  <c r="P631" i="2"/>
  <c r="R631" i="2" s="1"/>
  <c r="P630" i="2"/>
  <c r="R630" i="2" s="1"/>
  <c r="P629" i="2"/>
  <c r="R629" i="2" s="1"/>
  <c r="P628" i="2"/>
  <c r="R628" i="2" s="1"/>
  <c r="P627" i="2"/>
  <c r="R627" i="2" s="1"/>
  <c r="P626" i="2"/>
  <c r="Z626" i="2" s="1"/>
  <c r="P625" i="2"/>
  <c r="Z625" i="2" s="1"/>
  <c r="P624" i="2"/>
  <c r="X624" i="2" s="1"/>
  <c r="P623" i="2"/>
  <c r="X623" i="2" s="1"/>
  <c r="P622" i="2"/>
  <c r="X622" i="2" s="1"/>
  <c r="P621" i="2"/>
  <c r="R621" i="2" s="1"/>
  <c r="P620" i="2"/>
  <c r="R620" i="2" s="1"/>
  <c r="P619" i="2"/>
  <c r="R619" i="2" s="1"/>
  <c r="P618" i="2"/>
  <c r="Z618" i="2" s="1"/>
  <c r="P617" i="2"/>
  <c r="R617" i="2" s="1"/>
  <c r="P616" i="2"/>
  <c r="Z616" i="2" s="1"/>
  <c r="P615" i="2"/>
  <c r="X615" i="2" s="1"/>
  <c r="P614" i="2"/>
  <c r="X614" i="2" s="1"/>
  <c r="P613" i="2"/>
  <c r="R613" i="2" s="1"/>
  <c r="P612" i="2"/>
  <c r="R612" i="2" s="1"/>
  <c r="P611" i="2"/>
  <c r="R611" i="2" s="1"/>
  <c r="P610" i="2"/>
  <c r="Z610" i="2" s="1"/>
  <c r="P609" i="2"/>
  <c r="Z609" i="2" s="1"/>
  <c r="P608" i="2"/>
  <c r="Z608" i="2" s="1"/>
  <c r="P607" i="2"/>
  <c r="X607" i="2" s="1"/>
  <c r="P606" i="2"/>
  <c r="X606" i="2" s="1"/>
  <c r="P605" i="2"/>
  <c r="R605" i="2" s="1"/>
  <c r="P604" i="2"/>
  <c r="R604" i="2" s="1"/>
  <c r="P603" i="2"/>
  <c r="R603" i="2" s="1"/>
  <c r="P602" i="2"/>
  <c r="Z602" i="2" s="1"/>
  <c r="P601" i="2"/>
  <c r="X601" i="2" s="1"/>
  <c r="P600" i="2"/>
  <c r="Z600" i="2" s="1"/>
  <c r="P599" i="2"/>
  <c r="X599" i="2" s="1"/>
  <c r="P598" i="2"/>
  <c r="X598" i="2" s="1"/>
  <c r="P597" i="2"/>
  <c r="R597" i="2" s="1"/>
  <c r="P596" i="2"/>
  <c r="R596" i="2" s="1"/>
  <c r="P595" i="2"/>
  <c r="R595" i="2" s="1"/>
  <c r="P594" i="2"/>
  <c r="Z594" i="2" s="1"/>
  <c r="P593" i="2"/>
  <c r="Z593" i="2" s="1"/>
  <c r="P592" i="2"/>
  <c r="R592" i="2" s="1"/>
  <c r="P591" i="2"/>
  <c r="X591" i="2" s="1"/>
  <c r="P590" i="2"/>
  <c r="X590" i="2" s="1"/>
  <c r="P589" i="2"/>
  <c r="R589" i="2" s="1"/>
  <c r="P588" i="2"/>
  <c r="R588" i="2" s="1"/>
  <c r="P587" i="2"/>
  <c r="R587" i="2" s="1"/>
  <c r="P586" i="2"/>
  <c r="Z586" i="2" s="1"/>
  <c r="P585" i="2"/>
  <c r="R585" i="2" s="1"/>
  <c r="P584" i="2"/>
  <c r="Z584" i="2" s="1"/>
  <c r="P583" i="2"/>
  <c r="X583" i="2" s="1"/>
  <c r="P582" i="2"/>
  <c r="X582" i="2" s="1"/>
  <c r="P581" i="2"/>
  <c r="Z581" i="2" s="1"/>
  <c r="P580" i="2"/>
  <c r="R580" i="2" s="1"/>
  <c r="P579" i="2"/>
  <c r="R579" i="2" s="1"/>
  <c r="P578" i="2"/>
  <c r="Z578" i="2" s="1"/>
  <c r="P577" i="2"/>
  <c r="Z577" i="2" s="1"/>
  <c r="P576" i="2"/>
  <c r="R576" i="2" s="1"/>
  <c r="P575" i="2"/>
  <c r="X575" i="2" s="1"/>
  <c r="P574" i="2"/>
  <c r="Z574" i="2" s="1"/>
  <c r="P573" i="2"/>
  <c r="Z573" i="2" s="1"/>
  <c r="P572" i="2"/>
  <c r="Z572" i="2" s="1"/>
  <c r="P571" i="2"/>
  <c r="X571" i="2" s="1"/>
  <c r="P570" i="2"/>
  <c r="Z570" i="2" s="1"/>
  <c r="P569" i="2"/>
  <c r="Z569" i="2" s="1"/>
  <c r="P568" i="2"/>
  <c r="R568" i="2" s="1"/>
  <c r="P567" i="2"/>
  <c r="R567" i="2" s="1"/>
  <c r="P566" i="2"/>
  <c r="Z566" i="2" s="1"/>
  <c r="P565" i="2"/>
  <c r="X565" i="2" s="1"/>
  <c r="P564" i="2"/>
  <c r="R564" i="2" s="1"/>
  <c r="P563" i="2"/>
  <c r="X563" i="2" s="1"/>
  <c r="P562" i="2"/>
  <c r="Z562" i="2" s="1"/>
  <c r="P561" i="2"/>
  <c r="X561" i="2" s="1"/>
  <c r="P560" i="2"/>
  <c r="R560" i="2" s="1"/>
  <c r="P559" i="2"/>
  <c r="Z559" i="2" s="1"/>
  <c r="P558" i="2"/>
  <c r="Z558" i="2" s="1"/>
  <c r="P557" i="2"/>
  <c r="X557" i="2" s="1"/>
  <c r="P556" i="2"/>
  <c r="R556" i="2" s="1"/>
  <c r="P555" i="2"/>
  <c r="X555" i="2" s="1"/>
  <c r="P554" i="2"/>
  <c r="Z554" i="2" s="1"/>
  <c r="P553" i="2"/>
  <c r="Z553" i="2" s="1"/>
  <c r="P552" i="2"/>
  <c r="R552" i="2" s="1"/>
  <c r="P551" i="2"/>
  <c r="Z551" i="2" s="1"/>
  <c r="P550" i="2"/>
  <c r="Z550" i="2" s="1"/>
  <c r="P549" i="2"/>
  <c r="X549" i="2" s="1"/>
  <c r="P548" i="2"/>
  <c r="R548" i="2" s="1"/>
  <c r="P547" i="2"/>
  <c r="X547" i="2" s="1"/>
  <c r="P546" i="2"/>
  <c r="Z546" i="2" s="1"/>
  <c r="P545" i="2"/>
  <c r="Z545" i="2" s="1"/>
  <c r="P544" i="2"/>
  <c r="R544" i="2" s="1"/>
  <c r="P543" i="2"/>
  <c r="Z543" i="2" s="1"/>
  <c r="P542" i="2"/>
  <c r="Z542" i="2" s="1"/>
  <c r="P541" i="2"/>
  <c r="X541" i="2" s="1"/>
  <c r="P540" i="2"/>
  <c r="R540" i="2" s="1"/>
  <c r="P539" i="2"/>
  <c r="X539" i="2" s="1"/>
  <c r="P538" i="2"/>
  <c r="Z538" i="2" s="1"/>
  <c r="P537" i="2"/>
  <c r="Z537" i="2" s="1"/>
  <c r="P536" i="2"/>
  <c r="R536" i="2" s="1"/>
  <c r="P535" i="2"/>
  <c r="R535" i="2" s="1"/>
  <c r="P534" i="2"/>
  <c r="Z534" i="2" s="1"/>
  <c r="P533" i="2"/>
  <c r="X533" i="2" s="1"/>
  <c r="P532" i="2"/>
  <c r="R532" i="2" s="1"/>
  <c r="P531" i="2"/>
  <c r="X531" i="2" s="1"/>
  <c r="P530" i="2"/>
  <c r="Z530" i="2" s="1"/>
  <c r="P529" i="2"/>
  <c r="Z529" i="2" s="1"/>
  <c r="P528" i="2"/>
  <c r="R528" i="2" s="1"/>
  <c r="P527" i="2"/>
  <c r="Z527" i="2" s="1"/>
  <c r="P526" i="2"/>
  <c r="Z526" i="2" s="1"/>
  <c r="P525" i="2"/>
  <c r="X525" i="2" s="1"/>
  <c r="P524" i="2"/>
  <c r="Z524" i="2" s="1"/>
  <c r="P523" i="2"/>
  <c r="R523" i="2" s="1"/>
  <c r="P522" i="2"/>
  <c r="X522" i="2" s="1"/>
  <c r="P521" i="2"/>
  <c r="Z521" i="2" s="1"/>
  <c r="P520" i="2"/>
  <c r="R520" i="2" s="1"/>
  <c r="P519" i="2"/>
  <c r="R519" i="2" s="1"/>
  <c r="P518" i="2"/>
  <c r="X518" i="2" s="1"/>
  <c r="P517" i="2"/>
  <c r="R517" i="2" s="1"/>
  <c r="P516" i="2"/>
  <c r="Z516" i="2" s="1"/>
  <c r="P515" i="2"/>
  <c r="R515" i="2" s="1"/>
  <c r="P514" i="2"/>
  <c r="Z514" i="2" s="1"/>
  <c r="P513" i="2"/>
  <c r="Z513" i="2" s="1"/>
  <c r="P512" i="2"/>
  <c r="R512" i="2" s="1"/>
  <c r="P511" i="2"/>
  <c r="X511" i="2" s="1"/>
  <c r="P510" i="2"/>
  <c r="X510" i="2" s="1"/>
  <c r="P509" i="2"/>
  <c r="Z509" i="2" s="1"/>
  <c r="P508" i="2"/>
  <c r="X508" i="2" s="1"/>
  <c r="P507" i="2"/>
  <c r="R507" i="2" s="1"/>
  <c r="P506" i="2"/>
  <c r="Z506" i="2" s="1"/>
  <c r="P505" i="2"/>
  <c r="Z505" i="2" s="1"/>
  <c r="P504" i="2"/>
  <c r="X504" i="2" s="1"/>
  <c r="P503" i="2"/>
  <c r="Z503" i="2" s="1"/>
  <c r="P502" i="2"/>
  <c r="X502" i="2" s="1"/>
  <c r="P501" i="2"/>
  <c r="Z501" i="2" s="1"/>
  <c r="P500" i="2"/>
  <c r="Z500" i="2" s="1"/>
  <c r="P499" i="2"/>
  <c r="R499" i="2" s="1"/>
  <c r="P498" i="2"/>
  <c r="X498" i="2" s="1"/>
  <c r="P497" i="2"/>
  <c r="Z497" i="2" s="1"/>
  <c r="P496" i="2"/>
  <c r="R496" i="2" s="1"/>
  <c r="P495" i="2"/>
  <c r="R495" i="2" s="1"/>
  <c r="P494" i="2"/>
  <c r="X494" i="2" s="1"/>
  <c r="P493" i="2"/>
  <c r="R493" i="2" s="1"/>
  <c r="P492" i="2"/>
  <c r="Z492" i="2" s="1"/>
  <c r="P491" i="2"/>
  <c r="Z491" i="2" s="1"/>
  <c r="P490" i="2"/>
  <c r="X490" i="2" s="1"/>
  <c r="P489" i="2"/>
  <c r="Z489" i="2" s="1"/>
  <c r="P488" i="2"/>
  <c r="Z488" i="2" s="1"/>
  <c r="P487" i="2"/>
  <c r="R487" i="2" s="1"/>
  <c r="P486" i="2"/>
  <c r="R486" i="2" s="1"/>
  <c r="P485" i="2"/>
  <c r="R485" i="2" s="1"/>
  <c r="P484" i="2"/>
  <c r="Z484" i="2" s="1"/>
  <c r="P483" i="2"/>
  <c r="Z483" i="2" s="1"/>
  <c r="P482" i="2"/>
  <c r="X482" i="2" s="1"/>
  <c r="P481" i="2"/>
  <c r="Z481" i="2" s="1"/>
  <c r="P480" i="2"/>
  <c r="Z480" i="2" s="1"/>
  <c r="P479" i="2"/>
  <c r="R479" i="2" s="1"/>
  <c r="P478" i="2"/>
  <c r="R478" i="2" s="1"/>
  <c r="P477" i="2"/>
  <c r="Z477" i="2" s="1"/>
  <c r="P476" i="2"/>
  <c r="Z476" i="2" s="1"/>
  <c r="P475" i="2"/>
  <c r="Z475" i="2" s="1"/>
  <c r="P474" i="2"/>
  <c r="Z474" i="2" s="1"/>
  <c r="P473" i="2"/>
  <c r="R473" i="2" s="1"/>
  <c r="P472" i="2"/>
  <c r="Z472" i="2" s="1"/>
  <c r="P471" i="2"/>
  <c r="Z471" i="2" s="1"/>
  <c r="P470" i="2"/>
  <c r="R470" i="2" s="1"/>
  <c r="P469" i="2"/>
  <c r="Z469" i="2" s="1"/>
  <c r="P468" i="2"/>
  <c r="X468" i="2" s="1"/>
  <c r="P467" i="2"/>
  <c r="Z467" i="2" s="1"/>
  <c r="P466" i="2"/>
  <c r="Z466" i="2" s="1"/>
  <c r="P465" i="2"/>
  <c r="X465" i="2" s="1"/>
  <c r="P464" i="2"/>
  <c r="Z464" i="2" s="1"/>
  <c r="P463" i="2"/>
  <c r="R463" i="2" s="1"/>
  <c r="P462" i="2"/>
  <c r="Z462" i="2" s="1"/>
  <c r="P461" i="2"/>
  <c r="R461" i="2" s="1"/>
  <c r="P460" i="2"/>
  <c r="Z460" i="2" s="1"/>
  <c r="P459" i="2"/>
  <c r="Z459" i="2" s="1"/>
  <c r="P458" i="2"/>
  <c r="Z458" i="2" s="1"/>
  <c r="P457" i="2"/>
  <c r="Z457" i="2" s="1"/>
  <c r="P456" i="2"/>
  <c r="R456" i="2" s="1"/>
  <c r="P455" i="2"/>
  <c r="Z455" i="2" s="1"/>
  <c r="P454" i="2"/>
  <c r="X454" i="2" s="1"/>
  <c r="P453" i="2"/>
  <c r="R453" i="2" s="1"/>
  <c r="P452" i="2"/>
  <c r="Z452" i="2" s="1"/>
  <c r="P451" i="2"/>
  <c r="Z451" i="2" s="1"/>
  <c r="P450" i="2"/>
  <c r="X450" i="2" s="1"/>
  <c r="P449" i="2"/>
  <c r="R449" i="2" s="1"/>
  <c r="P448" i="2"/>
  <c r="Z448" i="2" s="1"/>
  <c r="P447" i="2"/>
  <c r="Z447" i="2" s="1"/>
  <c r="P446" i="2"/>
  <c r="X446" i="2" s="1"/>
  <c r="P445" i="2"/>
  <c r="R445" i="2" s="1"/>
  <c r="P444" i="2"/>
  <c r="R444" i="2" s="1"/>
  <c r="P443" i="2"/>
  <c r="Z443" i="2" s="1"/>
  <c r="P442" i="2"/>
  <c r="Z442" i="2" s="1"/>
  <c r="P441" i="2"/>
  <c r="Z441" i="2" s="1"/>
  <c r="P440" i="2"/>
  <c r="Z440" i="2" s="1"/>
  <c r="P439" i="2"/>
  <c r="R439" i="2" s="1"/>
  <c r="P438" i="2"/>
  <c r="Z438" i="2" s="1"/>
  <c r="P437" i="2"/>
  <c r="Z437" i="2" s="1"/>
  <c r="P436" i="2"/>
  <c r="X436" i="2" s="1"/>
  <c r="P435" i="2"/>
  <c r="Z435" i="2" s="1"/>
  <c r="P434" i="2"/>
  <c r="Z434" i="2" s="1"/>
  <c r="P433" i="2"/>
  <c r="Z433" i="2" s="1"/>
  <c r="P432" i="2"/>
  <c r="X432" i="2" s="1"/>
  <c r="P431" i="2"/>
  <c r="R431" i="2" s="1"/>
  <c r="P430" i="2"/>
  <c r="Z430" i="2" s="1"/>
  <c r="P429" i="2"/>
  <c r="R429" i="2" s="1"/>
  <c r="P428" i="2"/>
  <c r="X428" i="2" s="1"/>
  <c r="P427" i="2"/>
  <c r="Z427" i="2" s="1"/>
  <c r="P426" i="2"/>
  <c r="Z426" i="2" s="1"/>
  <c r="P425" i="2"/>
  <c r="Z425" i="2" s="1"/>
  <c r="P424" i="2"/>
  <c r="X424" i="2" s="1"/>
  <c r="P423" i="2"/>
  <c r="Z423" i="2" s="1"/>
  <c r="P422" i="2"/>
  <c r="R422" i="2" s="1"/>
  <c r="P421" i="2"/>
  <c r="Z421" i="2" s="1"/>
  <c r="P420" i="2"/>
  <c r="X420" i="2" s="1"/>
  <c r="P419" i="2"/>
  <c r="Z419" i="2" s="1"/>
  <c r="P418" i="2"/>
  <c r="X418" i="2" s="1"/>
  <c r="P417" i="2"/>
  <c r="Z417" i="2" s="1"/>
  <c r="P416" i="2"/>
  <c r="R416" i="2" s="1"/>
  <c r="P415" i="2"/>
  <c r="R415" i="2" s="1"/>
  <c r="P414" i="2"/>
  <c r="X414" i="2" s="1"/>
  <c r="P413" i="2"/>
  <c r="Z413" i="2" s="1"/>
  <c r="P412" i="2"/>
  <c r="X412" i="2" s="1"/>
  <c r="P411" i="2"/>
  <c r="R411" i="2" s="1"/>
  <c r="P410" i="2"/>
  <c r="X410" i="2" s="1"/>
  <c r="P409" i="2"/>
  <c r="X409" i="2" s="1"/>
  <c r="P408" i="2"/>
  <c r="Z408" i="2" s="1"/>
  <c r="P407" i="2"/>
  <c r="R407" i="2" s="1"/>
  <c r="P406" i="2"/>
  <c r="Z406" i="2" s="1"/>
  <c r="P405" i="2"/>
  <c r="Z405" i="2" s="1"/>
  <c r="P404" i="2"/>
  <c r="Z404" i="2" s="1"/>
  <c r="P403" i="2"/>
  <c r="X403" i="2" s="1"/>
  <c r="P402" i="2"/>
  <c r="X402" i="2" s="1"/>
  <c r="P401" i="2"/>
  <c r="Z401" i="2" s="1"/>
  <c r="P400" i="2"/>
  <c r="R400" i="2" s="1"/>
  <c r="P399" i="2"/>
  <c r="R399" i="2" s="1"/>
  <c r="P398" i="2"/>
  <c r="X398" i="2" s="1"/>
  <c r="P397" i="2"/>
  <c r="Z397" i="2" s="1"/>
  <c r="P396" i="2"/>
  <c r="R396" i="2" s="1"/>
  <c r="P395" i="2"/>
  <c r="Z395" i="2" s="1"/>
  <c r="P394" i="2"/>
  <c r="X394" i="2" s="1"/>
  <c r="P393" i="2"/>
  <c r="R393" i="2" s="1"/>
  <c r="P392" i="2"/>
  <c r="X392" i="2" s="1"/>
  <c r="P391" i="2"/>
  <c r="R391" i="2" s="1"/>
  <c r="P390" i="2"/>
  <c r="Z390" i="2" s="1"/>
  <c r="P389" i="2"/>
  <c r="Z389" i="2" s="1"/>
  <c r="P388" i="2"/>
  <c r="R388" i="2" s="1"/>
  <c r="P387" i="2"/>
  <c r="X387" i="2" s="1"/>
  <c r="P386" i="2"/>
  <c r="X386" i="2" s="1"/>
  <c r="P385" i="2"/>
  <c r="Z385" i="2" s="1"/>
  <c r="P384" i="2"/>
  <c r="R384" i="2" s="1"/>
  <c r="P383" i="2"/>
  <c r="R383" i="2" s="1"/>
  <c r="P382" i="2"/>
  <c r="X382" i="2" s="1"/>
  <c r="P381" i="2"/>
  <c r="Z381" i="2" s="1"/>
  <c r="P380" i="2"/>
  <c r="X380" i="2" s="1"/>
  <c r="P379" i="2"/>
  <c r="Z379" i="2" s="1"/>
  <c r="P378" i="2"/>
  <c r="X378" i="2" s="1"/>
  <c r="P377" i="2"/>
  <c r="Z377" i="2" s="1"/>
  <c r="P376" i="2"/>
  <c r="Z376" i="2" s="1"/>
  <c r="P375" i="2"/>
  <c r="X375" i="2" s="1"/>
  <c r="P374" i="2"/>
  <c r="X374" i="2" s="1"/>
  <c r="P373" i="2"/>
  <c r="X373" i="2" s="1"/>
  <c r="P372" i="2"/>
  <c r="Z372" i="2" s="1"/>
  <c r="P371" i="2"/>
  <c r="R371" i="2" s="1"/>
  <c r="P370" i="2"/>
  <c r="Z370" i="2" s="1"/>
  <c r="P369" i="2"/>
  <c r="R369" i="2" s="1"/>
  <c r="P368" i="2"/>
  <c r="Z368" i="2" s="1"/>
  <c r="P367" i="2"/>
  <c r="X367" i="2" s="1"/>
  <c r="P366" i="2"/>
  <c r="X366" i="2" s="1"/>
  <c r="P365" i="2"/>
  <c r="X365" i="2" s="1"/>
  <c r="P364" i="2"/>
  <c r="Z364" i="2" s="1"/>
  <c r="P363" i="2"/>
  <c r="R363" i="2" s="1"/>
  <c r="P362" i="2"/>
  <c r="Z362" i="2" s="1"/>
  <c r="P361" i="2"/>
  <c r="X361" i="2" s="1"/>
  <c r="P360" i="2"/>
  <c r="Z360" i="2" s="1"/>
  <c r="P359" i="2"/>
  <c r="X359" i="2" s="1"/>
  <c r="P358" i="2"/>
  <c r="X358" i="2" s="1"/>
  <c r="P357" i="2"/>
  <c r="X357" i="2" s="1"/>
  <c r="P356" i="2"/>
  <c r="Z356" i="2" s="1"/>
  <c r="P355" i="2"/>
  <c r="R355" i="2" s="1"/>
  <c r="P354" i="2"/>
  <c r="Z354" i="2" s="1"/>
  <c r="P353" i="2"/>
  <c r="Z353" i="2" s="1"/>
  <c r="P352" i="2"/>
  <c r="Z352" i="2" s="1"/>
  <c r="P351" i="2"/>
  <c r="Z351" i="2" s="1"/>
  <c r="P350" i="2"/>
  <c r="X350" i="2" s="1"/>
  <c r="P349" i="2"/>
  <c r="X349" i="2" s="1"/>
  <c r="P348" i="2"/>
  <c r="R348" i="2" s="1"/>
  <c r="P347" i="2"/>
  <c r="R347" i="2" s="1"/>
  <c r="P346" i="2"/>
  <c r="Z346" i="2" s="1"/>
  <c r="P345" i="2"/>
  <c r="Z345" i="2" s="1"/>
  <c r="P344" i="2"/>
  <c r="Z344" i="2" s="1"/>
  <c r="P343" i="2"/>
  <c r="Z343" i="2" s="1"/>
  <c r="P342" i="2"/>
  <c r="R342" i="2" s="1"/>
  <c r="P341" i="2"/>
  <c r="Z341" i="2" s="1"/>
  <c r="P340" i="2"/>
  <c r="Z340" i="2" s="1"/>
  <c r="P339" i="2"/>
  <c r="Z339" i="2" s="1"/>
  <c r="P338" i="2"/>
  <c r="Z338" i="2" s="1"/>
  <c r="P337" i="2"/>
  <c r="R337" i="2" s="1"/>
  <c r="P336" i="2"/>
  <c r="Z336" i="2" s="1"/>
  <c r="P335" i="2"/>
  <c r="Z335" i="2" s="1"/>
  <c r="P334" i="2"/>
  <c r="Z334" i="2" s="1"/>
  <c r="P333" i="2"/>
  <c r="Z333" i="2" s="1"/>
  <c r="P332" i="2"/>
  <c r="Z332" i="2" s="1"/>
  <c r="P331" i="2"/>
  <c r="Z331" i="2" s="1"/>
  <c r="P330" i="2"/>
  <c r="Z330" i="2" s="1"/>
  <c r="P329" i="2"/>
  <c r="Z329" i="2" s="1"/>
  <c r="P328" i="2"/>
  <c r="Z328" i="2" s="1"/>
  <c r="P327" i="2"/>
  <c r="Z327" i="2" s="1"/>
  <c r="P326" i="2"/>
  <c r="Z326" i="2" s="1"/>
  <c r="P325" i="2"/>
  <c r="Z325" i="2" s="1"/>
  <c r="P324" i="2"/>
  <c r="Z324" i="2" s="1"/>
  <c r="P323" i="2"/>
  <c r="Z323" i="2" s="1"/>
  <c r="P322" i="2"/>
  <c r="Z322" i="2" s="1"/>
  <c r="P321" i="2"/>
  <c r="Z321" i="2" s="1"/>
  <c r="P320" i="2"/>
  <c r="R320" i="2" s="1"/>
  <c r="P319" i="2"/>
  <c r="Z319" i="2" s="1"/>
  <c r="P318" i="2"/>
  <c r="Z318" i="2" s="1"/>
  <c r="P317" i="2"/>
  <c r="Z317" i="2" s="1"/>
  <c r="P316" i="2"/>
  <c r="Z316" i="2" s="1"/>
  <c r="P315" i="2"/>
  <c r="X315" i="2" s="1"/>
  <c r="P314" i="2"/>
  <c r="Z314" i="2" s="1"/>
  <c r="P313" i="2"/>
  <c r="X313" i="2" s="1"/>
  <c r="P312" i="2"/>
  <c r="R312" i="2" s="1"/>
  <c r="P311" i="2"/>
  <c r="X311" i="2" s="1"/>
  <c r="P310" i="2"/>
  <c r="Z310" i="2" s="1"/>
  <c r="P309" i="2"/>
  <c r="Z309" i="2" s="1"/>
  <c r="P308" i="2"/>
  <c r="X308" i="2" s="1"/>
  <c r="P307" i="2"/>
  <c r="X307" i="2" s="1"/>
  <c r="P306" i="2"/>
  <c r="Z306" i="2" s="1"/>
  <c r="P305" i="2"/>
  <c r="Z305" i="2" s="1"/>
  <c r="P304" i="2"/>
  <c r="R304" i="2" s="1"/>
  <c r="P303" i="2"/>
  <c r="X303" i="2" s="1"/>
  <c r="P302" i="2"/>
  <c r="Z302" i="2" s="1"/>
  <c r="P301" i="2"/>
  <c r="Z301" i="2" s="1"/>
  <c r="P300" i="2"/>
  <c r="R300" i="2" s="1"/>
  <c r="P299" i="2"/>
  <c r="X299" i="2" s="1"/>
  <c r="P298" i="2"/>
  <c r="Z298" i="2" s="1"/>
  <c r="P297" i="2"/>
  <c r="Z297" i="2" s="1"/>
  <c r="P296" i="2"/>
  <c r="R296" i="2" s="1"/>
  <c r="P295" i="2"/>
  <c r="X295" i="2" s="1"/>
  <c r="P294" i="2"/>
  <c r="Z294" i="2" s="1"/>
  <c r="P293" i="2"/>
  <c r="Z293" i="2" s="1"/>
  <c r="P292" i="2"/>
  <c r="X292" i="2" s="1"/>
  <c r="P291" i="2"/>
  <c r="R291" i="2" s="1"/>
  <c r="P290" i="2"/>
  <c r="R290" i="2" s="1"/>
  <c r="P289" i="2"/>
  <c r="Z289" i="2" s="1"/>
  <c r="P288" i="2"/>
  <c r="Z288" i="2" s="1"/>
  <c r="P287" i="2"/>
  <c r="R287" i="2" s="1"/>
  <c r="P286" i="2"/>
  <c r="X286" i="2" s="1"/>
  <c r="P285" i="2"/>
  <c r="X285" i="2" s="1"/>
  <c r="P284" i="2"/>
  <c r="Z284" i="2" s="1"/>
  <c r="P283" i="2"/>
  <c r="R283" i="2" s="1"/>
  <c r="P282" i="2"/>
  <c r="Z282" i="2" s="1"/>
  <c r="P281" i="2"/>
  <c r="Z281" i="2" s="1"/>
  <c r="P280" i="2"/>
  <c r="X280" i="2" s="1"/>
  <c r="P279" i="2"/>
  <c r="Z279" i="2" s="1"/>
  <c r="P278" i="2"/>
  <c r="X278" i="2" s="1"/>
  <c r="P277" i="2"/>
  <c r="Z277" i="2" s="1"/>
  <c r="P276" i="2"/>
  <c r="Z276" i="2" s="1"/>
  <c r="P275" i="2"/>
  <c r="Z275" i="2" s="1"/>
  <c r="P274" i="2"/>
  <c r="X274" i="2" s="1"/>
  <c r="P273" i="2"/>
  <c r="X273" i="2" s="1"/>
  <c r="P272" i="2"/>
  <c r="Z272" i="2" s="1"/>
  <c r="P271" i="2"/>
  <c r="X271" i="2" s="1"/>
  <c r="P270" i="2"/>
  <c r="R270" i="2" s="1"/>
  <c r="P269" i="2"/>
  <c r="X269" i="2" s="1"/>
  <c r="P268" i="2"/>
  <c r="Z268" i="2" s="1"/>
  <c r="X767" i="2" l="1"/>
  <c r="R746" i="2"/>
  <c r="Z762" i="2"/>
  <c r="Z746" i="2"/>
  <c r="X754" i="2"/>
  <c r="Z754" i="2"/>
  <c r="R759" i="2"/>
  <c r="AA759" i="2" s="1"/>
  <c r="Z765" i="2"/>
  <c r="R757" i="2"/>
  <c r="Z757" i="2"/>
  <c r="X759" i="2"/>
  <c r="R751" i="2"/>
  <c r="X751" i="2"/>
  <c r="AA757" i="2"/>
  <c r="R765" i="2"/>
  <c r="R545" i="2"/>
  <c r="X749" i="2"/>
  <c r="X770" i="2"/>
  <c r="Z749" i="2"/>
  <c r="X762" i="2"/>
  <c r="AA762" i="2" s="1"/>
  <c r="Z770" i="2"/>
  <c r="AA770" i="2" s="1"/>
  <c r="AA767" i="2"/>
  <c r="R748" i="2"/>
  <c r="R764" i="2"/>
  <c r="X764" i="2"/>
  <c r="R750" i="2"/>
  <c r="X753" i="2"/>
  <c r="R758" i="2"/>
  <c r="X769" i="2"/>
  <c r="R747" i="2"/>
  <c r="X758" i="2"/>
  <c r="Z761" i="2"/>
  <c r="R763" i="2"/>
  <c r="Z769" i="2"/>
  <c r="X747" i="2"/>
  <c r="Z750" i="2"/>
  <c r="R752" i="2"/>
  <c r="X755" i="2"/>
  <c r="R760" i="2"/>
  <c r="X763" i="2"/>
  <c r="Z766" i="2"/>
  <c r="R768" i="2"/>
  <c r="X771" i="2"/>
  <c r="R756" i="2"/>
  <c r="R753" i="2"/>
  <c r="X756" i="2"/>
  <c r="R761" i="2"/>
  <c r="Z748" i="2"/>
  <c r="R755" i="2"/>
  <c r="X766" i="2"/>
  <c r="R771" i="2"/>
  <c r="AA771" i="2" s="1"/>
  <c r="X752" i="2"/>
  <c r="X760" i="2"/>
  <c r="X768" i="2"/>
  <c r="Z712" i="2"/>
  <c r="Z604" i="2"/>
  <c r="Z520" i="2"/>
  <c r="Z709" i="2"/>
  <c r="X520" i="2"/>
  <c r="X725" i="2"/>
  <c r="X668" i="2"/>
  <c r="X713" i="2"/>
  <c r="Z450" i="2"/>
  <c r="Z579" i="2"/>
  <c r="Z741" i="2"/>
  <c r="R608" i="2"/>
  <c r="Z728" i="2"/>
  <c r="Z624" i="2"/>
  <c r="X639" i="2"/>
  <c r="Z666" i="2"/>
  <c r="Z736" i="2"/>
  <c r="Z598" i="2"/>
  <c r="Z663" i="2"/>
  <c r="Z725" i="2"/>
  <c r="X348" i="2"/>
  <c r="Z704" i="2"/>
  <c r="R639" i="2"/>
  <c r="R584" i="2"/>
  <c r="Z720" i="2"/>
  <c r="Z652" i="2"/>
  <c r="Z446" i="2"/>
  <c r="R533" i="2"/>
  <c r="X579" i="2"/>
  <c r="AA579" i="2" s="1"/>
  <c r="X709" i="2"/>
  <c r="X377" i="2"/>
  <c r="X457" i="2"/>
  <c r="X553" i="2"/>
  <c r="R644" i="2"/>
  <c r="Z424" i="2"/>
  <c r="Z479" i="2"/>
  <c r="X535" i="2"/>
  <c r="Z541" i="2"/>
  <c r="X567" i="2"/>
  <c r="X620" i="2"/>
  <c r="X644" i="2"/>
  <c r="R676" i="2"/>
  <c r="Z682" i="2"/>
  <c r="X705" i="2"/>
  <c r="X721" i="2"/>
  <c r="X737" i="2"/>
  <c r="Z373" i="2"/>
  <c r="Z431" i="2"/>
  <c r="R458" i="2"/>
  <c r="Z535" i="2"/>
  <c r="Z620" i="2"/>
  <c r="X671" i="2"/>
  <c r="X676" i="2"/>
  <c r="R689" i="2"/>
  <c r="X701" i="2"/>
  <c r="X717" i="2"/>
  <c r="X733" i="2"/>
  <c r="X479" i="2"/>
  <c r="X501" i="2"/>
  <c r="R573" i="2"/>
  <c r="Z650" i="2"/>
  <c r="Z693" i="2"/>
  <c r="Z432" i="2"/>
  <c r="Z671" i="2"/>
  <c r="Z701" i="2"/>
  <c r="X439" i="2"/>
  <c r="Z504" i="2"/>
  <c r="Z532" i="2"/>
  <c r="X564" i="2"/>
  <c r="Z684" i="2"/>
  <c r="Z696" i="2"/>
  <c r="R593" i="2"/>
  <c r="X689" i="2"/>
  <c r="Z717" i="2"/>
  <c r="Z733" i="2"/>
  <c r="Z361" i="2"/>
  <c r="R375" i="2"/>
  <c r="Z439" i="2"/>
  <c r="R551" i="2"/>
  <c r="Z564" i="2"/>
  <c r="X604" i="2"/>
  <c r="X617" i="2"/>
  <c r="Z642" i="2"/>
  <c r="X729" i="2"/>
  <c r="X741" i="2"/>
  <c r="Z601" i="2"/>
  <c r="X346" i="2"/>
  <c r="R351" i="2"/>
  <c r="AA351" i="2" s="1"/>
  <c r="X370" i="2"/>
  <c r="R451" i="2"/>
  <c r="X427" i="2"/>
  <c r="Z454" i="2"/>
  <c r="R477" i="2"/>
  <c r="R481" i="2"/>
  <c r="Z549" i="2"/>
  <c r="R577" i="2"/>
  <c r="X592" i="2"/>
  <c r="Z617" i="2"/>
  <c r="Z627" i="2"/>
  <c r="X655" i="2"/>
  <c r="R660" i="2"/>
  <c r="Z668" i="2"/>
  <c r="X687" i="2"/>
  <c r="R690" i="2"/>
  <c r="Z705" i="2"/>
  <c r="Z713" i="2"/>
  <c r="Z721" i="2"/>
  <c r="Z729" i="2"/>
  <c r="Z737" i="2"/>
  <c r="Z655" i="2"/>
  <c r="X660" i="2"/>
  <c r="Z674" i="2"/>
  <c r="Z687" i="2"/>
  <c r="X690" i="2"/>
  <c r="R698" i="2"/>
  <c r="Z436" i="2"/>
  <c r="Z636" i="2"/>
  <c r="Z697" i="2"/>
  <c r="X351" i="2"/>
  <c r="X481" i="2"/>
  <c r="Z592" i="2"/>
  <c r="R377" i="2"/>
  <c r="Z428" i="2"/>
  <c r="X443" i="2"/>
  <c r="X545" i="2"/>
  <c r="Z567" i="2"/>
  <c r="Z588" i="2"/>
  <c r="X608" i="2"/>
  <c r="Z614" i="2"/>
  <c r="R624" i="2"/>
  <c r="Z634" i="2"/>
  <c r="X647" i="2"/>
  <c r="R652" i="2"/>
  <c r="X679" i="2"/>
  <c r="R684" i="2"/>
  <c r="X698" i="2"/>
  <c r="R706" i="2"/>
  <c r="R714" i="2"/>
  <c r="R722" i="2"/>
  <c r="R730" i="2"/>
  <c r="R738" i="2"/>
  <c r="X431" i="2"/>
  <c r="Z647" i="2"/>
  <c r="Z679" i="2"/>
  <c r="X706" i="2"/>
  <c r="X714" i="2"/>
  <c r="X722" i="2"/>
  <c r="X730" i="2"/>
  <c r="X738" i="2"/>
  <c r="AA738" i="2" s="1"/>
  <c r="Z349" i="2"/>
  <c r="X369" i="2"/>
  <c r="R434" i="2"/>
  <c r="X449" i="2"/>
  <c r="X512" i="2"/>
  <c r="X576" i="2"/>
  <c r="X585" i="2"/>
  <c r="Z590" i="2"/>
  <c r="R601" i="2"/>
  <c r="AA601" i="2" s="1"/>
  <c r="X631" i="2"/>
  <c r="R636" i="2"/>
  <c r="Z658" i="2"/>
  <c r="R697" i="2"/>
  <c r="Z369" i="2"/>
  <c r="R442" i="2"/>
  <c r="X435" i="2"/>
  <c r="Z449" i="2"/>
  <c r="R480" i="2"/>
  <c r="R501" i="2"/>
  <c r="R506" i="2"/>
  <c r="Z512" i="2"/>
  <c r="AA512" i="2" s="1"/>
  <c r="X532" i="2"/>
  <c r="R553" i="2"/>
  <c r="R565" i="2"/>
  <c r="Z576" i="2"/>
  <c r="X580" i="2"/>
  <c r="Z585" i="2"/>
  <c r="Z631" i="2"/>
  <c r="X663" i="2"/>
  <c r="X693" i="2"/>
  <c r="Z695" i="2"/>
  <c r="X716" i="2"/>
  <c r="X724" i="2"/>
  <c r="Z691" i="2"/>
  <c r="X696" i="2"/>
  <c r="AA696" i="2" s="1"/>
  <c r="Z699" i="2"/>
  <c r="X704" i="2"/>
  <c r="Z707" i="2"/>
  <c r="X712" i="2"/>
  <c r="Z715" i="2"/>
  <c r="X720" i="2"/>
  <c r="Z723" i="2"/>
  <c r="X728" i="2"/>
  <c r="Z731" i="2"/>
  <c r="X736" i="2"/>
  <c r="Z739" i="2"/>
  <c r="X744" i="2"/>
  <c r="Z744" i="2"/>
  <c r="R703" i="2"/>
  <c r="R711" i="2"/>
  <c r="R719" i="2"/>
  <c r="R727" i="2"/>
  <c r="R735" i="2"/>
  <c r="R743" i="2"/>
  <c r="R692" i="2"/>
  <c r="X695" i="2"/>
  <c r="R700" i="2"/>
  <c r="X703" i="2"/>
  <c r="R708" i="2"/>
  <c r="X711" i="2"/>
  <c r="R716" i="2"/>
  <c r="X719" i="2"/>
  <c r="R724" i="2"/>
  <c r="X727" i="2"/>
  <c r="R732" i="2"/>
  <c r="X735" i="2"/>
  <c r="R740" i="2"/>
  <c r="X743" i="2"/>
  <c r="R745" i="2"/>
  <c r="X692" i="2"/>
  <c r="X700" i="2"/>
  <c r="X732" i="2"/>
  <c r="X740" i="2"/>
  <c r="R694" i="2"/>
  <c r="R702" i="2"/>
  <c r="Z708" i="2"/>
  <c r="R710" i="2"/>
  <c r="R718" i="2"/>
  <c r="R726" i="2"/>
  <c r="R734" i="2"/>
  <c r="R742" i="2"/>
  <c r="X745" i="2"/>
  <c r="R691" i="2"/>
  <c r="X694" i="2"/>
  <c r="R699" i="2"/>
  <c r="X702" i="2"/>
  <c r="R707" i="2"/>
  <c r="X710" i="2"/>
  <c r="R715" i="2"/>
  <c r="X718" i="2"/>
  <c r="R723" i="2"/>
  <c r="X726" i="2"/>
  <c r="R731" i="2"/>
  <c r="X734" i="2"/>
  <c r="R739" i="2"/>
  <c r="X742" i="2"/>
  <c r="R633" i="2"/>
  <c r="R657" i="2"/>
  <c r="R673" i="2"/>
  <c r="X641" i="2"/>
  <c r="R646" i="2"/>
  <c r="R662" i="2"/>
  <c r="X665" i="2"/>
  <c r="R686" i="2"/>
  <c r="Z633" i="2"/>
  <c r="X638" i="2"/>
  <c r="Z641" i="2"/>
  <c r="X646" i="2"/>
  <c r="R651" i="2"/>
  <c r="X654" i="2"/>
  <c r="R659" i="2"/>
  <c r="Z673" i="2"/>
  <c r="R683" i="2"/>
  <c r="X686" i="2"/>
  <c r="R632" i="2"/>
  <c r="R656" i="2"/>
  <c r="X659" i="2"/>
  <c r="Z662" i="2"/>
  <c r="Z670" i="2"/>
  <c r="R680" i="2"/>
  <c r="X683" i="2"/>
  <c r="R688" i="2"/>
  <c r="X632" i="2"/>
  <c r="Z635" i="2"/>
  <c r="R637" i="2"/>
  <c r="X640" i="2"/>
  <c r="Z643" i="2"/>
  <c r="R645" i="2"/>
  <c r="X648" i="2"/>
  <c r="Z651" i="2"/>
  <c r="R653" i="2"/>
  <c r="X656" i="2"/>
  <c r="R661" i="2"/>
  <c r="X664" i="2"/>
  <c r="Z667" i="2"/>
  <c r="R669" i="2"/>
  <c r="X672" i="2"/>
  <c r="Z675" i="2"/>
  <c r="R677" i="2"/>
  <c r="X680" i="2"/>
  <c r="R685" i="2"/>
  <c r="X688" i="2"/>
  <c r="R665" i="2"/>
  <c r="AA665" i="2" s="1"/>
  <c r="R638" i="2"/>
  <c r="X657" i="2"/>
  <c r="R670" i="2"/>
  <c r="R635" i="2"/>
  <c r="R643" i="2"/>
  <c r="R667" i="2"/>
  <c r="R640" i="2"/>
  <c r="AA640" i="2" s="1"/>
  <c r="Z654" i="2"/>
  <c r="R634" i="2"/>
  <c r="X637" i="2"/>
  <c r="R642" i="2"/>
  <c r="X645" i="2"/>
  <c r="Z648" i="2"/>
  <c r="R650" i="2"/>
  <c r="X653" i="2"/>
  <c r="R658" i="2"/>
  <c r="X661" i="2"/>
  <c r="Z664" i="2"/>
  <c r="R666" i="2"/>
  <c r="X669" i="2"/>
  <c r="Z672" i="2"/>
  <c r="R674" i="2"/>
  <c r="X677" i="2"/>
  <c r="R682" i="2"/>
  <c r="X685" i="2"/>
  <c r="R649" i="2"/>
  <c r="R681" i="2"/>
  <c r="X649" i="2"/>
  <c r="R678" i="2"/>
  <c r="X681" i="2"/>
  <c r="R675" i="2"/>
  <c r="X678" i="2"/>
  <c r="X423" i="2"/>
  <c r="R344" i="2"/>
  <c r="X354" i="2"/>
  <c r="R423" i="2"/>
  <c r="R509" i="2"/>
  <c r="R525" i="2"/>
  <c r="R543" i="2"/>
  <c r="R557" i="2"/>
  <c r="Z583" i="2"/>
  <c r="X595" i="2"/>
  <c r="X611" i="2"/>
  <c r="X344" i="2"/>
  <c r="Z359" i="2"/>
  <c r="X362" i="2"/>
  <c r="R367" i="2"/>
  <c r="R448" i="2"/>
  <c r="X440" i="2"/>
  <c r="X487" i="2"/>
  <c r="X489" i="2"/>
  <c r="R494" i="2"/>
  <c r="R498" i="2"/>
  <c r="X509" i="2"/>
  <c r="X517" i="2"/>
  <c r="Z525" i="2"/>
  <c r="R529" i="2"/>
  <c r="X540" i="2"/>
  <c r="X543" i="2"/>
  <c r="Z557" i="2"/>
  <c r="R561" i="2"/>
  <c r="Z595" i="2"/>
  <c r="Z599" i="2"/>
  <c r="Z611" i="2"/>
  <c r="Z615" i="2"/>
  <c r="X627" i="2"/>
  <c r="Z337" i="2"/>
  <c r="R359" i="2"/>
  <c r="R489" i="2"/>
  <c r="Z487" i="2"/>
  <c r="X529" i="2"/>
  <c r="R352" i="2"/>
  <c r="X356" i="2"/>
  <c r="R360" i="2"/>
  <c r="Z375" i="2"/>
  <c r="R437" i="2"/>
  <c r="X425" i="2"/>
  <c r="X429" i="2"/>
  <c r="X433" i="2"/>
  <c r="X437" i="2"/>
  <c r="X441" i="2"/>
  <c r="X447" i="2"/>
  <c r="X451" i="2"/>
  <c r="X455" i="2"/>
  <c r="X458" i="2"/>
  <c r="X480" i="2"/>
  <c r="R484" i="2"/>
  <c r="Z490" i="2"/>
  <c r="Z498" i="2"/>
  <c r="X506" i="2"/>
  <c r="R514" i="2"/>
  <c r="R522" i="2"/>
  <c r="Z533" i="2"/>
  <c r="R537" i="2"/>
  <c r="X548" i="2"/>
  <c r="X551" i="2"/>
  <c r="Z561" i="2"/>
  <c r="Z565" i="2"/>
  <c r="R569" i="2"/>
  <c r="X577" i="2"/>
  <c r="AA577" i="2" s="1"/>
  <c r="Z580" i="2"/>
  <c r="X584" i="2"/>
  <c r="X587" i="2"/>
  <c r="X593" i="2"/>
  <c r="X596" i="2"/>
  <c r="R600" i="2"/>
  <c r="Z606" i="2"/>
  <c r="R609" i="2"/>
  <c r="X612" i="2"/>
  <c r="R616" i="2"/>
  <c r="Z622" i="2"/>
  <c r="R625" i="2"/>
  <c r="X453" i="2"/>
  <c r="Z453" i="2"/>
  <c r="R460" i="2"/>
  <c r="R345" i="2"/>
  <c r="X364" i="2"/>
  <c r="R368" i="2"/>
  <c r="Z380" i="2"/>
  <c r="R426" i="2"/>
  <c r="Z429" i="2"/>
  <c r="X478" i="2"/>
  <c r="X484" i="2"/>
  <c r="R488" i="2"/>
  <c r="X514" i="2"/>
  <c r="Z522" i="2"/>
  <c r="R527" i="2"/>
  <c r="X537" i="2"/>
  <c r="R541" i="2"/>
  <c r="Z548" i="2"/>
  <c r="R559" i="2"/>
  <c r="X569" i="2"/>
  <c r="R574" i="2"/>
  <c r="Z575" i="2"/>
  <c r="Z587" i="2"/>
  <c r="Z591" i="2"/>
  <c r="Z596" i="2"/>
  <c r="X600" i="2"/>
  <c r="X603" i="2"/>
  <c r="X609" i="2"/>
  <c r="Z612" i="2"/>
  <c r="X616" i="2"/>
  <c r="X619" i="2"/>
  <c r="X625" i="2"/>
  <c r="X628" i="2"/>
  <c r="Z482" i="2"/>
  <c r="Z494" i="2"/>
  <c r="Z517" i="2"/>
  <c r="X345" i="2"/>
  <c r="R353" i="2"/>
  <c r="Z357" i="2"/>
  <c r="R361" i="2"/>
  <c r="X372" i="2"/>
  <c r="R376" i="2"/>
  <c r="X422" i="2"/>
  <c r="X426" i="2"/>
  <c r="X430" i="2"/>
  <c r="X434" i="2"/>
  <c r="X438" i="2"/>
  <c r="X442" i="2"/>
  <c r="X448" i="2"/>
  <c r="X452" i="2"/>
  <c r="X456" i="2"/>
  <c r="Z478" i="2"/>
  <c r="X488" i="2"/>
  <c r="X496" i="2"/>
  <c r="R504" i="2"/>
  <c r="X527" i="2"/>
  <c r="X556" i="2"/>
  <c r="X559" i="2"/>
  <c r="Z603" i="2"/>
  <c r="Z607" i="2"/>
  <c r="Z619" i="2"/>
  <c r="Z623" i="2"/>
  <c r="Z628" i="2"/>
  <c r="Z367" i="2"/>
  <c r="Z540" i="2"/>
  <c r="X353" i="2"/>
  <c r="Z365" i="2"/>
  <c r="Z422" i="2"/>
  <c r="Z456" i="2"/>
  <c r="X459" i="2"/>
  <c r="R492" i="2"/>
  <c r="Z496" i="2"/>
  <c r="R549" i="2"/>
  <c r="Z556" i="2"/>
  <c r="Z582" i="2"/>
  <c r="X588" i="2"/>
  <c r="R582" i="2"/>
  <c r="R590" i="2"/>
  <c r="R598" i="2"/>
  <c r="R606" i="2"/>
  <c r="R614" i="2"/>
  <c r="R622" i="2"/>
  <c r="R578" i="2"/>
  <c r="X581" i="2"/>
  <c r="R586" i="2"/>
  <c r="X589" i="2"/>
  <c r="R594" i="2"/>
  <c r="X597" i="2"/>
  <c r="R602" i="2"/>
  <c r="X605" i="2"/>
  <c r="R610" i="2"/>
  <c r="X613" i="2"/>
  <c r="R618" i="2"/>
  <c r="X621" i="2"/>
  <c r="R626" i="2"/>
  <c r="X629" i="2"/>
  <c r="X578" i="2"/>
  <c r="R583" i="2"/>
  <c r="X586" i="2"/>
  <c r="Z589" i="2"/>
  <c r="X594" i="2"/>
  <c r="Z597" i="2"/>
  <c r="R599" i="2"/>
  <c r="AA599" i="2" s="1"/>
  <c r="X602" i="2"/>
  <c r="Z605" i="2"/>
  <c r="R607" i="2"/>
  <c r="X610" i="2"/>
  <c r="Z613" i="2"/>
  <c r="R615" i="2"/>
  <c r="X618" i="2"/>
  <c r="Z621" i="2"/>
  <c r="R623" i="2"/>
  <c r="Z629" i="2"/>
  <c r="R581" i="2"/>
  <c r="R575" i="2"/>
  <c r="R591" i="2"/>
  <c r="X626" i="2"/>
  <c r="R526" i="2"/>
  <c r="R550" i="2"/>
  <c r="X526" i="2"/>
  <c r="X528" i="2"/>
  <c r="Z531" i="2"/>
  <c r="X536" i="2"/>
  <c r="Z539" i="2"/>
  <c r="X544" i="2"/>
  <c r="Z547" i="2"/>
  <c r="X552" i="2"/>
  <c r="Z555" i="2"/>
  <c r="X560" i="2"/>
  <c r="Z563" i="2"/>
  <c r="X568" i="2"/>
  <c r="Z571" i="2"/>
  <c r="Z528" i="2"/>
  <c r="R530" i="2"/>
  <c r="Z536" i="2"/>
  <c r="R538" i="2"/>
  <c r="Z544" i="2"/>
  <c r="R546" i="2"/>
  <c r="Z552" i="2"/>
  <c r="R554" i="2"/>
  <c r="Z560" i="2"/>
  <c r="R562" i="2"/>
  <c r="Z568" i="2"/>
  <c r="R570" i="2"/>
  <c r="X573" i="2"/>
  <c r="R534" i="2"/>
  <c r="R542" i="2"/>
  <c r="R558" i="2"/>
  <c r="X530" i="2"/>
  <c r="X538" i="2"/>
  <c r="X546" i="2"/>
  <c r="X554" i="2"/>
  <c r="X562" i="2"/>
  <c r="X570" i="2"/>
  <c r="R572" i="2"/>
  <c r="X572" i="2"/>
  <c r="X574" i="2"/>
  <c r="R566" i="2"/>
  <c r="R531" i="2"/>
  <c r="X534" i="2"/>
  <c r="R539" i="2"/>
  <c r="X542" i="2"/>
  <c r="R547" i="2"/>
  <c r="X550" i="2"/>
  <c r="R555" i="2"/>
  <c r="X558" i="2"/>
  <c r="R563" i="2"/>
  <c r="X566" i="2"/>
  <c r="R571" i="2"/>
  <c r="R500" i="2"/>
  <c r="X519" i="2"/>
  <c r="X499" i="2"/>
  <c r="Z502" i="2"/>
  <c r="X507" i="2"/>
  <c r="Z510" i="2"/>
  <c r="X515" i="2"/>
  <c r="Z518" i="2"/>
  <c r="X523" i="2"/>
  <c r="R511" i="2"/>
  <c r="X495" i="2"/>
  <c r="Z495" i="2"/>
  <c r="X500" i="2"/>
  <c r="R505" i="2"/>
  <c r="Z511" i="2"/>
  <c r="Z519" i="2"/>
  <c r="Z499" i="2"/>
  <c r="Z507" i="2"/>
  <c r="Z515" i="2"/>
  <c r="Z523" i="2"/>
  <c r="R516" i="2"/>
  <c r="R524" i="2"/>
  <c r="X524" i="2"/>
  <c r="R503" i="2"/>
  <c r="X503" i="2"/>
  <c r="R508" i="2"/>
  <c r="R513" i="2"/>
  <c r="X516" i="2"/>
  <c r="X497" i="2"/>
  <c r="R502" i="2"/>
  <c r="X505" i="2"/>
  <c r="Z508" i="2"/>
  <c r="R510" i="2"/>
  <c r="X513" i="2"/>
  <c r="R518" i="2"/>
  <c r="X521" i="2"/>
  <c r="R497" i="2"/>
  <c r="AA497" i="2" s="1"/>
  <c r="R521" i="2"/>
  <c r="R482" i="2"/>
  <c r="X485" i="2"/>
  <c r="R490" i="2"/>
  <c r="X493" i="2"/>
  <c r="Z485" i="2"/>
  <c r="Z493" i="2"/>
  <c r="X492" i="2"/>
  <c r="R483" i="2"/>
  <c r="X486" i="2"/>
  <c r="R491" i="2"/>
  <c r="X483" i="2"/>
  <c r="Z486" i="2"/>
  <c r="X491" i="2"/>
  <c r="X477" i="2"/>
  <c r="X476" i="2"/>
  <c r="R476" i="2"/>
  <c r="R475" i="2"/>
  <c r="X475" i="2"/>
  <c r="Z470" i="2"/>
  <c r="X470" i="2"/>
  <c r="R467" i="2"/>
  <c r="Z468" i="2"/>
  <c r="X473" i="2"/>
  <c r="R465" i="2"/>
  <c r="Z473" i="2"/>
  <c r="Z465" i="2"/>
  <c r="R472" i="2"/>
  <c r="R469" i="2"/>
  <c r="X472" i="2"/>
  <c r="X469" i="2"/>
  <c r="R474" i="2"/>
  <c r="R471" i="2"/>
  <c r="X474" i="2"/>
  <c r="X471" i="2"/>
  <c r="X467" i="2"/>
  <c r="R466" i="2"/>
  <c r="X466" i="2"/>
  <c r="R468" i="2"/>
  <c r="X463" i="2"/>
  <c r="Z463" i="2"/>
  <c r="R464" i="2"/>
  <c r="X464" i="2"/>
  <c r="X461" i="2"/>
  <c r="Z461" i="2"/>
  <c r="X460" i="2"/>
  <c r="R462" i="2"/>
  <c r="R459" i="2"/>
  <c r="X462" i="2"/>
  <c r="R428" i="2"/>
  <c r="R425" i="2"/>
  <c r="R433" i="2"/>
  <c r="R441" i="2"/>
  <c r="R430" i="2"/>
  <c r="R438" i="2"/>
  <c r="R452" i="2"/>
  <c r="R435" i="2"/>
  <c r="R457" i="2"/>
  <c r="R424" i="2"/>
  <c r="R432" i="2"/>
  <c r="R440" i="2"/>
  <c r="R446" i="2"/>
  <c r="R454" i="2"/>
  <c r="R450" i="2"/>
  <c r="R447" i="2"/>
  <c r="R455" i="2"/>
  <c r="R427" i="2"/>
  <c r="R443" i="2"/>
  <c r="R436" i="2"/>
  <c r="R404" i="2"/>
  <c r="X404" i="2"/>
  <c r="Z412" i="2"/>
  <c r="X399" i="2"/>
  <c r="Z399" i="2"/>
  <c r="Z378" i="2"/>
  <c r="Z391" i="2"/>
  <c r="X396" i="2"/>
  <c r="Z410" i="2"/>
  <c r="X383" i="2"/>
  <c r="Z396" i="2"/>
  <c r="X388" i="2"/>
  <c r="Z415" i="2"/>
  <c r="R380" i="2"/>
  <c r="Z388" i="2"/>
  <c r="X407" i="2"/>
  <c r="R412" i="2"/>
  <c r="Z420" i="2"/>
  <c r="Z386" i="2"/>
  <c r="Z418" i="2"/>
  <c r="X391" i="2"/>
  <c r="X415" i="2"/>
  <c r="R420" i="2"/>
  <c r="Z383" i="2"/>
  <c r="Z402" i="2"/>
  <c r="Z394" i="2"/>
  <c r="Z407" i="2"/>
  <c r="R385" i="2"/>
  <c r="R401" i="2"/>
  <c r="R409" i="2"/>
  <c r="R382" i="2"/>
  <c r="R390" i="2"/>
  <c r="X393" i="2"/>
  <c r="R398" i="2"/>
  <c r="X401" i="2"/>
  <c r="X417" i="2"/>
  <c r="R387" i="2"/>
  <c r="X390" i="2"/>
  <c r="Z393" i="2"/>
  <c r="R403" i="2"/>
  <c r="X406" i="2"/>
  <c r="Z409" i="2"/>
  <c r="R419" i="2"/>
  <c r="X379" i="2"/>
  <c r="Z382" i="2"/>
  <c r="R392" i="2"/>
  <c r="X395" i="2"/>
  <c r="Z398" i="2"/>
  <c r="R408" i="2"/>
  <c r="X411" i="2"/>
  <c r="Z414" i="2"/>
  <c r="X419" i="2"/>
  <c r="R381" i="2"/>
  <c r="X384" i="2"/>
  <c r="Z387" i="2"/>
  <c r="R397" i="2"/>
  <c r="X400" i="2"/>
  <c r="Z403" i="2"/>
  <c r="X408" i="2"/>
  <c r="Z411" i="2"/>
  <c r="R413" i="2"/>
  <c r="X416" i="2"/>
  <c r="R421" i="2"/>
  <c r="R378" i="2"/>
  <c r="X381" i="2"/>
  <c r="Z384" i="2"/>
  <c r="R386" i="2"/>
  <c r="X389" i="2"/>
  <c r="Z392" i="2"/>
  <c r="R394" i="2"/>
  <c r="X397" i="2"/>
  <c r="Z400" i="2"/>
  <c r="R402" i="2"/>
  <c r="X405" i="2"/>
  <c r="R410" i="2"/>
  <c r="X413" i="2"/>
  <c r="Z416" i="2"/>
  <c r="R418" i="2"/>
  <c r="X421" i="2"/>
  <c r="R417" i="2"/>
  <c r="X385" i="2"/>
  <c r="R406" i="2"/>
  <c r="R414" i="2"/>
  <c r="R379" i="2"/>
  <c r="R395" i="2"/>
  <c r="R389" i="2"/>
  <c r="R405" i="2"/>
  <c r="Z348" i="2"/>
  <c r="X347" i="2"/>
  <c r="Z350" i="2"/>
  <c r="X355" i="2"/>
  <c r="Z358" i="2"/>
  <c r="X371" i="2"/>
  <c r="Z347" i="2"/>
  <c r="R349" i="2"/>
  <c r="X352" i="2"/>
  <c r="Z355" i="2"/>
  <c r="R357" i="2"/>
  <c r="X360" i="2"/>
  <c r="Z363" i="2"/>
  <c r="R365" i="2"/>
  <c r="X368" i="2"/>
  <c r="AA368" i="2" s="1"/>
  <c r="Z371" i="2"/>
  <c r="R373" i="2"/>
  <c r="X376" i="2"/>
  <c r="X363" i="2"/>
  <c r="Z366" i="2"/>
  <c r="Z374" i="2"/>
  <c r="R346" i="2"/>
  <c r="R354" i="2"/>
  <c r="R362" i="2"/>
  <c r="R370" i="2"/>
  <c r="R356" i="2"/>
  <c r="R364" i="2"/>
  <c r="AA364" i="2" s="1"/>
  <c r="R372" i="2"/>
  <c r="R350" i="2"/>
  <c r="R358" i="2"/>
  <c r="R366" i="2"/>
  <c r="R374" i="2"/>
  <c r="R334" i="2"/>
  <c r="X334" i="2"/>
  <c r="R330" i="2"/>
  <c r="R339" i="2"/>
  <c r="X330" i="2"/>
  <c r="X323" i="2"/>
  <c r="Z280" i="2"/>
  <c r="Z271" i="2"/>
  <c r="R323" i="2"/>
  <c r="Z303" i="2"/>
  <c r="Z313" i="2"/>
  <c r="X337" i="2"/>
  <c r="Z269" i="2"/>
  <c r="Z286" i="2"/>
  <c r="Z300" i="2"/>
  <c r="R338" i="2"/>
  <c r="X283" i="2"/>
  <c r="R297" i="2"/>
  <c r="Z308" i="2"/>
  <c r="R316" i="2"/>
  <c r="R329" i="2"/>
  <c r="X331" i="2"/>
  <c r="X342" i="2"/>
  <c r="Z274" i="2"/>
  <c r="Z283" i="2"/>
  <c r="X288" i="2"/>
  <c r="X297" i="2"/>
  <c r="R301" i="2"/>
  <c r="X305" i="2"/>
  <c r="X316" i="2"/>
  <c r="R322" i="2"/>
  <c r="R326" i="2"/>
  <c r="X329" i="2"/>
  <c r="Z342" i="2"/>
  <c r="R327" i="2"/>
  <c r="X300" i="2"/>
  <c r="X304" i="2"/>
  <c r="R308" i="2"/>
  <c r="Z273" i="2"/>
  <c r="R331" i="2"/>
  <c r="R288" i="2"/>
  <c r="R305" i="2"/>
  <c r="X338" i="2"/>
  <c r="R271" i="2"/>
  <c r="R280" i="2"/>
  <c r="R293" i="2"/>
  <c r="R309" i="2"/>
  <c r="R313" i="2"/>
  <c r="X322" i="2"/>
  <c r="X326" i="2"/>
  <c r="Z295" i="2"/>
  <c r="X291" i="2"/>
  <c r="Z311" i="2"/>
  <c r="X270" i="2"/>
  <c r="Z278" i="2"/>
  <c r="Z291" i="2"/>
  <c r="Z270" i="2"/>
  <c r="X312" i="2"/>
  <c r="R335" i="2"/>
  <c r="R275" i="2"/>
  <c r="X309" i="2"/>
  <c r="X317" i="2"/>
  <c r="X339" i="2"/>
  <c r="R343" i="2"/>
  <c r="R336" i="2"/>
  <c r="R325" i="2"/>
  <c r="X328" i="2"/>
  <c r="R333" i="2"/>
  <c r="X336" i="2"/>
  <c r="R341" i="2"/>
  <c r="R328" i="2"/>
  <c r="X325" i="2"/>
  <c r="X333" i="2"/>
  <c r="X341" i="2"/>
  <c r="R324" i="2"/>
  <c r="X327" i="2"/>
  <c r="R332" i="2"/>
  <c r="X335" i="2"/>
  <c r="R340" i="2"/>
  <c r="X343" i="2"/>
  <c r="X324" i="2"/>
  <c r="X332" i="2"/>
  <c r="X340" i="2"/>
  <c r="Z315" i="2"/>
  <c r="R317" i="2"/>
  <c r="X320" i="2"/>
  <c r="R294" i="2"/>
  <c r="X293" i="2"/>
  <c r="Z296" i="2"/>
  <c r="R298" i="2"/>
  <c r="X301" i="2"/>
  <c r="Z304" i="2"/>
  <c r="R306" i="2"/>
  <c r="Z312" i="2"/>
  <c r="R314" i="2"/>
  <c r="Z320" i="2"/>
  <c r="R302" i="2"/>
  <c r="X296" i="2"/>
  <c r="R295" i="2"/>
  <c r="AA295" i="2" s="1"/>
  <c r="X298" i="2"/>
  <c r="R303" i="2"/>
  <c r="X306" i="2"/>
  <c r="R311" i="2"/>
  <c r="X314" i="2"/>
  <c r="R319" i="2"/>
  <c r="R310" i="2"/>
  <c r="Z299" i="2"/>
  <c r="Z307" i="2"/>
  <c r="X319" i="2"/>
  <c r="R321" i="2"/>
  <c r="R318" i="2"/>
  <c r="X321" i="2"/>
  <c r="X294" i="2"/>
  <c r="X302" i="2"/>
  <c r="R315" i="2"/>
  <c r="X318" i="2"/>
  <c r="R299" i="2"/>
  <c r="R307" i="2"/>
  <c r="X310" i="2"/>
  <c r="R277" i="2"/>
  <c r="R285" i="2"/>
  <c r="R279" i="2"/>
  <c r="X282" i="2"/>
  <c r="Z285" i="2"/>
  <c r="X290" i="2"/>
  <c r="R284" i="2"/>
  <c r="X287" i="2"/>
  <c r="Z290" i="2"/>
  <c r="R281" i="2"/>
  <c r="X284" i="2"/>
  <c r="Z287" i="2"/>
  <c r="R289" i="2"/>
  <c r="R278" i="2"/>
  <c r="X281" i="2"/>
  <c r="R286" i="2"/>
  <c r="X289" i="2"/>
  <c r="Z292" i="2"/>
  <c r="X277" i="2"/>
  <c r="R282" i="2"/>
  <c r="AA282" i="2" s="1"/>
  <c r="X279" i="2"/>
  <c r="R292" i="2"/>
  <c r="X275" i="2"/>
  <c r="R269" i="2"/>
  <c r="X272" i="2"/>
  <c r="R272" i="2"/>
  <c r="R274" i="2"/>
  <c r="R276" i="2"/>
  <c r="X268" i="2"/>
  <c r="R273" i="2"/>
  <c r="X276" i="2"/>
  <c r="R268" i="2"/>
  <c r="AA754" i="2" l="1"/>
  <c r="AA712" i="2"/>
  <c r="AA501" i="2"/>
  <c r="AA755" i="2"/>
  <c r="AA749" i="2"/>
  <c r="AA746" i="2"/>
  <c r="AA520" i="2"/>
  <c r="AA765" i="2"/>
  <c r="AA760" i="2"/>
  <c r="AA379" i="2"/>
  <c r="AA763" i="2"/>
  <c r="AA436" i="2"/>
  <c r="AA522" i="2"/>
  <c r="AA585" i="2"/>
  <c r="AA751" i="2"/>
  <c r="AA545" i="2"/>
  <c r="AA533" i="2"/>
  <c r="AA443" i="2"/>
  <c r="AA478" i="2"/>
  <c r="AA451" i="2"/>
  <c r="AA642" i="2"/>
  <c r="AA688" i="2"/>
  <c r="AA769" i="2"/>
  <c r="AA756" i="2"/>
  <c r="AA758" i="2"/>
  <c r="AA766" i="2"/>
  <c r="AA768" i="2"/>
  <c r="AA750" i="2"/>
  <c r="AA761" i="2"/>
  <c r="AA764" i="2"/>
  <c r="AA748" i="2"/>
  <c r="AA747" i="2"/>
  <c r="AA753" i="2"/>
  <c r="AA752" i="2"/>
  <c r="AA479" i="2"/>
  <c r="AA639" i="2"/>
  <c r="AA604" i="2"/>
  <c r="AA733" i="2"/>
  <c r="AA666" i="2"/>
  <c r="AA450" i="2"/>
  <c r="AA588" i="2"/>
  <c r="AA359" i="2"/>
  <c r="AA728" i="2"/>
  <c r="AA620" i="2"/>
  <c r="AA399" i="2"/>
  <c r="AA600" i="2"/>
  <c r="AA657" i="2"/>
  <c r="AA725" i="2"/>
  <c r="AA485" i="2"/>
  <c r="AA591" i="2"/>
  <c r="AA731" i="2"/>
  <c r="AA699" i="2"/>
  <c r="AA704" i="2"/>
  <c r="AA283" i="2"/>
  <c r="AA373" i="2"/>
  <c r="AA348" i="2"/>
  <c r="AA470" i="2"/>
  <c r="AA431" i="2"/>
  <c r="AA567" i="2"/>
  <c r="AA668" i="2"/>
  <c r="AA709" i="2"/>
  <c r="AA380" i="2"/>
  <c r="AA730" i="2"/>
  <c r="AA608" i="2"/>
  <c r="AA650" i="2"/>
  <c r="AA736" i="2"/>
  <c r="AA489" i="2"/>
  <c r="AA641" i="2"/>
  <c r="AA741" i="2"/>
  <c r="AA442" i="2"/>
  <c r="AA361" i="2"/>
  <c r="AA541" i="2"/>
  <c r="AA565" i="2"/>
  <c r="AA670" i="2"/>
  <c r="AA605" i="2"/>
  <c r="AA504" i="2"/>
  <c r="AA624" i="2"/>
  <c r="AA713" i="2"/>
  <c r="AA717" i="2"/>
  <c r="AA439" i="2"/>
  <c r="AA535" i="2"/>
  <c r="AA676" i="2"/>
  <c r="AA652" i="2"/>
  <c r="AA349" i="2"/>
  <c r="AA435" i="2"/>
  <c r="AA573" i="2"/>
  <c r="AA695" i="2"/>
  <c r="AA706" i="2"/>
  <c r="AA705" i="2"/>
  <c r="AA458" i="2"/>
  <c r="AA636" i="2"/>
  <c r="AA406" i="2"/>
  <c r="AA477" i="2"/>
  <c r="AA580" i="2"/>
  <c r="AA369" i="2"/>
  <c r="AA647" i="2"/>
  <c r="AA684" i="2"/>
  <c r="AA660" i="2"/>
  <c r="AA701" i="2"/>
  <c r="AA644" i="2"/>
  <c r="AA446" i="2"/>
  <c r="AA432" i="2"/>
  <c r="AA593" i="2"/>
  <c r="AA551" i="2"/>
  <c r="AA720" i="2"/>
  <c r="AA506" i="2"/>
  <c r="AA424" i="2"/>
  <c r="AA598" i="2"/>
  <c r="AA484" i="2"/>
  <c r="AA682" i="2"/>
  <c r="AA658" i="2"/>
  <c r="AA375" i="2"/>
  <c r="AA564" i="2"/>
  <c r="AA689" i="2"/>
  <c r="AA455" i="2"/>
  <c r="AA457" i="2"/>
  <c r="AA589" i="2"/>
  <c r="AA549" i="2"/>
  <c r="AA584" i="2"/>
  <c r="AA693" i="2"/>
  <c r="AA576" i="2"/>
  <c r="AA722" i="2"/>
  <c r="AA698" i="2"/>
  <c r="AA427" i="2"/>
  <c r="AA721" i="2"/>
  <c r="AA414" i="2"/>
  <c r="AA370" i="2"/>
  <c r="AA473" i="2"/>
  <c r="AA327" i="2"/>
  <c r="AA337" i="2"/>
  <c r="AA360" i="2"/>
  <c r="AA355" i="2"/>
  <c r="AA447" i="2"/>
  <c r="AA674" i="2"/>
  <c r="AA743" i="2"/>
  <c r="AA663" i="2"/>
  <c r="AA714" i="2"/>
  <c r="AA377" i="2"/>
  <c r="AA617" i="2"/>
  <c r="AA671" i="2"/>
  <c r="AA272" i="2"/>
  <c r="AA516" i="2"/>
  <c r="AA635" i="2"/>
  <c r="AA592" i="2"/>
  <c r="AA434" i="2"/>
  <c r="AA619" i="2"/>
  <c r="AA561" i="2"/>
  <c r="AA481" i="2"/>
  <c r="AA362" i="2"/>
  <c r="AA428" i="2"/>
  <c r="AA625" i="2"/>
  <c r="AA437" i="2"/>
  <c r="AA595" i="2"/>
  <c r="AA553" i="2"/>
  <c r="AA687" i="2"/>
  <c r="AA339" i="2"/>
  <c r="AA342" i="2"/>
  <c r="AA426" i="2"/>
  <c r="AA587" i="2"/>
  <c r="AA634" i="2"/>
  <c r="AA532" i="2"/>
  <c r="AA679" i="2"/>
  <c r="AA273" i="2"/>
  <c r="AA290" i="2"/>
  <c r="AA312" i="2"/>
  <c r="AA335" i="2"/>
  <c r="AA270" i="2"/>
  <c r="AA308" i="2"/>
  <c r="AA316" i="2"/>
  <c r="AA346" i="2"/>
  <c r="AA365" i="2"/>
  <c r="AA398" i="2"/>
  <c r="AA422" i="2"/>
  <c r="AA569" i="2"/>
  <c r="AA345" i="2"/>
  <c r="AA616" i="2"/>
  <c r="AA537" i="2"/>
  <c r="AA480" i="2"/>
  <c r="AA487" i="2"/>
  <c r="AA659" i="2"/>
  <c r="AA697" i="2"/>
  <c r="AA737" i="2"/>
  <c r="AA366" i="2"/>
  <c r="AA347" i="2"/>
  <c r="AA467" i="2"/>
  <c r="AA529" i="2"/>
  <c r="AA423" i="2"/>
  <c r="AA292" i="2"/>
  <c r="AA289" i="2"/>
  <c r="AA303" i="2"/>
  <c r="AA329" i="2"/>
  <c r="AA350" i="2"/>
  <c r="AA400" i="2"/>
  <c r="AA393" i="2"/>
  <c r="AA623" i="2"/>
  <c r="AA606" i="2"/>
  <c r="AA556" i="2"/>
  <c r="AA452" i="2"/>
  <c r="AA612" i="2"/>
  <c r="AA517" i="2"/>
  <c r="AA715" i="2"/>
  <c r="AA742" i="2"/>
  <c r="AA732" i="2"/>
  <c r="AA631" i="2"/>
  <c r="AA729" i="2"/>
  <c r="AA655" i="2"/>
  <c r="AA311" i="2"/>
  <c r="AA309" i="2"/>
  <c r="AA300" i="2"/>
  <c r="AA354" i="2"/>
  <c r="AA521" i="2"/>
  <c r="AA502" i="2"/>
  <c r="AA534" i="2"/>
  <c r="AA578" i="2"/>
  <c r="AA559" i="2"/>
  <c r="AA540" i="2"/>
  <c r="AA611" i="2"/>
  <c r="AA614" i="2"/>
  <c r="AA372" i="2"/>
  <c r="AA454" i="2"/>
  <c r="AA629" i="2"/>
  <c r="AA548" i="2"/>
  <c r="AA672" i="2"/>
  <c r="AA648" i="2"/>
  <c r="AA683" i="2"/>
  <c r="AA633" i="2"/>
  <c r="AA744" i="2"/>
  <c r="AA412" i="2"/>
  <c r="AA438" i="2"/>
  <c r="AA628" i="2"/>
  <c r="AA429" i="2"/>
  <c r="AA669" i="2"/>
  <c r="AA645" i="2"/>
  <c r="AA680" i="2"/>
  <c r="AA718" i="2"/>
  <c r="AA317" i="2"/>
  <c r="AA296" i="2"/>
  <c r="AA407" i="2"/>
  <c r="AA396" i="2"/>
  <c r="AA440" i="2"/>
  <c r="AA463" i="2"/>
  <c r="AA510" i="2"/>
  <c r="AA523" i="2"/>
  <c r="AA500" i="2"/>
  <c r="AA574" i="2"/>
  <c r="AA590" i="2"/>
  <c r="AA496" i="2"/>
  <c r="AA353" i="2"/>
  <c r="AA525" i="2"/>
  <c r="AA745" i="2"/>
  <c r="AA735" i="2"/>
  <c r="AA449" i="2"/>
  <c r="AA690" i="2"/>
  <c r="AA420" i="2"/>
  <c r="AA433" i="2"/>
  <c r="AA492" i="2"/>
  <c r="AA615" i="2"/>
  <c r="AA586" i="2"/>
  <c r="AA582" i="2"/>
  <c r="AA527" i="2"/>
  <c r="AA557" i="2"/>
  <c r="AA494" i="2"/>
  <c r="AA344" i="2"/>
  <c r="AA664" i="2"/>
  <c r="AA291" i="2"/>
  <c r="AA313" i="2"/>
  <c r="AA331" i="2"/>
  <c r="AA326" i="2"/>
  <c r="AA338" i="2"/>
  <c r="AA413" i="2"/>
  <c r="AA415" i="2"/>
  <c r="AA515" i="2"/>
  <c r="AA542" i="2"/>
  <c r="AA536" i="2"/>
  <c r="AA603" i="2"/>
  <c r="AA596" i="2"/>
  <c r="AA441" i="2"/>
  <c r="AA627" i="2"/>
  <c r="AA543" i="2"/>
  <c r="AA637" i="2"/>
  <c r="AA646" i="2"/>
  <c r="AA703" i="2"/>
  <c r="AA734" i="2"/>
  <c r="AA739" i="2"/>
  <c r="AA707" i="2"/>
  <c r="AA726" i="2"/>
  <c r="AA724" i="2"/>
  <c r="AA692" i="2"/>
  <c r="AA700" i="2"/>
  <c r="AA710" i="2"/>
  <c r="AA716" i="2"/>
  <c r="AA727" i="2"/>
  <c r="AA723" i="2"/>
  <c r="AA691" i="2"/>
  <c r="AA702" i="2"/>
  <c r="AA740" i="2"/>
  <c r="AA708" i="2"/>
  <c r="AA719" i="2"/>
  <c r="AA694" i="2"/>
  <c r="AA711" i="2"/>
  <c r="AA654" i="2"/>
  <c r="AA638" i="2"/>
  <c r="AA678" i="2"/>
  <c r="AA643" i="2"/>
  <c r="AA685" i="2"/>
  <c r="AA661" i="2"/>
  <c r="AA651" i="2"/>
  <c r="AA681" i="2"/>
  <c r="AA656" i="2"/>
  <c r="AA675" i="2"/>
  <c r="AA686" i="2"/>
  <c r="AA667" i="2"/>
  <c r="AA662" i="2"/>
  <c r="AA649" i="2"/>
  <c r="AA677" i="2"/>
  <c r="AA653" i="2"/>
  <c r="AA632" i="2"/>
  <c r="AA673" i="2"/>
  <c r="AA358" i="2"/>
  <c r="AA430" i="2"/>
  <c r="AA276" i="2"/>
  <c r="AA278" i="2"/>
  <c r="AA410" i="2"/>
  <c r="AA304" i="2"/>
  <c r="AA425" i="2"/>
  <c r="AA357" i="2"/>
  <c r="AA459" i="2"/>
  <c r="AA490" i="2"/>
  <c r="AA575" i="2"/>
  <c r="AA453" i="2"/>
  <c r="AA356" i="2"/>
  <c r="AA376" i="2"/>
  <c r="AA378" i="2"/>
  <c r="AA495" i="2"/>
  <c r="AA607" i="2"/>
  <c r="AA583" i="2"/>
  <c r="AA622" i="2"/>
  <c r="AA448" i="2"/>
  <c r="AA609" i="2"/>
  <c r="AA488" i="2"/>
  <c r="AA514" i="2"/>
  <c r="AA509" i="2"/>
  <c r="AA391" i="2"/>
  <c r="AA456" i="2"/>
  <c r="AA301" i="2"/>
  <c r="AA367" i="2"/>
  <c r="AA352" i="2"/>
  <c r="AA383" i="2"/>
  <c r="AA460" i="2"/>
  <c r="AA468" i="2"/>
  <c r="AA465" i="2"/>
  <c r="AA476" i="2"/>
  <c r="AA482" i="2"/>
  <c r="AA507" i="2"/>
  <c r="AA550" i="2"/>
  <c r="AA498" i="2"/>
  <c r="AA621" i="2"/>
  <c r="AA613" i="2"/>
  <c r="AA597" i="2"/>
  <c r="AA610" i="2"/>
  <c r="AA581" i="2"/>
  <c r="AA602" i="2"/>
  <c r="AA618" i="2"/>
  <c r="AA626" i="2"/>
  <c r="AA594" i="2"/>
  <c r="AA568" i="2"/>
  <c r="AA566" i="2"/>
  <c r="AA562" i="2"/>
  <c r="AA530" i="2"/>
  <c r="AA526" i="2"/>
  <c r="AA528" i="2"/>
  <c r="AA563" i="2"/>
  <c r="AA531" i="2"/>
  <c r="AA552" i="2"/>
  <c r="AA555" i="2"/>
  <c r="AA560" i="2"/>
  <c r="AA544" i="2"/>
  <c r="AA554" i="2"/>
  <c r="AA546" i="2"/>
  <c r="AA572" i="2"/>
  <c r="AA571" i="2"/>
  <c r="AA539" i="2"/>
  <c r="AA558" i="2"/>
  <c r="AA547" i="2"/>
  <c r="AA570" i="2"/>
  <c r="AA538" i="2"/>
  <c r="AA519" i="2"/>
  <c r="AA513" i="2"/>
  <c r="AA499" i="2"/>
  <c r="AA505" i="2"/>
  <c r="AA503" i="2"/>
  <c r="AA518" i="2"/>
  <c r="AA524" i="2"/>
  <c r="AA508" i="2"/>
  <c r="AA511" i="2"/>
  <c r="AA486" i="2"/>
  <c r="AA483" i="2"/>
  <c r="AA493" i="2"/>
  <c r="AA491" i="2"/>
  <c r="AA475" i="2"/>
  <c r="AA471" i="2"/>
  <c r="AA474" i="2"/>
  <c r="AA469" i="2"/>
  <c r="AA472" i="2"/>
  <c r="AA466" i="2"/>
  <c r="AA464" i="2"/>
  <c r="AA461" i="2"/>
  <c r="AA462" i="2"/>
  <c r="AA418" i="2"/>
  <c r="AA394" i="2"/>
  <c r="AA388" i="2"/>
  <c r="AA386" i="2"/>
  <c r="AA404" i="2"/>
  <c r="AA402" i="2"/>
  <c r="AA395" i="2"/>
  <c r="AA381" i="2"/>
  <c r="AA387" i="2"/>
  <c r="AA401" i="2"/>
  <c r="AA385" i="2"/>
  <c r="AA405" i="2"/>
  <c r="AA411" i="2"/>
  <c r="AA389" i="2"/>
  <c r="AA416" i="2"/>
  <c r="AA384" i="2"/>
  <c r="AA392" i="2"/>
  <c r="AA409" i="2"/>
  <c r="AA419" i="2"/>
  <c r="AA408" i="2"/>
  <c r="AA417" i="2"/>
  <c r="AA397" i="2"/>
  <c r="AA403" i="2"/>
  <c r="AA390" i="2"/>
  <c r="AA421" i="2"/>
  <c r="AA382" i="2"/>
  <c r="AA363" i="2"/>
  <c r="AA371" i="2"/>
  <c r="AA374" i="2"/>
  <c r="AA280" i="2"/>
  <c r="AA271" i="2"/>
  <c r="AA330" i="2"/>
  <c r="AA297" i="2"/>
  <c r="AA269" i="2"/>
  <c r="AA336" i="2"/>
  <c r="AA305" i="2"/>
  <c r="AA275" i="2"/>
  <c r="AA293" i="2"/>
  <c r="AA322" i="2"/>
  <c r="AA288" i="2"/>
  <c r="AA323" i="2"/>
  <c r="AA334" i="2"/>
  <c r="AA320" i="2"/>
  <c r="AA274" i="2"/>
  <c r="AA328" i="2"/>
  <c r="AA281" i="2"/>
  <c r="AA343" i="2"/>
  <c r="AA340" i="2"/>
  <c r="AA286" i="2"/>
  <c r="AA341" i="2"/>
  <c r="AA332" i="2"/>
  <c r="AA333" i="2"/>
  <c r="AA324" i="2"/>
  <c r="AA325" i="2"/>
  <c r="AA306" i="2"/>
  <c r="AA310" i="2"/>
  <c r="AA319" i="2"/>
  <c r="AA318" i="2"/>
  <c r="AA294" i="2"/>
  <c r="AA307" i="2"/>
  <c r="AA321" i="2"/>
  <c r="AA315" i="2"/>
  <c r="AA298" i="2"/>
  <c r="AA302" i="2"/>
  <c r="AA314" i="2"/>
  <c r="AA299" i="2"/>
  <c r="AA287" i="2"/>
  <c r="AA279" i="2"/>
  <c r="AA285" i="2"/>
  <c r="AA277" i="2"/>
  <c r="AA284" i="2"/>
  <c r="AA268" i="2"/>
  <c r="P267" i="2" l="1"/>
  <c r="Z267" i="2" s="1"/>
  <c r="P266" i="2"/>
  <c r="R266" i="2" s="1"/>
  <c r="P265" i="2"/>
  <c r="X265" i="2" s="1"/>
  <c r="P264" i="2"/>
  <c r="Z264" i="2" s="1"/>
  <c r="P263" i="2"/>
  <c r="X263" i="2" s="1"/>
  <c r="P262" i="2"/>
  <c r="Z262" i="2" s="1"/>
  <c r="P261" i="2"/>
  <c r="Z261" i="2" s="1"/>
  <c r="P260" i="2"/>
  <c r="X260" i="2" s="1"/>
  <c r="P259" i="2"/>
  <c r="Z259" i="2" s="1"/>
  <c r="P258" i="2"/>
  <c r="R258" i="2" s="1"/>
  <c r="P257" i="2"/>
  <c r="R257" i="2" s="1"/>
  <c r="P256" i="2"/>
  <c r="Z256" i="2" s="1"/>
  <c r="P255" i="2"/>
  <c r="X255" i="2" s="1"/>
  <c r="P254" i="2"/>
  <c r="R254" i="2" s="1"/>
  <c r="P253" i="2"/>
  <c r="Z253" i="2" s="1"/>
  <c r="P252" i="2"/>
  <c r="R252" i="2" s="1"/>
  <c r="P251" i="2"/>
  <c r="X251" i="2" s="1"/>
  <c r="P250" i="2"/>
  <c r="R250" i="2" s="1"/>
  <c r="P249" i="2"/>
  <c r="R249" i="2" s="1"/>
  <c r="P248" i="2"/>
  <c r="Z248" i="2" s="1"/>
  <c r="P247" i="2"/>
  <c r="X247" i="2" s="1"/>
  <c r="P246" i="2"/>
  <c r="Z246" i="2" s="1"/>
  <c r="P245" i="2"/>
  <c r="Z245" i="2" s="1"/>
  <c r="P244" i="2"/>
  <c r="R244" i="2" s="1"/>
  <c r="P243" i="2"/>
  <c r="X243" i="2" s="1"/>
  <c r="P242" i="2"/>
  <c r="R242" i="2" s="1"/>
  <c r="P241" i="2"/>
  <c r="R241" i="2" s="1"/>
  <c r="P240" i="2"/>
  <c r="Z240" i="2" s="1"/>
  <c r="P239" i="2"/>
  <c r="X239" i="2" s="1"/>
  <c r="P238" i="2"/>
  <c r="R238" i="2" s="1"/>
  <c r="P237" i="2"/>
  <c r="Z237" i="2" s="1"/>
  <c r="P236" i="2"/>
  <c r="R236" i="2" s="1"/>
  <c r="P235" i="2"/>
  <c r="Z235" i="2" s="1"/>
  <c r="P234" i="2"/>
  <c r="R234" i="2" s="1"/>
  <c r="P233" i="2"/>
  <c r="Z233" i="2" s="1"/>
  <c r="P232" i="2"/>
  <c r="Z232" i="2" s="1"/>
  <c r="P231" i="2"/>
  <c r="R231" i="2" s="1"/>
  <c r="P230" i="2"/>
  <c r="Z230" i="2" s="1"/>
  <c r="P229" i="2"/>
  <c r="X229" i="2" s="1"/>
  <c r="P228" i="2"/>
  <c r="R228" i="2" s="1"/>
  <c r="P227" i="2"/>
  <c r="Z227" i="2" s="1"/>
  <c r="P226" i="2"/>
  <c r="R226" i="2" s="1"/>
  <c r="P225" i="2"/>
  <c r="Z225" i="2" s="1"/>
  <c r="P224" i="2"/>
  <c r="Z224" i="2" s="1"/>
  <c r="P223" i="2"/>
  <c r="Z223" i="2" s="1"/>
  <c r="P222" i="2"/>
  <c r="Z222" i="2" s="1"/>
  <c r="P221" i="2"/>
  <c r="X221" i="2" s="1"/>
  <c r="P220" i="2"/>
  <c r="Z220" i="2" s="1"/>
  <c r="P219" i="2"/>
  <c r="R219" i="2" s="1"/>
  <c r="P218" i="2"/>
  <c r="R218" i="2" s="1"/>
  <c r="P217" i="2"/>
  <c r="X217" i="2" s="1"/>
  <c r="P216" i="2"/>
  <c r="Z216" i="2" s="1"/>
  <c r="P215" i="2"/>
  <c r="Z215" i="2" s="1"/>
  <c r="P214" i="2"/>
  <c r="R214" i="2" s="1"/>
  <c r="P213" i="2"/>
  <c r="X213" i="2" s="1"/>
  <c r="P212" i="2"/>
  <c r="Z212" i="2" s="1"/>
  <c r="P211" i="2"/>
  <c r="Z211" i="2" s="1"/>
  <c r="P210" i="2"/>
  <c r="R210" i="2" s="1"/>
  <c r="P209" i="2"/>
  <c r="Z209" i="2" s="1"/>
  <c r="P208" i="2"/>
  <c r="R208" i="2" s="1"/>
  <c r="AA208" i="2" s="1"/>
  <c r="P207" i="2"/>
  <c r="Z207" i="2" s="1"/>
  <c r="P206" i="2"/>
  <c r="R206" i="2" s="1"/>
  <c r="P205" i="2"/>
  <c r="Z205" i="2" s="1"/>
  <c r="P204" i="2"/>
  <c r="Z204" i="2" s="1"/>
  <c r="P203" i="2"/>
  <c r="Z203" i="2" s="1"/>
  <c r="P202" i="2"/>
  <c r="X202" i="2" s="1"/>
  <c r="P201" i="2"/>
  <c r="X201" i="2" s="1"/>
  <c r="P200" i="2"/>
  <c r="Z200" i="2" s="1"/>
  <c r="P199" i="2"/>
  <c r="R199" i="2" s="1"/>
  <c r="P198" i="2"/>
  <c r="R198" i="2" s="1"/>
  <c r="P197" i="2"/>
  <c r="Z197" i="2" s="1"/>
  <c r="P196" i="2"/>
  <c r="Z196" i="2" s="1"/>
  <c r="P195" i="2"/>
  <c r="R195" i="2" s="1"/>
  <c r="P194" i="2"/>
  <c r="X194" i="2" s="1"/>
  <c r="P193" i="2"/>
  <c r="X193" i="2" s="1"/>
  <c r="R223" i="2" l="1"/>
  <c r="X195" i="2"/>
  <c r="X223" i="2"/>
  <c r="Z195" i="2"/>
  <c r="AA195" i="2" s="1"/>
  <c r="X234" i="2"/>
  <c r="Z247" i="2"/>
  <c r="Z234" i="2"/>
  <c r="X231" i="2"/>
  <c r="AA231" i="2" s="1"/>
  <c r="Z226" i="2"/>
  <c r="Z231" i="2"/>
  <c r="Z218" i="2"/>
  <c r="Z239" i="2"/>
  <c r="Z255" i="2"/>
  <c r="Z263" i="2"/>
  <c r="Z210" i="2"/>
  <c r="AA210" i="2" s="1"/>
  <c r="X227" i="2"/>
  <c r="X206" i="2"/>
  <c r="Z260" i="2"/>
  <c r="X241" i="2"/>
  <c r="R245" i="2"/>
  <c r="X249" i="2"/>
  <c r="R253" i="2"/>
  <c r="X257" i="2"/>
  <c r="R265" i="2"/>
  <c r="R215" i="2"/>
  <c r="X244" i="2"/>
  <c r="X252" i="2"/>
  <c r="R260" i="2"/>
  <c r="X215" i="2"/>
  <c r="Z244" i="2"/>
  <c r="Z252" i="2"/>
  <c r="Z193" i="2"/>
  <c r="Z206" i="2"/>
  <c r="R232" i="2"/>
  <c r="X198" i="2"/>
  <c r="Z221" i="2"/>
  <c r="Z229" i="2"/>
  <c r="X232" i="2"/>
  <c r="R237" i="2"/>
  <c r="Z241" i="2"/>
  <c r="X245" i="2"/>
  <c r="Z249" i="2"/>
  <c r="X253" i="2"/>
  <c r="Z257" i="2"/>
  <c r="Z265" i="2"/>
  <c r="X203" i="2"/>
  <c r="Z213" i="2"/>
  <c r="X261" i="2"/>
  <c r="X210" i="2"/>
  <c r="Z201" i="2"/>
  <c r="R224" i="2"/>
  <c r="R203" i="2"/>
  <c r="R261" i="2"/>
  <c r="Z198" i="2"/>
  <c r="AA198" i="2" s="1"/>
  <c r="X218" i="2"/>
  <c r="X226" i="2"/>
  <c r="AA226" i="2" s="1"/>
  <c r="R246" i="2"/>
  <c r="X238" i="2"/>
  <c r="X246" i="2"/>
  <c r="R251" i="2"/>
  <c r="Z243" i="2"/>
  <c r="R239" i="2"/>
  <c r="AA239" i="2" s="1"/>
  <c r="X242" i="2"/>
  <c r="R247" i="2"/>
  <c r="X250" i="2"/>
  <c r="R255" i="2"/>
  <c r="X258" i="2"/>
  <c r="R263" i="2"/>
  <c r="X266" i="2"/>
  <c r="R243" i="2"/>
  <c r="X240" i="2"/>
  <c r="X248" i="2"/>
  <c r="Z251" i="2"/>
  <c r="X256" i="2"/>
  <c r="X264" i="2"/>
  <c r="Z242" i="2"/>
  <c r="Z250" i="2"/>
  <c r="Z258" i="2"/>
  <c r="Z266" i="2"/>
  <c r="R267" i="2"/>
  <c r="R262" i="2"/>
  <c r="X254" i="2"/>
  <c r="R259" i="2"/>
  <c r="X262" i="2"/>
  <c r="Z238" i="2"/>
  <c r="R240" i="2"/>
  <c r="R248" i="2"/>
  <c r="Z254" i="2"/>
  <c r="R256" i="2"/>
  <c r="X259" i="2"/>
  <c r="R264" i="2"/>
  <c r="AA264" i="2" s="1"/>
  <c r="X267" i="2"/>
  <c r="X236" i="2"/>
  <c r="R220" i="2"/>
  <c r="X220" i="2"/>
  <c r="R233" i="2"/>
  <c r="R222" i="2"/>
  <c r="X225" i="2"/>
  <c r="Z228" i="2"/>
  <c r="R230" i="2"/>
  <c r="X233" i="2"/>
  <c r="Z236" i="2"/>
  <c r="R225" i="2"/>
  <c r="X228" i="2"/>
  <c r="X222" i="2"/>
  <c r="R227" i="2"/>
  <c r="X230" i="2"/>
  <c r="R235" i="2"/>
  <c r="X235" i="2"/>
  <c r="R221" i="2"/>
  <c r="X224" i="2"/>
  <c r="R229" i="2"/>
  <c r="X237" i="2"/>
  <c r="R200" i="2"/>
  <c r="R212" i="2"/>
  <c r="R197" i="2"/>
  <c r="X200" i="2"/>
  <c r="R205" i="2"/>
  <c r="X212" i="2"/>
  <c r="R207" i="2"/>
  <c r="R211" i="2"/>
  <c r="X214" i="2"/>
  <c r="Z217" i="2"/>
  <c r="Z194" i="2"/>
  <c r="X199" i="2"/>
  <c r="Z202" i="2"/>
  <c r="R204" i="2"/>
  <c r="X207" i="2"/>
  <c r="X211" i="2"/>
  <c r="Z214" i="2"/>
  <c r="R216" i="2"/>
  <c r="X219" i="2"/>
  <c r="R193" i="2"/>
  <c r="X196" i="2"/>
  <c r="Z199" i="2"/>
  <c r="R201" i="2"/>
  <c r="X204" i="2"/>
  <c r="R213" i="2"/>
  <c r="X216" i="2"/>
  <c r="Z219" i="2"/>
  <c r="R217" i="2"/>
  <c r="R194" i="2"/>
  <c r="X197" i="2"/>
  <c r="R202" i="2"/>
  <c r="X205" i="2"/>
  <c r="X209" i="2"/>
  <c r="AA209" i="2" s="1"/>
  <c r="R196" i="2"/>
  <c r="AA243" i="2" l="1"/>
  <c r="AA223" i="2"/>
  <c r="AA257" i="2"/>
  <c r="AA253" i="2"/>
  <c r="AA230" i="2"/>
  <c r="AA261" i="2"/>
  <c r="AA254" i="2"/>
  <c r="AA241" i="2"/>
  <c r="AA203" i="2"/>
  <c r="AA234" i="2"/>
  <c r="AA233" i="2"/>
  <c r="AA217" i="2"/>
  <c r="AA263" i="2"/>
  <c r="AA255" i="2"/>
  <c r="AA232" i="2"/>
  <c r="AA247" i="2"/>
  <c r="AA245" i="2"/>
  <c r="AA206" i="2"/>
  <c r="AA265" i="2"/>
  <c r="AA201" i="2"/>
  <c r="AA218" i="2"/>
  <c r="AA244" i="2"/>
  <c r="AA252" i="2"/>
  <c r="AA249" i="2"/>
  <c r="AA193" i="2"/>
  <c r="AA215" i="2"/>
  <c r="AA260" i="2"/>
  <c r="AA227" i="2"/>
  <c r="AA199" i="2"/>
  <c r="AA197" i="2"/>
  <c r="AA228" i="2"/>
  <c r="AA238" i="2"/>
  <c r="AA212" i="2"/>
  <c r="AA213" i="2"/>
  <c r="AA221" i="2"/>
  <c r="AA237" i="2"/>
  <c r="AA229" i="2"/>
  <c r="AA224" i="2"/>
  <c r="AA250" i="2"/>
  <c r="AA256" i="2"/>
  <c r="AA258" i="2"/>
  <c r="AA262" i="2"/>
  <c r="AA246" i="2"/>
  <c r="AA248" i="2"/>
  <c r="AA242" i="2"/>
  <c r="AA266" i="2"/>
  <c r="AA251" i="2"/>
  <c r="AA259" i="2"/>
  <c r="AA240" i="2"/>
  <c r="AA267" i="2"/>
  <c r="AA225" i="2"/>
  <c r="AA236" i="2"/>
  <c r="AA220" i="2"/>
  <c r="AA235" i="2"/>
  <c r="AA222" i="2"/>
  <c r="AA219" i="2"/>
  <c r="AA214" i="2"/>
  <c r="AA194" i="2"/>
  <c r="AA205" i="2"/>
  <c r="AA196" i="2"/>
  <c r="AA216" i="2"/>
  <c r="AA200" i="2"/>
  <c r="AA211" i="2"/>
  <c r="AA202" i="2"/>
  <c r="AA207" i="2"/>
  <c r="AA204" i="2"/>
  <c r="P192" i="2" l="1"/>
  <c r="Z192" i="2" s="1"/>
  <c r="P191" i="2"/>
  <c r="Z191" i="2" s="1"/>
  <c r="P190" i="2"/>
  <c r="Z190" i="2" s="1"/>
  <c r="P189" i="2"/>
  <c r="X189" i="2" s="1"/>
  <c r="P188" i="2"/>
  <c r="Z188" i="2" s="1"/>
  <c r="P187" i="2"/>
  <c r="Z187" i="2" s="1"/>
  <c r="P186" i="2"/>
  <c r="X186" i="2" s="1"/>
  <c r="P185" i="2"/>
  <c r="Z185" i="2" s="1"/>
  <c r="P184" i="2"/>
  <c r="Z184" i="2" s="1"/>
  <c r="P183" i="2"/>
  <c r="Z183" i="2" s="1"/>
  <c r="P182" i="2"/>
  <c r="X182" i="2" s="1"/>
  <c r="P181" i="2"/>
  <c r="X181" i="2" s="1"/>
  <c r="P180" i="2"/>
  <c r="Z180" i="2" s="1"/>
  <c r="P179" i="2"/>
  <c r="R179" i="2" s="1"/>
  <c r="P178" i="2"/>
  <c r="Z178" i="2" s="1"/>
  <c r="R183" i="2" l="1"/>
  <c r="X183" i="2"/>
  <c r="X178" i="2"/>
  <c r="X191" i="2"/>
  <c r="R186" i="2"/>
  <c r="Z186" i="2"/>
  <c r="Z189" i="2"/>
  <c r="Z181" i="2"/>
  <c r="R178" i="2"/>
  <c r="R191" i="2"/>
  <c r="R188" i="2"/>
  <c r="X180" i="2"/>
  <c r="R182" i="2"/>
  <c r="X185" i="2"/>
  <c r="R187" i="2"/>
  <c r="X179" i="2"/>
  <c r="Z182" i="2"/>
  <c r="R184" i="2"/>
  <c r="X187" i="2"/>
  <c r="R192" i="2"/>
  <c r="Z179" i="2"/>
  <c r="R181" i="2"/>
  <c r="X184" i="2"/>
  <c r="R189" i="2"/>
  <c r="X192" i="2"/>
  <c r="R180" i="2"/>
  <c r="R185" i="2"/>
  <c r="X188" i="2"/>
  <c r="R190" i="2"/>
  <c r="X190" i="2"/>
  <c r="AA181" i="2" l="1"/>
  <c r="AA178" i="2"/>
  <c r="AA183" i="2"/>
  <c r="AA186" i="2"/>
  <c r="AA189" i="2"/>
  <c r="AA191" i="2"/>
  <c r="AA179" i="2"/>
  <c r="AA187" i="2"/>
  <c r="AA188" i="2"/>
  <c r="AA190" i="2"/>
  <c r="AA182" i="2"/>
  <c r="AA192" i="2"/>
  <c r="AA185" i="2"/>
  <c r="AA180" i="2"/>
  <c r="AA184" i="2"/>
  <c r="P177" i="2" l="1"/>
  <c r="Z177" i="2" s="1"/>
  <c r="P176" i="2"/>
  <c r="R176" i="2" s="1"/>
  <c r="P175" i="2"/>
  <c r="Z175" i="2" s="1"/>
  <c r="P174" i="2"/>
  <c r="Z174" i="2" s="1"/>
  <c r="P173" i="2"/>
  <c r="Z173" i="2" s="1"/>
  <c r="P172" i="2"/>
  <c r="Z172" i="2" s="1"/>
  <c r="P171" i="2"/>
  <c r="X171" i="2" s="1"/>
  <c r="P170" i="2"/>
  <c r="R170" i="2" s="1"/>
  <c r="P169" i="2"/>
  <c r="X169" i="2" s="1"/>
  <c r="P168" i="2"/>
  <c r="R168" i="2" s="1"/>
  <c r="P167" i="2"/>
  <c r="Z167" i="2" s="1"/>
  <c r="P166" i="2"/>
  <c r="Z166" i="2" s="1"/>
  <c r="P165" i="2"/>
  <c r="Z165" i="2" s="1"/>
  <c r="P164" i="2"/>
  <c r="Z164" i="2" s="1"/>
  <c r="P163" i="2"/>
  <c r="X163" i="2" s="1"/>
  <c r="P162" i="2"/>
  <c r="R162" i="2" s="1"/>
  <c r="P161" i="2"/>
  <c r="X161" i="2" s="1"/>
  <c r="P160" i="2"/>
  <c r="R160" i="2" s="1"/>
  <c r="P159" i="2"/>
  <c r="R159" i="2" s="1"/>
  <c r="P158" i="2"/>
  <c r="Z158" i="2" s="1"/>
  <c r="P157" i="2"/>
  <c r="R157" i="2" s="1"/>
  <c r="P156" i="2"/>
  <c r="Z156" i="2" s="1"/>
  <c r="P155" i="2"/>
  <c r="Z155" i="2" s="1"/>
  <c r="P154" i="2"/>
  <c r="R154" i="2" s="1"/>
  <c r="P153" i="2"/>
  <c r="Z153" i="2" s="1"/>
  <c r="P152" i="2"/>
  <c r="Z152" i="2" s="1"/>
  <c r="P151" i="2"/>
  <c r="X151" i="2" s="1"/>
  <c r="P150" i="2"/>
  <c r="Z150" i="2" s="1"/>
  <c r="P149" i="2"/>
  <c r="R149" i="2" s="1"/>
  <c r="P148" i="2"/>
  <c r="X148" i="2" s="1"/>
  <c r="P147" i="2"/>
  <c r="Z147" i="2" s="1"/>
  <c r="P146" i="2"/>
  <c r="X146" i="2" s="1"/>
  <c r="P145" i="2"/>
  <c r="Z145" i="2" s="1"/>
  <c r="P144" i="2"/>
  <c r="X144" i="2" s="1"/>
  <c r="P143" i="2"/>
  <c r="Z143" i="2" s="1"/>
  <c r="P142" i="2"/>
  <c r="X142" i="2" s="1"/>
  <c r="P141" i="2"/>
  <c r="R141" i="2" s="1"/>
  <c r="P140" i="2"/>
  <c r="Z140" i="2" s="1"/>
  <c r="P139" i="2"/>
  <c r="Z139" i="2" s="1"/>
  <c r="P138" i="2"/>
  <c r="X138" i="2" s="1"/>
  <c r="P137" i="2"/>
  <c r="Z137" i="2" s="1"/>
  <c r="P136" i="2"/>
  <c r="X136" i="2" s="1"/>
  <c r="P135" i="2"/>
  <c r="Z135" i="2" s="1"/>
  <c r="P134" i="2"/>
  <c r="X134" i="2" s="1"/>
  <c r="P133" i="2"/>
  <c r="R133" i="2" s="1"/>
  <c r="P132" i="2"/>
  <c r="X132" i="2" s="1"/>
  <c r="P131" i="2"/>
  <c r="Z131" i="2" s="1"/>
  <c r="P130" i="2"/>
  <c r="X130" i="2" s="1"/>
  <c r="P129" i="2"/>
  <c r="Z129" i="2" s="1"/>
  <c r="P128" i="2"/>
  <c r="X128" i="2" s="1"/>
  <c r="P127" i="2"/>
  <c r="Z127" i="2" s="1"/>
  <c r="P126" i="2"/>
  <c r="X126" i="2" s="1"/>
  <c r="P125" i="2"/>
  <c r="R125" i="2" s="1"/>
  <c r="P124" i="2"/>
  <c r="R124" i="2" s="1"/>
  <c r="P123" i="2"/>
  <c r="Z123" i="2" s="1"/>
  <c r="P122" i="2"/>
  <c r="X122" i="2" s="1"/>
  <c r="P121" i="2"/>
  <c r="R121" i="2" s="1"/>
  <c r="P120" i="2"/>
  <c r="Z120" i="2" s="1"/>
  <c r="P119" i="2"/>
  <c r="Z119" i="2" s="1"/>
  <c r="P118" i="2"/>
  <c r="Z118" i="2" s="1"/>
  <c r="P117" i="2"/>
  <c r="Z117" i="2" s="1"/>
  <c r="P116" i="2"/>
  <c r="Z116" i="2" s="1"/>
  <c r="P115" i="2"/>
  <c r="X115" i="2" s="1"/>
  <c r="P114" i="2"/>
  <c r="X114" i="2" s="1"/>
  <c r="P113" i="2"/>
  <c r="R113" i="2" s="1"/>
  <c r="P112" i="2"/>
  <c r="Z112" i="2" s="1"/>
  <c r="P111" i="2"/>
  <c r="Z111" i="2" s="1"/>
  <c r="P110" i="2"/>
  <c r="X110" i="2" s="1"/>
  <c r="P109" i="2"/>
  <c r="Z109" i="2" s="1"/>
  <c r="P108" i="2"/>
  <c r="R108" i="2" s="1"/>
  <c r="P107" i="2"/>
  <c r="X107" i="2" s="1"/>
  <c r="P106" i="2"/>
  <c r="Z106" i="2" s="1"/>
  <c r="P105" i="2"/>
  <c r="X105" i="2" s="1"/>
  <c r="P104" i="2"/>
  <c r="Z104" i="2" s="1"/>
  <c r="P103" i="2"/>
  <c r="R103" i="2" s="1"/>
  <c r="P102" i="2"/>
  <c r="R102" i="2" s="1"/>
  <c r="P101" i="2"/>
  <c r="Z101" i="2" s="1"/>
  <c r="P100" i="2"/>
  <c r="R100" i="2" s="1"/>
  <c r="P99" i="2"/>
  <c r="Z99" i="2" s="1"/>
  <c r="P98" i="2"/>
  <c r="Z98" i="2" s="1"/>
  <c r="P97" i="2"/>
  <c r="R97" i="2" s="1"/>
  <c r="P96" i="2"/>
  <c r="Z96" i="2" s="1"/>
  <c r="P95" i="2"/>
  <c r="X95" i="2" s="1"/>
  <c r="P94" i="2"/>
  <c r="Z94" i="2" s="1"/>
  <c r="P93" i="2"/>
  <c r="Z93" i="2" s="1"/>
  <c r="P92" i="2"/>
  <c r="X92" i="2" s="1"/>
  <c r="P91" i="2"/>
  <c r="Z91" i="2" s="1"/>
  <c r="P90" i="2"/>
  <c r="Z90" i="2" s="1"/>
  <c r="P89" i="2"/>
  <c r="Z89" i="2" s="1"/>
  <c r="P88" i="2"/>
  <c r="X88" i="2" s="1"/>
  <c r="P87" i="2"/>
  <c r="X87" i="2" s="1"/>
  <c r="P86" i="2"/>
  <c r="X86" i="2" s="1"/>
  <c r="P85" i="2"/>
  <c r="X85" i="2" s="1"/>
  <c r="P84" i="2"/>
  <c r="R84" i="2" s="1"/>
  <c r="P83" i="2"/>
  <c r="Z83" i="2" s="1"/>
  <c r="P82" i="2"/>
  <c r="Z82" i="2" s="1"/>
  <c r="P81" i="2"/>
  <c r="X81" i="2" s="1"/>
  <c r="P80" i="2"/>
  <c r="X80" i="2" s="1"/>
  <c r="P79" i="2"/>
  <c r="X79" i="2" s="1"/>
  <c r="P78" i="2"/>
  <c r="X78" i="2" s="1"/>
  <c r="P77" i="2"/>
  <c r="Z77" i="2" s="1"/>
  <c r="P76" i="2"/>
  <c r="Z76" i="2" s="1"/>
  <c r="P75" i="2"/>
  <c r="Z75" i="2" s="1"/>
  <c r="P74" i="2"/>
  <c r="Z74" i="2" s="1"/>
  <c r="P73" i="2"/>
  <c r="Z73" i="2" s="1"/>
  <c r="P72" i="2"/>
  <c r="X72" i="2" s="1"/>
  <c r="P71" i="2"/>
  <c r="X71" i="2" s="1"/>
  <c r="P70" i="2"/>
  <c r="Z70" i="2" s="1"/>
  <c r="P69" i="2"/>
  <c r="R69" i="2" s="1"/>
  <c r="P68" i="2"/>
  <c r="X68" i="2" s="1"/>
  <c r="P67" i="2"/>
  <c r="Z67" i="2" s="1"/>
  <c r="P66" i="2"/>
  <c r="Z66" i="2" s="1"/>
  <c r="P65" i="2"/>
  <c r="Z65" i="2" s="1"/>
  <c r="P64" i="2"/>
  <c r="Z64" i="2" s="1"/>
  <c r="P63" i="2"/>
  <c r="Z63" i="2" s="1"/>
  <c r="P62" i="2"/>
  <c r="Z62" i="2" s="1"/>
  <c r="P61" i="2"/>
  <c r="R61" i="2" s="1"/>
  <c r="P60" i="2"/>
  <c r="X60" i="2" s="1"/>
  <c r="P59" i="2"/>
  <c r="Z59" i="2" s="1"/>
  <c r="P58" i="2"/>
  <c r="Z58" i="2" s="1"/>
  <c r="P57" i="2"/>
  <c r="Z57" i="2" s="1"/>
  <c r="P56" i="2"/>
  <c r="X56" i="2" s="1"/>
  <c r="P55" i="2"/>
  <c r="Z55" i="2" s="1"/>
  <c r="P54" i="2"/>
  <c r="Z54" i="2" s="1"/>
  <c r="P53" i="2"/>
  <c r="R53" i="2" s="1"/>
  <c r="P52" i="2"/>
  <c r="X52" i="2" s="1"/>
  <c r="P51" i="2"/>
  <c r="X51" i="2" s="1"/>
  <c r="P50" i="2"/>
  <c r="Z50" i="2" s="1"/>
  <c r="P49" i="2"/>
  <c r="Z49" i="2" s="1"/>
  <c r="P48" i="2"/>
  <c r="X48" i="2" s="1"/>
  <c r="P47" i="2"/>
  <c r="Z47" i="2" s="1"/>
  <c r="P46" i="2"/>
  <c r="Z46" i="2" s="1"/>
  <c r="P45" i="2"/>
  <c r="R45" i="2" s="1"/>
  <c r="P44" i="2"/>
  <c r="X44" i="2" s="1"/>
  <c r="P43" i="2"/>
  <c r="Z43" i="2" s="1"/>
  <c r="P42" i="2"/>
  <c r="Z42" i="2" s="1"/>
  <c r="P41" i="2"/>
  <c r="Z41" i="2" s="1"/>
  <c r="P40" i="2"/>
  <c r="X40" i="2" s="1"/>
  <c r="P39" i="2"/>
  <c r="R39" i="2" s="1"/>
  <c r="P38" i="2"/>
  <c r="Z38" i="2" s="1"/>
  <c r="P37" i="2"/>
  <c r="R37" i="2" s="1"/>
  <c r="P36" i="2"/>
  <c r="X36" i="2" s="1"/>
  <c r="P35" i="2"/>
  <c r="Z35" i="2" s="1"/>
  <c r="P34" i="2"/>
  <c r="R34" i="2" s="1"/>
  <c r="P33" i="2"/>
  <c r="Z33" i="2" s="1"/>
  <c r="P32" i="2"/>
  <c r="Z32" i="2" s="1"/>
  <c r="P31" i="2"/>
  <c r="R31" i="2" s="1"/>
  <c r="P30" i="2"/>
  <c r="X30" i="2" s="1"/>
  <c r="P29" i="2"/>
  <c r="X29" i="2" s="1"/>
  <c r="P28" i="2"/>
  <c r="Z28" i="2" s="1"/>
  <c r="P27" i="2"/>
  <c r="Z27" i="2" s="1"/>
  <c r="P26" i="2"/>
  <c r="R26" i="2" s="1"/>
  <c r="P25" i="2"/>
  <c r="Z25" i="2" s="1"/>
  <c r="P24" i="2"/>
  <c r="Z24" i="2" s="1"/>
  <c r="P23" i="2"/>
  <c r="R23" i="2" s="1"/>
  <c r="P22" i="2"/>
  <c r="X22" i="2" s="1"/>
  <c r="P21" i="2"/>
  <c r="X21" i="2" s="1"/>
  <c r="P20" i="2"/>
  <c r="X20" i="2" s="1"/>
  <c r="P19" i="2"/>
  <c r="X19" i="2" s="1"/>
  <c r="P18" i="2"/>
  <c r="R18" i="2" s="1"/>
  <c r="P17" i="2"/>
  <c r="X17" i="2" s="1"/>
  <c r="P16" i="2"/>
  <c r="Z16" i="2" s="1"/>
  <c r="P15" i="2"/>
  <c r="X15" i="2" s="1"/>
  <c r="P14" i="2"/>
  <c r="R14" i="2" s="1"/>
  <c r="P13" i="2"/>
  <c r="X13" i="2" s="1"/>
  <c r="P12" i="2"/>
  <c r="R12" i="2" s="1"/>
  <c r="P11" i="2"/>
  <c r="Z11" i="2" s="1"/>
  <c r="P10" i="2"/>
  <c r="R10" i="2" s="1"/>
  <c r="P9" i="2"/>
  <c r="P8" i="2"/>
  <c r="Z8" i="2" s="1"/>
  <c r="P7" i="2"/>
  <c r="R7" i="2" s="1"/>
  <c r="P6" i="2"/>
  <c r="R6" i="2" s="1"/>
  <c r="P5" i="2"/>
  <c r="X5" i="2" s="1"/>
  <c r="P4" i="2"/>
  <c r="X4" i="2" s="1"/>
  <c r="Z148" i="2" l="1"/>
  <c r="R163" i="2"/>
  <c r="Z163" i="2"/>
  <c r="Z9" i="2"/>
  <c r="P2" i="2"/>
  <c r="X83" i="2"/>
  <c r="Z51" i="2"/>
  <c r="R66" i="2"/>
  <c r="Z95" i="2"/>
  <c r="R128" i="2"/>
  <c r="Z128" i="2"/>
  <c r="Z108" i="2"/>
  <c r="X66" i="2"/>
  <c r="Z102" i="2"/>
  <c r="X102" i="2"/>
  <c r="Z48" i="2"/>
  <c r="R74" i="2"/>
  <c r="X98" i="2"/>
  <c r="X124" i="2"/>
  <c r="R98" i="2"/>
  <c r="Z34" i="2"/>
  <c r="X74" i="2"/>
  <c r="Z124" i="2"/>
  <c r="R112" i="2"/>
  <c r="X131" i="2"/>
  <c r="Z138" i="2"/>
  <c r="X7" i="2"/>
  <c r="R51" i="2"/>
  <c r="Z7" i="2"/>
  <c r="X76" i="2"/>
  <c r="R83" i="2"/>
  <c r="Z146" i="2"/>
  <c r="X168" i="2"/>
  <c r="Z37" i="2"/>
  <c r="R72" i="2"/>
  <c r="Z78" i="2"/>
  <c r="X84" i="2"/>
  <c r="Z105" i="2"/>
  <c r="R15" i="2"/>
  <c r="Z72" i="2"/>
  <c r="R75" i="2"/>
  <c r="R94" i="2"/>
  <c r="R130" i="2"/>
  <c r="Z132" i="2"/>
  <c r="X147" i="2"/>
  <c r="X157" i="2"/>
  <c r="R165" i="2"/>
  <c r="X173" i="2"/>
  <c r="X10" i="2"/>
  <c r="Z15" i="2"/>
  <c r="X42" i="2"/>
  <c r="X50" i="2"/>
  <c r="X53" i="2"/>
  <c r="Z61" i="2"/>
  <c r="R65" i="2"/>
  <c r="X75" i="2"/>
  <c r="X82" i="2"/>
  <c r="X94" i="2"/>
  <c r="X97" i="2"/>
  <c r="Z100" i="2"/>
  <c r="Z103" i="2"/>
  <c r="Z110" i="2"/>
  <c r="R114" i="2"/>
  <c r="X118" i="2"/>
  <c r="X123" i="2"/>
  <c r="Z130" i="2"/>
  <c r="X140" i="2"/>
  <c r="R144" i="2"/>
  <c r="X152" i="2"/>
  <c r="Z157" i="2"/>
  <c r="Z161" i="2"/>
  <c r="X165" i="2"/>
  <c r="R169" i="2"/>
  <c r="Z13" i="2"/>
  <c r="X31" i="2"/>
  <c r="R41" i="2"/>
  <c r="X45" i="2"/>
  <c r="Z92" i="2"/>
  <c r="R116" i="2"/>
  <c r="R171" i="2"/>
  <c r="X26" i="2"/>
  <c r="X37" i="2"/>
  <c r="AA37" i="2" s="1"/>
  <c r="Z45" i="2"/>
  <c r="Z56" i="2"/>
  <c r="X64" i="2"/>
  <c r="Z81" i="2"/>
  <c r="Z88" i="2"/>
  <c r="R96" i="2"/>
  <c r="X113" i="2"/>
  <c r="R132" i="2"/>
  <c r="X139" i="2"/>
  <c r="Z160" i="2"/>
  <c r="X67" i="2"/>
  <c r="Z113" i="2"/>
  <c r="R136" i="2"/>
  <c r="Z168" i="2"/>
  <c r="R57" i="2"/>
  <c r="R82" i="2"/>
  <c r="R140" i="2"/>
  <c r="R48" i="2"/>
  <c r="Z53" i="2"/>
  <c r="AA53" i="2" s="1"/>
  <c r="R58" i="2"/>
  <c r="X65" i="2"/>
  <c r="AA65" i="2" s="1"/>
  <c r="X69" i="2"/>
  <c r="R73" i="2"/>
  <c r="R80" i="2"/>
  <c r="Z86" i="2"/>
  <c r="R90" i="2"/>
  <c r="Z97" i="2"/>
  <c r="Z114" i="2"/>
  <c r="X127" i="2"/>
  <c r="Z144" i="2"/>
  <c r="R148" i="2"/>
  <c r="AA148" i="2" s="1"/>
  <c r="Z169" i="2"/>
  <c r="X59" i="2"/>
  <c r="R64" i="2"/>
  <c r="R81" i="2"/>
  <c r="R88" i="2"/>
  <c r="R105" i="2"/>
  <c r="X135" i="2"/>
  <c r="Z142" i="2"/>
  <c r="R146" i="2"/>
  <c r="X160" i="2"/>
  <c r="Z31" i="2"/>
  <c r="X41" i="2"/>
  <c r="R49" i="2"/>
  <c r="X116" i="2"/>
  <c r="AA116" i="2" s="1"/>
  <c r="Z26" i="2"/>
  <c r="R110" i="2"/>
  <c r="Z122" i="2"/>
  <c r="X143" i="2"/>
  <c r="Z21" i="2"/>
  <c r="R42" i="2"/>
  <c r="R50" i="2"/>
  <c r="X61" i="2"/>
  <c r="R89" i="2"/>
  <c r="X100" i="2"/>
  <c r="X103" i="2"/>
  <c r="Z126" i="2"/>
  <c r="Z136" i="2"/>
  <c r="R161" i="2"/>
  <c r="Z40" i="2"/>
  <c r="X58" i="2"/>
  <c r="Z69" i="2"/>
  <c r="R76" i="2"/>
  <c r="Z80" i="2"/>
  <c r="R104" i="2"/>
  <c r="X108" i="2"/>
  <c r="AA108" i="2" s="1"/>
  <c r="X119" i="2"/>
  <c r="R131" i="2"/>
  <c r="Z134" i="2"/>
  <c r="R138" i="2"/>
  <c r="Z171" i="2"/>
  <c r="R173" i="2"/>
  <c r="X176" i="2"/>
  <c r="Z176" i="2"/>
  <c r="R175" i="2"/>
  <c r="X162" i="2"/>
  <c r="X170" i="2"/>
  <c r="R156" i="2"/>
  <c r="X159" i="2"/>
  <c r="Z162" i="2"/>
  <c r="R164" i="2"/>
  <c r="X167" i="2"/>
  <c r="Z170" i="2"/>
  <c r="R172" i="2"/>
  <c r="X175" i="2"/>
  <c r="R177" i="2"/>
  <c r="R167" i="2"/>
  <c r="X156" i="2"/>
  <c r="Z159" i="2"/>
  <c r="X164" i="2"/>
  <c r="X172" i="2"/>
  <c r="R158" i="2"/>
  <c r="R166" i="2"/>
  <c r="R174" i="2"/>
  <c r="X177" i="2"/>
  <c r="X158" i="2"/>
  <c r="X166" i="2"/>
  <c r="X174" i="2"/>
  <c r="X125" i="2"/>
  <c r="X133" i="2"/>
  <c r="X141" i="2"/>
  <c r="X149" i="2"/>
  <c r="Z125" i="2"/>
  <c r="R127" i="2"/>
  <c r="Z133" i="2"/>
  <c r="R135" i="2"/>
  <c r="Z141" i="2"/>
  <c r="R143" i="2"/>
  <c r="Z149" i="2"/>
  <c r="R151" i="2"/>
  <c r="X154" i="2"/>
  <c r="Z154" i="2"/>
  <c r="Z151" i="2"/>
  <c r="R153" i="2"/>
  <c r="R137" i="2"/>
  <c r="R145" i="2"/>
  <c r="R126" i="2"/>
  <c r="X129" i="2"/>
  <c r="R134" i="2"/>
  <c r="X137" i="2"/>
  <c r="R142" i="2"/>
  <c r="X145" i="2"/>
  <c r="R150" i="2"/>
  <c r="X153" i="2"/>
  <c r="R129" i="2"/>
  <c r="R123" i="2"/>
  <c r="R139" i="2"/>
  <c r="R147" i="2"/>
  <c r="X150" i="2"/>
  <c r="R155" i="2"/>
  <c r="R152" i="2"/>
  <c r="X155" i="2"/>
  <c r="R118" i="2"/>
  <c r="X121" i="2"/>
  <c r="R91" i="2"/>
  <c r="R99" i="2"/>
  <c r="R107" i="2"/>
  <c r="R115" i="2"/>
  <c r="Z121" i="2"/>
  <c r="R120" i="2"/>
  <c r="X91" i="2"/>
  <c r="X99" i="2"/>
  <c r="R93" i="2"/>
  <c r="X96" i="2"/>
  <c r="R101" i="2"/>
  <c r="X104" i="2"/>
  <c r="Z107" i="2"/>
  <c r="R109" i="2"/>
  <c r="X112" i="2"/>
  <c r="Z115" i="2"/>
  <c r="R117" i="2"/>
  <c r="X120" i="2"/>
  <c r="X93" i="2"/>
  <c r="X101" i="2"/>
  <c r="R106" i="2"/>
  <c r="X109" i="2"/>
  <c r="X117" i="2"/>
  <c r="R122" i="2"/>
  <c r="R95" i="2"/>
  <c r="X106" i="2"/>
  <c r="R111" i="2"/>
  <c r="R119" i="2"/>
  <c r="R92" i="2"/>
  <c r="X111" i="2"/>
  <c r="X73" i="2"/>
  <c r="R78" i="2"/>
  <c r="Z84" i="2"/>
  <c r="R86" i="2"/>
  <c r="X89" i="2"/>
  <c r="Z71" i="2"/>
  <c r="Z79" i="2"/>
  <c r="Z87" i="2"/>
  <c r="R77" i="2"/>
  <c r="R85" i="2"/>
  <c r="X77" i="2"/>
  <c r="R71" i="2"/>
  <c r="R79" i="2"/>
  <c r="Z85" i="2"/>
  <c r="R87" i="2"/>
  <c r="X90" i="2"/>
  <c r="R47" i="2"/>
  <c r="R63" i="2"/>
  <c r="R36" i="2"/>
  <c r="X39" i="2"/>
  <c r="R44" i="2"/>
  <c r="X47" i="2"/>
  <c r="R52" i="2"/>
  <c r="X55" i="2"/>
  <c r="R60" i="2"/>
  <c r="X63" i="2"/>
  <c r="R68" i="2"/>
  <c r="R55" i="2"/>
  <c r="Z39" i="2"/>
  <c r="Z36" i="2"/>
  <c r="R38" i="2"/>
  <c r="Z44" i="2"/>
  <c r="R46" i="2"/>
  <c r="X49" i="2"/>
  <c r="Z52" i="2"/>
  <c r="R54" i="2"/>
  <c r="X57" i="2"/>
  <c r="Z60" i="2"/>
  <c r="R62" i="2"/>
  <c r="Z68" i="2"/>
  <c r="R70" i="2"/>
  <c r="X38" i="2"/>
  <c r="R43" i="2"/>
  <c r="X46" i="2"/>
  <c r="X54" i="2"/>
  <c r="R59" i="2"/>
  <c r="X62" i="2"/>
  <c r="R67" i="2"/>
  <c r="X70" i="2"/>
  <c r="R40" i="2"/>
  <c r="X43" i="2"/>
  <c r="R56" i="2"/>
  <c r="Z5" i="2"/>
  <c r="Z18" i="2"/>
  <c r="X23" i="2"/>
  <c r="Z10" i="2"/>
  <c r="Z29" i="2"/>
  <c r="Z23" i="2"/>
  <c r="X34" i="2"/>
  <c r="X18" i="2"/>
  <c r="R4" i="2"/>
  <c r="R20" i="2"/>
  <c r="R9" i="2"/>
  <c r="X12" i="2"/>
  <c r="Z4" i="2"/>
  <c r="Z12" i="2"/>
  <c r="R17" i="2"/>
  <c r="Z20" i="2"/>
  <c r="R30" i="2"/>
  <c r="X6" i="2"/>
  <c r="R11" i="2"/>
  <c r="X14" i="2"/>
  <c r="Z17" i="2"/>
  <c r="R27" i="2"/>
  <c r="R35" i="2"/>
  <c r="Z6" i="2"/>
  <c r="X11" i="2"/>
  <c r="Z14" i="2"/>
  <c r="Z22" i="2"/>
  <c r="R24" i="2"/>
  <c r="X27" i="2"/>
  <c r="Z30" i="2"/>
  <c r="R32" i="2"/>
  <c r="X35" i="2"/>
  <c r="R5" i="2"/>
  <c r="X8" i="2"/>
  <c r="R13" i="2"/>
  <c r="X16" i="2"/>
  <c r="Z19" i="2"/>
  <c r="R21" i="2"/>
  <c r="X24" i="2"/>
  <c r="R29" i="2"/>
  <c r="X32" i="2"/>
  <c r="R28" i="2"/>
  <c r="R25" i="2"/>
  <c r="X28" i="2"/>
  <c r="R33" i="2"/>
  <c r="X9" i="2"/>
  <c r="R22" i="2"/>
  <c r="X25" i="2"/>
  <c r="X33" i="2"/>
  <c r="R19" i="2"/>
  <c r="R8" i="2"/>
  <c r="R16" i="2"/>
  <c r="G2" i="2"/>
  <c r="AA114" i="2" l="1"/>
  <c r="AA83" i="2"/>
  <c r="AA102" i="2"/>
  <c r="AA163" i="2"/>
  <c r="AA92" i="2"/>
  <c r="AA173" i="2"/>
  <c r="AA174" i="2"/>
  <c r="AA138" i="2"/>
  <c r="X2" i="2"/>
  <c r="AA48" i="2"/>
  <c r="AA113" i="2"/>
  <c r="AA176" i="2"/>
  <c r="AA160" i="2"/>
  <c r="AA51" i="2"/>
  <c r="AA166" i="2"/>
  <c r="AA26" i="2"/>
  <c r="AA75" i="2"/>
  <c r="AA66" i="2"/>
  <c r="AA119" i="2"/>
  <c r="AA135" i="2"/>
  <c r="AA128" i="2"/>
  <c r="AA18" i="2"/>
  <c r="AA15" i="2"/>
  <c r="AA40" i="2"/>
  <c r="AA49" i="2"/>
  <c r="AA98" i="2"/>
  <c r="AA112" i="2"/>
  <c r="AA72" i="2"/>
  <c r="AA124" i="2"/>
  <c r="AA59" i="2"/>
  <c r="AA96" i="2"/>
  <c r="AA86" i="2"/>
  <c r="AA89" i="2"/>
  <c r="AA95" i="2"/>
  <c r="AA142" i="2"/>
  <c r="AA134" i="2"/>
  <c r="AA161" i="2"/>
  <c r="AA42" i="2"/>
  <c r="AA81" i="2"/>
  <c r="AA45" i="2"/>
  <c r="AA103" i="2"/>
  <c r="AA7" i="2"/>
  <c r="AA104" i="2"/>
  <c r="AA41" i="2"/>
  <c r="AA13" i="2"/>
  <c r="AA78" i="2"/>
  <c r="AA130" i="2"/>
  <c r="AA23" i="2"/>
  <c r="AA80" i="2"/>
  <c r="AA122" i="2"/>
  <c r="AA168" i="2"/>
  <c r="AA120" i="2"/>
  <c r="AA149" i="2"/>
  <c r="AA131" i="2"/>
  <c r="AA58" i="2"/>
  <c r="AA88" i="2"/>
  <c r="AA106" i="2"/>
  <c r="AA110" i="2"/>
  <c r="AA64" i="2"/>
  <c r="AA67" i="2"/>
  <c r="AA147" i="2"/>
  <c r="AA172" i="2"/>
  <c r="AA31" i="2"/>
  <c r="AA132" i="2"/>
  <c r="AA97" i="2"/>
  <c r="AA76" i="2"/>
  <c r="AA100" i="2"/>
  <c r="AA57" i="2"/>
  <c r="AA94" i="2"/>
  <c r="AA126" i="2"/>
  <c r="AA144" i="2"/>
  <c r="AA69" i="2"/>
  <c r="AA169" i="2"/>
  <c r="AA82" i="2"/>
  <c r="AA74" i="2"/>
  <c r="AA56" i="2"/>
  <c r="AA77" i="2"/>
  <c r="AA145" i="2"/>
  <c r="AA143" i="2"/>
  <c r="AA133" i="2"/>
  <c r="AA61" i="2"/>
  <c r="AA105" i="2"/>
  <c r="AA136" i="2"/>
  <c r="AA157" i="2"/>
  <c r="AA21" i="2"/>
  <c r="AA33" i="2"/>
  <c r="AA34" i="2"/>
  <c r="AA14" i="2"/>
  <c r="AA90" i="2"/>
  <c r="AA117" i="2"/>
  <c r="AA91" i="2"/>
  <c r="AA152" i="2"/>
  <c r="AA141" i="2"/>
  <c r="AA50" i="2"/>
  <c r="AA73" i="2"/>
  <c r="AA170" i="2"/>
  <c r="AA8" i="2"/>
  <c r="AA11" i="2"/>
  <c r="AA39" i="2"/>
  <c r="AA127" i="2"/>
  <c r="AA139" i="2"/>
  <c r="AA125" i="2"/>
  <c r="AA146" i="2"/>
  <c r="AA165" i="2"/>
  <c r="AA5" i="2"/>
  <c r="AA123" i="2"/>
  <c r="AA151" i="2"/>
  <c r="AA140" i="2"/>
  <c r="AA29" i="2"/>
  <c r="AA10" i="2"/>
  <c r="AA60" i="2"/>
  <c r="AA47" i="2"/>
  <c r="AA84" i="2"/>
  <c r="AA118" i="2"/>
  <c r="AA167" i="2"/>
  <c r="AA159" i="2"/>
  <c r="AA171" i="2"/>
  <c r="AA162" i="2"/>
  <c r="AA156" i="2"/>
  <c r="AA158" i="2"/>
  <c r="AA175" i="2"/>
  <c r="AA164" i="2"/>
  <c r="AA177" i="2"/>
  <c r="AA150" i="2"/>
  <c r="AA154" i="2"/>
  <c r="AA137" i="2"/>
  <c r="AA129" i="2"/>
  <c r="AA155" i="2"/>
  <c r="AA153" i="2"/>
  <c r="AA121" i="2"/>
  <c r="AA93" i="2"/>
  <c r="AA115" i="2"/>
  <c r="AA101" i="2"/>
  <c r="AA109" i="2"/>
  <c r="AA111" i="2"/>
  <c r="AA107" i="2"/>
  <c r="AA99" i="2"/>
  <c r="AA85" i="2"/>
  <c r="AA87" i="2"/>
  <c r="AA79" i="2"/>
  <c r="AA71" i="2"/>
  <c r="AA38" i="2"/>
  <c r="AA46" i="2"/>
  <c r="AA62" i="2"/>
  <c r="AA52" i="2"/>
  <c r="AA70" i="2"/>
  <c r="AA54" i="2"/>
  <c r="AA43" i="2"/>
  <c r="AA68" i="2"/>
  <c r="AA36" i="2"/>
  <c r="AA44" i="2"/>
  <c r="AA55" i="2"/>
  <c r="AA63" i="2"/>
  <c r="AA24" i="2"/>
  <c r="AA25" i="2"/>
  <c r="AA6" i="2"/>
  <c r="AA20" i="2"/>
  <c r="AA12" i="2"/>
  <c r="AA9" i="2"/>
  <c r="AA30" i="2"/>
  <c r="AA16" i="2"/>
  <c r="AA19" i="2"/>
  <c r="AA28" i="2"/>
  <c r="AA4" i="2"/>
  <c r="AA22" i="2"/>
  <c r="AA32" i="2"/>
  <c r="AA35" i="2"/>
  <c r="AA17" i="2"/>
  <c r="AA27" i="2"/>
  <c r="R2" i="2"/>
  <c r="Z2" i="2" l="1"/>
  <c r="AA2" i="2"/>
</calcChain>
</file>

<file path=xl/sharedStrings.xml><?xml version="1.0" encoding="utf-8"?>
<sst xmlns="http://schemas.openxmlformats.org/spreadsheetml/2006/main" count="5853" uniqueCount="1455">
  <si>
    <t>S.NO</t>
  </si>
  <si>
    <t>Accounting Date</t>
  </si>
  <si>
    <t>DATE</t>
  </si>
  <si>
    <t>Weighment Slip No</t>
  </si>
  <si>
    <t>Delivery  Challan No</t>
  </si>
  <si>
    <t>Royalty Permit No</t>
  </si>
  <si>
    <t>Permit Quantity(CM)</t>
  </si>
  <si>
    <t>CUSTOMER Sr.No.</t>
  </si>
  <si>
    <t>CLINTE DETAILS</t>
  </si>
  <si>
    <t xml:space="preserve">VEHICLE NO </t>
  </si>
  <si>
    <t>GROSS WT</t>
  </si>
  <si>
    <t>NET WT</t>
  </si>
  <si>
    <t>RATE PER TONE</t>
  </si>
  <si>
    <t>AMOUNT</t>
  </si>
  <si>
    <t>CASH RECEIVED</t>
  </si>
  <si>
    <t>CUSTOMER BALANCE AMOUNT(RS)</t>
  </si>
  <si>
    <t>REMARKS</t>
  </si>
  <si>
    <t>Royalty Rate</t>
  </si>
  <si>
    <t>Royalty Amouunt</t>
  </si>
  <si>
    <t>Transport Rate</t>
  </si>
  <si>
    <t>Transport Amount</t>
  </si>
  <si>
    <t>Total Amount</t>
  </si>
  <si>
    <t>TRANSPORTER NAME</t>
  </si>
  <si>
    <t>Others</t>
  </si>
  <si>
    <t>OFFICE</t>
  </si>
  <si>
    <t>NAME OF THE CUSTOMER</t>
  </si>
  <si>
    <t>PAYMENT TERMS</t>
  </si>
  <si>
    <t>Material</t>
  </si>
  <si>
    <t>dff</t>
  </si>
  <si>
    <t>ADVANCE RECEIVED</t>
  </si>
  <si>
    <t>CASH</t>
  </si>
  <si>
    <t>SCOLPIN</t>
  </si>
  <si>
    <t>CREDIT</t>
  </si>
  <si>
    <t>AP39W4518</t>
  </si>
  <si>
    <t>10MM</t>
  </si>
  <si>
    <t>JS MINING &amp;CONSTRUCTIONS</t>
  </si>
  <si>
    <t>20MM</t>
  </si>
  <si>
    <t>RIVO SAND</t>
  </si>
  <si>
    <t>AP39UJ2669</t>
  </si>
  <si>
    <t>AP39UZ3335</t>
  </si>
  <si>
    <t>AP39UW2589</t>
  </si>
  <si>
    <t>AP39WC2389</t>
  </si>
  <si>
    <t>AP39UJ2489</t>
  </si>
  <si>
    <t>AP39WC7449</t>
  </si>
  <si>
    <t>AP39UZ2489</t>
  </si>
  <si>
    <t>AP39W7119</t>
  </si>
  <si>
    <t>AP39UP9239</t>
  </si>
  <si>
    <t>AP39W3579</t>
  </si>
  <si>
    <t>QUARRY ROAD WORK PURPOSE</t>
  </si>
  <si>
    <t>WASTE DUST</t>
  </si>
  <si>
    <t>Arvind Infra Tech Pvt Ltd</t>
  </si>
  <si>
    <t>AP39WF2057</t>
  </si>
  <si>
    <t>KEC INTERNATIONAL</t>
  </si>
  <si>
    <t>SANJAY SINGH</t>
  </si>
  <si>
    <t>AP39VC5289</t>
  </si>
  <si>
    <t>AFCONS INFRASTRUCTURE LTD</t>
  </si>
  <si>
    <t>AP39WE5559</t>
  </si>
  <si>
    <t>AP39VF2339</t>
  </si>
  <si>
    <t>VSI SAND</t>
  </si>
  <si>
    <t>AP39WG1368</t>
  </si>
  <si>
    <t>AP39WF2052</t>
  </si>
  <si>
    <t>AP39WH1869</t>
  </si>
  <si>
    <t>AADHI REDDY</t>
  </si>
  <si>
    <t>AP39WB3247</t>
  </si>
  <si>
    <t>AP39WB379</t>
  </si>
  <si>
    <t>AP39WB3157</t>
  </si>
  <si>
    <t>AP39WB136</t>
  </si>
  <si>
    <t>AP39UP6616</t>
  </si>
  <si>
    <t>AP31TW8710</t>
  </si>
  <si>
    <t>SAKPDC005355/25-26</t>
  </si>
  <si>
    <t>MDLA9551578</t>
  </si>
  <si>
    <t>SAKPDC005356/25-26</t>
  </si>
  <si>
    <t>MDLA9551579</t>
  </si>
  <si>
    <t>SAKPDC005358/25-26</t>
  </si>
  <si>
    <t>MDLA9551580</t>
  </si>
  <si>
    <t>AP39UZ2369</t>
  </si>
  <si>
    <t>SAKPDC005359/25-26</t>
  </si>
  <si>
    <t>MDLA9551581</t>
  </si>
  <si>
    <t>SAKPDC005360/25-26</t>
  </si>
  <si>
    <t>MDLA9551582</t>
  </si>
  <si>
    <t>N251201006</t>
  </si>
  <si>
    <t>N251201007</t>
  </si>
  <si>
    <t>N251201008</t>
  </si>
  <si>
    <t>N251201009</t>
  </si>
  <si>
    <t>SAKPDC005361/25-26</t>
  </si>
  <si>
    <t>MDLA9551583</t>
  </si>
  <si>
    <t>N251201010</t>
  </si>
  <si>
    <t>NARSIG RAO</t>
  </si>
  <si>
    <t>N251201011</t>
  </si>
  <si>
    <t>AP31TN3906</t>
  </si>
  <si>
    <t>N251201012</t>
  </si>
  <si>
    <t>N251201013</t>
  </si>
  <si>
    <t>N251201014</t>
  </si>
  <si>
    <t>AP39WF2058</t>
  </si>
  <si>
    <t>N251201015</t>
  </si>
  <si>
    <t>N251201016</t>
  </si>
  <si>
    <t>N251202001</t>
  </si>
  <si>
    <t>N251202002</t>
  </si>
  <si>
    <t>SAKPDC005362/25-26</t>
  </si>
  <si>
    <t>MDLA9551584</t>
  </si>
  <si>
    <t>SAKPDC005363/25-26</t>
  </si>
  <si>
    <t>MDLA9551585</t>
  </si>
  <si>
    <t>SAKPDC005364/25-26</t>
  </si>
  <si>
    <t>MDLA9551586</t>
  </si>
  <si>
    <t>SAKPDC005366/25-26</t>
  </si>
  <si>
    <t>MDLA9551588</t>
  </si>
  <si>
    <t>SAKPDC005365/25-26</t>
  </si>
  <si>
    <t>MDLA9551587</t>
  </si>
  <si>
    <t>SAKPDC005368/25-26</t>
  </si>
  <si>
    <t>MDLA9551590</t>
  </si>
  <si>
    <t>SAKPDC005367/25-26</t>
  </si>
  <si>
    <t>MDLA9551589</t>
  </si>
  <si>
    <t>SAKPDC005369/25-26</t>
  </si>
  <si>
    <t>MDLA9551591</t>
  </si>
  <si>
    <t>SAKPDC005370/25-26</t>
  </si>
  <si>
    <t>MDLA9551592</t>
  </si>
  <si>
    <t>SAKPDC005371/25-26</t>
  </si>
  <si>
    <t>MDLA9551593</t>
  </si>
  <si>
    <t>SAKPDC005372/25-26</t>
  </si>
  <si>
    <t>MDLA9551594</t>
  </si>
  <si>
    <t>SAKPDC005373/25-26</t>
  </si>
  <si>
    <t>MDLA9551595</t>
  </si>
  <si>
    <t>SAKPDC005374/25-26</t>
  </si>
  <si>
    <t>MDLA9551596</t>
  </si>
  <si>
    <t>SAKPDC005375/25-26</t>
  </si>
  <si>
    <t>MDLA9551597</t>
  </si>
  <si>
    <t>N251202003</t>
  </si>
  <si>
    <t>AP39UW9880</t>
  </si>
  <si>
    <t>N251202004</t>
  </si>
  <si>
    <t>AP39WC0926</t>
  </si>
  <si>
    <t>N251202005</t>
  </si>
  <si>
    <t>N251202006</t>
  </si>
  <si>
    <t>AP39UQ0097</t>
  </si>
  <si>
    <t>N251202007</t>
  </si>
  <si>
    <t>AP39UY4652</t>
  </si>
  <si>
    <t>SAKPDC005376/25-26</t>
  </si>
  <si>
    <t>MDLA9551598</t>
  </si>
  <si>
    <t>AP39WH2469</t>
  </si>
  <si>
    <t>N251202008</t>
  </si>
  <si>
    <t>SAKPDC005377/25-26</t>
  </si>
  <si>
    <t>MDLA9551599</t>
  </si>
  <si>
    <t>SAKPDC005378/25-26</t>
  </si>
  <si>
    <t>MDLA9551600</t>
  </si>
  <si>
    <t>SAKPDC005379/25-26</t>
  </si>
  <si>
    <t>MDLA9551601</t>
  </si>
  <si>
    <t>SAKPDC005380/25-26</t>
  </si>
  <si>
    <t>MDLA9551602</t>
  </si>
  <si>
    <t>SAKPDC005382/25-26</t>
  </si>
  <si>
    <t>MDLA9551603</t>
  </si>
  <si>
    <t>SAKPDC005383/25-26</t>
  </si>
  <si>
    <t>MDLA9551604</t>
  </si>
  <si>
    <t>N251202009</t>
  </si>
  <si>
    <t>SATYANARAYANA</t>
  </si>
  <si>
    <t>AP39TK8524</t>
  </si>
  <si>
    <t>N251202010</t>
  </si>
  <si>
    <t>SURI BABU</t>
  </si>
  <si>
    <t>AP31TG5432</t>
  </si>
  <si>
    <t>SAKPDC005384/25-26</t>
  </si>
  <si>
    <t>MDLA9551605</t>
  </si>
  <si>
    <t>BURUGUPALLI INFRASTRUCTURES</t>
  </si>
  <si>
    <t>AP39UJ5066</t>
  </si>
  <si>
    <t>SAKPDC005385/25-26</t>
  </si>
  <si>
    <t>MDLA9551606</t>
  </si>
  <si>
    <t>SAKPDC005386/25-26</t>
  </si>
  <si>
    <t>MDLA9551607</t>
  </si>
  <si>
    <t>AP39WD8259</t>
  </si>
  <si>
    <t>KUMAR</t>
  </si>
  <si>
    <t>SAKPDC005387/25-26</t>
  </si>
  <si>
    <t>MDLA9551608</t>
  </si>
  <si>
    <t>SAKPDC005388/25-26</t>
  </si>
  <si>
    <t>MDLA9551609</t>
  </si>
  <si>
    <t>SAKPDC005389/25-26</t>
  </si>
  <si>
    <t>MDLA9551610</t>
  </si>
  <si>
    <t>SAKPDC005391/25-26</t>
  </si>
  <si>
    <t>MDLA9551612</t>
  </si>
  <si>
    <t>SAKPDC005390/25-26</t>
  </si>
  <si>
    <t>MDLA9551611</t>
  </si>
  <si>
    <t>N251202011</t>
  </si>
  <si>
    <t>SRINU</t>
  </si>
  <si>
    <t>AP07TN0299</t>
  </si>
  <si>
    <t>N251202012</t>
  </si>
  <si>
    <t>SAI KUMAR</t>
  </si>
  <si>
    <t>AP39TX4668</t>
  </si>
  <si>
    <t>N251203001</t>
  </si>
  <si>
    <t>SAKPDC005393/25-26</t>
  </si>
  <si>
    <t>MDLA9551614</t>
  </si>
  <si>
    <t>SAKPDC005392/25-26</t>
  </si>
  <si>
    <t>MDLA9551613</t>
  </si>
  <si>
    <t>AP39UJ5067</t>
  </si>
  <si>
    <t>SAKPDC005394/25-26</t>
  </si>
  <si>
    <t>MDLA9551615</t>
  </si>
  <si>
    <t>SAKPDC005395/25-26</t>
  </si>
  <si>
    <t>MDLA9551616</t>
  </si>
  <si>
    <t>SAKPDC005396/25-26</t>
  </si>
  <si>
    <t>MDLA9551617</t>
  </si>
  <si>
    <t>SAKPDC005397/25-26</t>
  </si>
  <si>
    <t>MDLA9551618</t>
  </si>
  <si>
    <t>SAKPDC005398/25-26</t>
  </si>
  <si>
    <t>MDLA9551619</t>
  </si>
  <si>
    <t>L&amp;T P-1</t>
  </si>
  <si>
    <t>SAKPDC005399/25-26</t>
  </si>
  <si>
    <t>MDLA9551620</t>
  </si>
  <si>
    <t>AP39UD1589</t>
  </si>
  <si>
    <t>N251203002</t>
  </si>
  <si>
    <t>SUBBU MARTURU</t>
  </si>
  <si>
    <t>AP31TH5226</t>
  </si>
  <si>
    <t>SAKPDC005400/25-26</t>
  </si>
  <si>
    <t>MDLA9551621</t>
  </si>
  <si>
    <t>SAKPDC005401/25-26</t>
  </si>
  <si>
    <t>MDLA9551622</t>
  </si>
  <si>
    <t>SAKPDC005402/25-26</t>
  </si>
  <si>
    <t>MDLA9551623</t>
  </si>
  <si>
    <t>SAKPDC005403/25-26</t>
  </si>
  <si>
    <t>MDLA9551624</t>
  </si>
  <si>
    <t>SAKPDC005404/25-26</t>
  </si>
  <si>
    <t>MDLA9551625</t>
  </si>
  <si>
    <t>SAKPDC005405/25-26</t>
  </si>
  <si>
    <t>MDLA9551626</t>
  </si>
  <si>
    <t>SAKPDC005407/25-26</t>
  </si>
  <si>
    <t>MDLA9551628</t>
  </si>
  <si>
    <t>SAKPDC005406/25-26</t>
  </si>
  <si>
    <t>MDLA9551627</t>
  </si>
  <si>
    <t>AP39WH2769</t>
  </si>
  <si>
    <t>SAKPDC005409/25-26</t>
  </si>
  <si>
    <t>MDLA9551630</t>
  </si>
  <si>
    <t>SAKPDC005408/25-26</t>
  </si>
  <si>
    <t>MDLA9551629</t>
  </si>
  <si>
    <t>N251203003</t>
  </si>
  <si>
    <t>RAMANA BABU</t>
  </si>
  <si>
    <t>SAKPDC005410/25-26</t>
  </si>
  <si>
    <t>MDLA9551631</t>
  </si>
  <si>
    <t>SAKPDC005411/25-26</t>
  </si>
  <si>
    <t>MDLA9551632</t>
  </si>
  <si>
    <t>SAKPDC005412/25-26</t>
  </si>
  <si>
    <t>MDLA9551633</t>
  </si>
  <si>
    <t>Hiranmay construction</t>
  </si>
  <si>
    <t>SAKPDC005413/25-26</t>
  </si>
  <si>
    <t>MDLA9551634</t>
  </si>
  <si>
    <t>SAKPDC005414/25-26</t>
  </si>
  <si>
    <t>MDLA9551635</t>
  </si>
  <si>
    <t>AP31TM1949</t>
  </si>
  <si>
    <t>SAKPDC005415/25-26</t>
  </si>
  <si>
    <t>MDLA9551636</t>
  </si>
  <si>
    <t>AP39WD3389</t>
  </si>
  <si>
    <t>SAKPDC005416/25-26</t>
  </si>
  <si>
    <t>MDLA9551637</t>
  </si>
  <si>
    <t>AP39UP4919</t>
  </si>
  <si>
    <t>SAKPDC005417/25-26</t>
  </si>
  <si>
    <t>MDLA9551638</t>
  </si>
  <si>
    <t>IYANTRA INDUSTRIES</t>
  </si>
  <si>
    <t>AP31TB6309</t>
  </si>
  <si>
    <t>N251204001</t>
  </si>
  <si>
    <t>N251204002</t>
  </si>
  <si>
    <t>AP39UY4651</t>
  </si>
  <si>
    <t>SAKPDC005418/25-26</t>
  </si>
  <si>
    <t>MDLA9551639</t>
  </si>
  <si>
    <t>SAKPDC005419/25-26</t>
  </si>
  <si>
    <t>MDLA9551640</t>
  </si>
  <si>
    <t>SAKPDC005421/25-26</t>
  </si>
  <si>
    <t>MDLA9551642</t>
  </si>
  <si>
    <t>SAKPDC005422/25-26</t>
  </si>
  <si>
    <t>MDLA9551643</t>
  </si>
  <si>
    <t>SAKPDC005424/25-26</t>
  </si>
  <si>
    <t>MDLA9551645</t>
  </si>
  <si>
    <t>SAKPDC005420/25-26</t>
  </si>
  <si>
    <t>MDLA9551641</t>
  </si>
  <si>
    <t>AP39VD5289</t>
  </si>
  <si>
    <t>SAKPDC005423/25-26</t>
  </si>
  <si>
    <t>MDLA9551644</t>
  </si>
  <si>
    <t>N251204003</t>
  </si>
  <si>
    <t>N251204004</t>
  </si>
  <si>
    <t>SAKPDC005425/25-26</t>
  </si>
  <si>
    <t>MDLA9551646</t>
  </si>
  <si>
    <t>SAKPDC005426/25-26</t>
  </si>
  <si>
    <t>MDLA9551647</t>
  </si>
  <si>
    <t>SAKPDC005427/25-26</t>
  </si>
  <si>
    <t>MDLA9551648</t>
  </si>
  <si>
    <t>SAKPDC005429/25-26</t>
  </si>
  <si>
    <t>MDLA9551650</t>
  </si>
  <si>
    <t>SAKPDC005428/25-26</t>
  </si>
  <si>
    <t>MDLA9551649</t>
  </si>
  <si>
    <t>N251204005</t>
  </si>
  <si>
    <t>NARSING</t>
  </si>
  <si>
    <t>N251204006</t>
  </si>
  <si>
    <t>SAKPDC005430/25-26</t>
  </si>
  <si>
    <t>MDLA9551693</t>
  </si>
  <si>
    <t>AP39UQ2489</t>
  </si>
  <si>
    <t>SAKPDC005431/25-26</t>
  </si>
  <si>
    <t>MDLA9551694</t>
  </si>
  <si>
    <t>SAKPDC005433/25-26</t>
  </si>
  <si>
    <t>MDLA9551696</t>
  </si>
  <si>
    <t>SAKPDC005432/25-26</t>
  </si>
  <si>
    <t>MDLA9551695</t>
  </si>
  <si>
    <t>N251204007</t>
  </si>
  <si>
    <t>VENKATARAO</t>
  </si>
  <si>
    <t>AP39FL3199</t>
  </si>
  <si>
    <t>SAKPDC005434/25-26</t>
  </si>
  <si>
    <t>MDLA9551697</t>
  </si>
  <si>
    <t>SAKPDC005435/25-26</t>
  </si>
  <si>
    <t>MDLA9551698</t>
  </si>
  <si>
    <t>SAKPDC005437/25-26</t>
  </si>
  <si>
    <t>MDLA9551700</t>
  </si>
  <si>
    <t>SAKPDC005436/25-26</t>
  </si>
  <si>
    <t>MDLA9551699</t>
  </si>
  <si>
    <t>N251205001</t>
  </si>
  <si>
    <t>AP31TN2489</t>
  </si>
  <si>
    <t>50MM</t>
  </si>
  <si>
    <t>SAKPDC005438/25-26</t>
  </si>
  <si>
    <t>MDLA9551701</t>
  </si>
  <si>
    <t>SAKPDC005439/25-26</t>
  </si>
  <si>
    <t>MDLA9551702</t>
  </si>
  <si>
    <t>SAKPDC005440/25-26</t>
  </si>
  <si>
    <t>MDLA9551703</t>
  </si>
  <si>
    <t>SAKPDC005441/25-26</t>
  </si>
  <si>
    <t>MDLA9551704</t>
  </si>
  <si>
    <t>SAKPDC005442/25-26</t>
  </si>
  <si>
    <t>MDLA9551705</t>
  </si>
  <si>
    <t>SAKPDC005443/25-26</t>
  </si>
  <si>
    <t>MDLA9551706</t>
  </si>
  <si>
    <t>SAKPDC005447/25-26</t>
  </si>
  <si>
    <t>MDLA9551708</t>
  </si>
  <si>
    <t>SAKPDC005446/25-26</t>
  </si>
  <si>
    <t>MDLA9551710</t>
  </si>
  <si>
    <t>AP39WD1166</t>
  </si>
  <si>
    <t>SAKPDC005444/25-26</t>
  </si>
  <si>
    <t>MDLA9551707</t>
  </si>
  <si>
    <t>SAKPDC005448/25-26</t>
  </si>
  <si>
    <t>MDLA9551711</t>
  </si>
  <si>
    <t>AP39UF1266</t>
  </si>
  <si>
    <t>SAKPDC005445/25-26</t>
  </si>
  <si>
    <t>MDLA9551709</t>
  </si>
  <si>
    <t>AP39VD5226</t>
  </si>
  <si>
    <t>SAKPDC005449/25-26</t>
  </si>
  <si>
    <t>MDLA9551712</t>
  </si>
  <si>
    <t>SAKPDC005451/25-26</t>
  </si>
  <si>
    <t>MDLA9551714</t>
  </si>
  <si>
    <t>SAKPDC005450/25-26</t>
  </si>
  <si>
    <t>MDLA9551713</t>
  </si>
  <si>
    <t>N251205002</t>
  </si>
  <si>
    <t>AP39UP6499</t>
  </si>
  <si>
    <t>N251205003</t>
  </si>
  <si>
    <t>SAKPDC005452/25-26</t>
  </si>
  <si>
    <t>MDLA9551715</t>
  </si>
  <si>
    <t>SAKPDC005453/25-26</t>
  </si>
  <si>
    <t>MDLA9551716</t>
  </si>
  <si>
    <t>SAKPDC005454/25-26</t>
  </si>
  <si>
    <t>MDLA9551717</t>
  </si>
  <si>
    <t>N251205004</t>
  </si>
  <si>
    <t>N251205005</t>
  </si>
  <si>
    <t>PRASAD</t>
  </si>
  <si>
    <t>AP31AR8194</t>
  </si>
  <si>
    <t>SAKPDC005455/25-26</t>
  </si>
  <si>
    <t>MDLA9551718</t>
  </si>
  <si>
    <t>SAKPDC005456/25-26</t>
  </si>
  <si>
    <t>MDLA9551719</t>
  </si>
  <si>
    <t>SAKPDC005457/25-26</t>
  </si>
  <si>
    <t>MDLA9551720</t>
  </si>
  <si>
    <t>SAKPDC005459/25-26</t>
  </si>
  <si>
    <t>MDLA9551722</t>
  </si>
  <si>
    <t>SAKPDC005460/25-26</t>
  </si>
  <si>
    <t>MDLA9551723</t>
  </si>
  <si>
    <t>SAKPDC005458/25-26</t>
  </si>
  <si>
    <t>MDLA9551721</t>
  </si>
  <si>
    <t>SAKPDC005461/25-26</t>
  </si>
  <si>
    <t>MDLA9551724</t>
  </si>
  <si>
    <t>SAKPDC005462/25-26</t>
  </si>
  <si>
    <t>MDLA9551725</t>
  </si>
  <si>
    <t>SAKPDC005463/25-26</t>
  </si>
  <si>
    <t>MDLA9551726</t>
  </si>
  <si>
    <t>SAKPDC005464/25-26</t>
  </si>
  <si>
    <t>MDLA9551727</t>
  </si>
  <si>
    <t>SAKPDC005465/25-26</t>
  </si>
  <si>
    <t>MDLA9551728</t>
  </si>
  <si>
    <t>SAKPDC005468/25-26</t>
  </si>
  <si>
    <t>MDLA9551730</t>
  </si>
  <si>
    <t>SAKPDC005467/25-26</t>
  </si>
  <si>
    <t>MDLA9551729</t>
  </si>
  <si>
    <t>SAKPDC005470/25-26</t>
  </si>
  <si>
    <t>MDLA9551733</t>
  </si>
  <si>
    <t>AP39VC1688</t>
  </si>
  <si>
    <t>SAKPDC005469/25-26</t>
  </si>
  <si>
    <t>MDLA9551731</t>
  </si>
  <si>
    <t>SAKPDC5471/25-26</t>
  </si>
  <si>
    <t>MDLA9551734</t>
  </si>
  <si>
    <t>SAKPDC5472/25-26</t>
  </si>
  <si>
    <t>MDLA9551735</t>
  </si>
  <si>
    <t>SAKPDC5473/25-26</t>
  </si>
  <si>
    <t>MDLA9551736</t>
  </si>
  <si>
    <t>SAKPDC5474/25-26</t>
  </si>
  <si>
    <t>MDLA9551737</t>
  </si>
  <si>
    <t>SAKPDC5475/25-26</t>
  </si>
  <si>
    <t>MDLA9551738</t>
  </si>
  <si>
    <t>SAKPDC5476/25-26</t>
  </si>
  <si>
    <t>MDLA9551739</t>
  </si>
  <si>
    <t>AP39UN7749</t>
  </si>
  <si>
    <t>N251206001</t>
  </si>
  <si>
    <t>AP31TT0396</t>
  </si>
  <si>
    <t>SAKPDC5478/25-26</t>
  </si>
  <si>
    <t>MDLA9551742</t>
  </si>
  <si>
    <t>SAKPDC5477/25-26</t>
  </si>
  <si>
    <t>MDLA9551741</t>
  </si>
  <si>
    <t>SAKPDC5480/25-26</t>
  </si>
  <si>
    <t>MDLA9551744</t>
  </si>
  <si>
    <t>SAKPDC5479/25-26</t>
  </si>
  <si>
    <t>MDLA9551743</t>
  </si>
  <si>
    <t>N251206002</t>
  </si>
  <si>
    <t>SAKPDC5481/25-26</t>
  </si>
  <si>
    <t>MDLA9551745</t>
  </si>
  <si>
    <t>SAKPDC5482/25-26</t>
  </si>
  <si>
    <t>MDLA9551746</t>
  </si>
  <si>
    <t>SAKPDC5483/25-26</t>
  </si>
  <si>
    <t>MDLA9551747</t>
  </si>
  <si>
    <t>SAKPDC5487/25-26</t>
  </si>
  <si>
    <t>MDLA951751</t>
  </si>
  <si>
    <t>SAKPDC5486/25-26</t>
  </si>
  <si>
    <t>MDLA9551750</t>
  </si>
  <si>
    <t>SAKPDC5485/25-26</t>
  </si>
  <si>
    <t>MDLA9551749</t>
  </si>
  <si>
    <t>AP39WD2536</t>
  </si>
  <si>
    <t>SAKPDC5489/25-26</t>
  </si>
  <si>
    <t>MDLA9551753</t>
  </si>
  <si>
    <t>SAKPDC5488/25-26</t>
  </si>
  <si>
    <t>MDLA9551752</t>
  </si>
  <si>
    <t>AP39W1139</t>
  </si>
  <si>
    <t>MDLA9551748</t>
  </si>
  <si>
    <t>SAPTHAGIRI MINERALS PRODUCTS</t>
  </si>
  <si>
    <t>AP39WH3659</t>
  </si>
  <si>
    <t>N251207001</t>
  </si>
  <si>
    <t>SAKPDC005490/25-26</t>
  </si>
  <si>
    <t>MDLA9551754</t>
  </si>
  <si>
    <t>BHARAT VARMA(AIRPORT)</t>
  </si>
  <si>
    <t>SAKPDC005491/25-26</t>
  </si>
  <si>
    <t>MDLA9551755</t>
  </si>
  <si>
    <t>SAKPDC005492/25-26</t>
  </si>
  <si>
    <t>MDLA9551756</t>
  </si>
  <si>
    <t>SAKPDC005493/25-26</t>
  </si>
  <si>
    <t>MDLA9551757</t>
  </si>
  <si>
    <t>SAKPDC005494/25-26</t>
  </si>
  <si>
    <t>MDLA9551758</t>
  </si>
  <si>
    <t>N251207002</t>
  </si>
  <si>
    <t>SAKPDC005496/25-26</t>
  </si>
  <si>
    <t>MDLA9551760</t>
  </si>
  <si>
    <t>SAKPDC005495/25-26</t>
  </si>
  <si>
    <t>MDLA9551759</t>
  </si>
  <si>
    <t>AP39WD5679</t>
  </si>
  <si>
    <t>SAKPDC005503/25-26</t>
  </si>
  <si>
    <t>MDLA9551767</t>
  </si>
  <si>
    <t>SAKPDC005502/25-26</t>
  </si>
  <si>
    <t>MDLA9551766</t>
  </si>
  <si>
    <t>SAKPDC005501/25-26</t>
  </si>
  <si>
    <t>MDLA9551765</t>
  </si>
  <si>
    <t>SAKPDC005500/25-26</t>
  </si>
  <si>
    <t>MDLA9551764</t>
  </si>
  <si>
    <t>SAKPDC005499/25-26</t>
  </si>
  <si>
    <t>MDLA9551763</t>
  </si>
  <si>
    <t>SAKPDC005498/25-26</t>
  </si>
  <si>
    <t>MDLA9551762</t>
  </si>
  <si>
    <t>SAKPDC005497/25-26</t>
  </si>
  <si>
    <t>MDLA9551761</t>
  </si>
  <si>
    <t>SAKPDC005504/25-26</t>
  </si>
  <si>
    <t>MDLA9551768</t>
  </si>
  <si>
    <t>SAKPDC005505/25-26</t>
  </si>
  <si>
    <t>MDLA9551769</t>
  </si>
  <si>
    <t>SAKPDC005506/25-26</t>
  </si>
  <si>
    <t>MDLA9551770</t>
  </si>
  <si>
    <t>SAKPDC005507/25-26</t>
  </si>
  <si>
    <t>MDLA9551771</t>
  </si>
  <si>
    <t>AP39TV2536</t>
  </si>
  <si>
    <t>SAKPDC005508/25-26</t>
  </si>
  <si>
    <t>MDLA9551772</t>
  </si>
  <si>
    <t>SAKPDC005509/25-26</t>
  </si>
  <si>
    <t>MDLA9551773</t>
  </si>
  <si>
    <t>SAKPDC005510/25-26</t>
  </si>
  <si>
    <t>MDLA9551774</t>
  </si>
  <si>
    <t>SAKPDC005511/25-26</t>
  </si>
  <si>
    <t>MDLA9551775</t>
  </si>
  <si>
    <t>SAKPDC005512/25-26</t>
  </si>
  <si>
    <t>MDLA9551776</t>
  </si>
  <si>
    <t>SAKPDC005516/25-26</t>
  </si>
  <si>
    <t>MDLA9551777</t>
  </si>
  <si>
    <t>SAKPDC005517/25-26</t>
  </si>
  <si>
    <t>MDLA9551778</t>
  </si>
  <si>
    <t>AP39VC5999</t>
  </si>
  <si>
    <t>SAKPDC005518/25-26</t>
  </si>
  <si>
    <t>MDLA9551779</t>
  </si>
  <si>
    <t>AP39WD5999</t>
  </si>
  <si>
    <t>SAKPDC005519/25-26</t>
  </si>
  <si>
    <t>MDLA9551780</t>
  </si>
  <si>
    <t>SAKPDC005521/25-26</t>
  </si>
  <si>
    <t>MDLA9551782</t>
  </si>
  <si>
    <t>SAKPDC005520/25-26</t>
  </si>
  <si>
    <t>MDLA9551781</t>
  </si>
  <si>
    <t>N251208001</t>
  </si>
  <si>
    <t>APPALARAJU</t>
  </si>
  <si>
    <t>SATYANARAYAN</t>
  </si>
  <si>
    <t>SAKPDC005522/25-26</t>
  </si>
  <si>
    <t>MDLA9551783</t>
  </si>
  <si>
    <t>SAKPDC005524/25-26</t>
  </si>
  <si>
    <t>MDLA9551785</t>
  </si>
  <si>
    <t>Northstar Homes and Spaces</t>
  </si>
  <si>
    <t>AP39UZ2345</t>
  </si>
  <si>
    <t>SAKPDC005523/25-26</t>
  </si>
  <si>
    <t>MDLA9551784</t>
  </si>
  <si>
    <t>AP39UD2345</t>
  </si>
  <si>
    <t>SAKPDC005525/25-26</t>
  </si>
  <si>
    <t>MDLA9551786</t>
  </si>
  <si>
    <t>SAKPDC005526/25-26</t>
  </si>
  <si>
    <t>MDLA9551787</t>
  </si>
  <si>
    <t>SAKPDC005527/25-26</t>
  </si>
  <si>
    <t>MDLA9551788</t>
  </si>
  <si>
    <t>SAKPDC005528/25-26</t>
  </si>
  <si>
    <t>MDLA9551789</t>
  </si>
  <si>
    <t>SAKPDC005531/25-26</t>
  </si>
  <si>
    <t>MDLA9551792</t>
  </si>
  <si>
    <t>AP39UF3245</t>
  </si>
  <si>
    <t>40MM</t>
  </si>
  <si>
    <t>SAKPDC005529/25-26</t>
  </si>
  <si>
    <t>MDLA9551791</t>
  </si>
  <si>
    <t>SAKPDC005530/25-26</t>
  </si>
  <si>
    <t>MDLA9551790</t>
  </si>
  <si>
    <t>SAKPDC005532/25-26</t>
  </si>
  <si>
    <t>MDLA9551793</t>
  </si>
  <si>
    <t>SAKPDC005533/25-26</t>
  </si>
  <si>
    <t>MDLA9551794</t>
  </si>
  <si>
    <t>SAKPDC005534/25-26</t>
  </si>
  <si>
    <t>MDLA9551795</t>
  </si>
  <si>
    <t>N251209001</t>
  </si>
  <si>
    <t>MURLI</t>
  </si>
  <si>
    <t>AP39UZ0156</t>
  </si>
  <si>
    <t>SAKPDC005536/25-26</t>
  </si>
  <si>
    <t>MDLA9551797</t>
  </si>
  <si>
    <t>SAKPDC005535/25-26</t>
  </si>
  <si>
    <t>MDLA9551796</t>
  </si>
  <si>
    <t>SAKPDC005537/25-26</t>
  </si>
  <si>
    <t>MDLA9551798</t>
  </si>
  <si>
    <t>SAKPDC005538/25-26</t>
  </si>
  <si>
    <t>MDLA9551799</t>
  </si>
  <si>
    <t>SAKPDC005539/25-26</t>
  </si>
  <si>
    <t>MDLA9551800</t>
  </si>
  <si>
    <t>SAKPDC005540/25-26</t>
  </si>
  <si>
    <t>MDLA9551801</t>
  </si>
  <si>
    <t>SAKPDC005541/25-26</t>
  </si>
  <si>
    <t>MDLA9551802</t>
  </si>
  <si>
    <t>SAKPDC005542/25-26</t>
  </si>
  <si>
    <t>MDLA9551803</t>
  </si>
  <si>
    <t>SAKPDC005543/25-26</t>
  </si>
  <si>
    <t>MDLA9551804</t>
  </si>
  <si>
    <t>SAKPDC005544/25-26</t>
  </si>
  <si>
    <t>MDLA9551805</t>
  </si>
  <si>
    <t>SAKPDC005545/25-26</t>
  </si>
  <si>
    <t>MDLA9551806</t>
  </si>
  <si>
    <t>SAKPDC005546/25-26</t>
  </si>
  <si>
    <t>MDLA9551807</t>
  </si>
  <si>
    <t>SIRICON INDUSTRIAL MANAGEMENT SERVICE PVT LTD</t>
  </si>
  <si>
    <t>SAKPDC005547/25-26</t>
  </si>
  <si>
    <t>MDLA9551808</t>
  </si>
  <si>
    <t>SAKPDC005548/25-26</t>
  </si>
  <si>
    <t>MDLA9551809</t>
  </si>
  <si>
    <t>SAKPDC005549/25-26</t>
  </si>
  <si>
    <t>MDLA9551810</t>
  </si>
  <si>
    <t>SAKPDC005550/25-26</t>
  </si>
  <si>
    <t>MDLA9551811</t>
  </si>
  <si>
    <t>SAKPDC005551/25-26</t>
  </si>
  <si>
    <t>MDLA9551812</t>
  </si>
  <si>
    <t>SAKPDC005553/25-26</t>
  </si>
  <si>
    <t>MDLA9551814</t>
  </si>
  <si>
    <t>SAKPDC005552/25-26</t>
  </si>
  <si>
    <t>MDLA9551813</t>
  </si>
  <si>
    <t>SAKPDC005554/25-26</t>
  </si>
  <si>
    <t>MDLA9551815</t>
  </si>
  <si>
    <t>SAKPDC005555/25-26</t>
  </si>
  <si>
    <t>MDLA9551816</t>
  </si>
  <si>
    <t>SAKPDC005556/25-26</t>
  </si>
  <si>
    <t>MDLA9551817</t>
  </si>
  <si>
    <t>N251210001</t>
  </si>
  <si>
    <t>AP39UY9229</t>
  </si>
  <si>
    <t>N251210002</t>
  </si>
  <si>
    <t>N251210003</t>
  </si>
  <si>
    <t>CHINNA RAO</t>
  </si>
  <si>
    <t>AP05CR3045</t>
  </si>
  <si>
    <t>SAKPDC005558/25-26</t>
  </si>
  <si>
    <t>MDLA9551819</t>
  </si>
  <si>
    <t>SAKPDC005560/25-26</t>
  </si>
  <si>
    <t>MDLA9551821</t>
  </si>
  <si>
    <t>SVR &amp; CO</t>
  </si>
  <si>
    <t>AP39W0505</t>
  </si>
  <si>
    <t>SAKPDC005559/25-26</t>
  </si>
  <si>
    <t>MDLA9551820</t>
  </si>
  <si>
    <t>SAKPDC005557/25-26</t>
  </si>
  <si>
    <t>MDLA9551818</t>
  </si>
  <si>
    <t>SAKPDC005565/25-26</t>
  </si>
  <si>
    <t>MDLA9551826</t>
  </si>
  <si>
    <t>SAKPDC005564/25-26</t>
  </si>
  <si>
    <t>MDLA9551825</t>
  </si>
  <si>
    <t>SAKPDC005563/25-26</t>
  </si>
  <si>
    <t>MDLA9551824</t>
  </si>
  <si>
    <t>SAKPDC005562/25-26</t>
  </si>
  <si>
    <t>MDLA9551823</t>
  </si>
  <si>
    <t>VISWAMATHA ENTERPRISES</t>
  </si>
  <si>
    <t>AP39UQ9689</t>
  </si>
  <si>
    <t>SAKPDC005561/25-26</t>
  </si>
  <si>
    <t>MDLA9551822</t>
  </si>
  <si>
    <t>AP39TU4469</t>
  </si>
  <si>
    <t>N251211001</t>
  </si>
  <si>
    <t>K RAJU</t>
  </si>
  <si>
    <t>SATYANARAYANA SIR</t>
  </si>
  <si>
    <t>SAKPDC005566/25-26</t>
  </si>
  <si>
    <t>MDLA9551828</t>
  </si>
  <si>
    <t>SAKPDC005567/25-26</t>
  </si>
  <si>
    <t>MDLA9551827</t>
  </si>
  <si>
    <t>SAKPDC005570/25-26</t>
  </si>
  <si>
    <t>MDLA9551831</t>
  </si>
  <si>
    <t>SAKPDC005571/25-26</t>
  </si>
  <si>
    <t>MDLA9551832</t>
  </si>
  <si>
    <t>SAKPDC005568/25-26</t>
  </si>
  <si>
    <t>MDLA9551829</t>
  </si>
  <si>
    <t>SAKPDC005569/25-26</t>
  </si>
  <si>
    <t>MDLA9551830</t>
  </si>
  <si>
    <t>SAKPDC005572/25-26</t>
  </si>
  <si>
    <t>MDLA9551833</t>
  </si>
  <si>
    <t>SAKPDC005573/25-26</t>
  </si>
  <si>
    <t>MDLA9551834</t>
  </si>
  <si>
    <t>SAKPDC005574/25-26</t>
  </si>
  <si>
    <t>MDLA9551835</t>
  </si>
  <si>
    <t>SAKPDC005575/25-26</t>
  </si>
  <si>
    <t>MDLA9551836</t>
  </si>
  <si>
    <t>SAKPDC005576/25-26</t>
  </si>
  <si>
    <t>MDLA9551837</t>
  </si>
  <si>
    <t>SAKPDC005577/25-26</t>
  </si>
  <si>
    <t>MDLA9551838</t>
  </si>
  <si>
    <t>SAKPDC005578/25-26</t>
  </si>
  <si>
    <t>MDLA9551839</t>
  </si>
  <si>
    <t>AP39WB4829</t>
  </si>
  <si>
    <t>SAKPDC005579/25-26</t>
  </si>
  <si>
    <t>MDLA9551840</t>
  </si>
  <si>
    <t>AP39WB4919</t>
  </si>
  <si>
    <t>SAKPDC005580/25-26</t>
  </si>
  <si>
    <t>MDLA9551841</t>
  </si>
  <si>
    <t>N251211002</t>
  </si>
  <si>
    <t>N251211003</t>
  </si>
  <si>
    <t>AP16TF9612</t>
  </si>
  <si>
    <t>N251211004</t>
  </si>
  <si>
    <t>N251211005</t>
  </si>
  <si>
    <t>N251212001</t>
  </si>
  <si>
    <t>N251212002</t>
  </si>
  <si>
    <t>N251212003</t>
  </si>
  <si>
    <t>SAKPDC005581/25-26</t>
  </si>
  <si>
    <t>MDLA9551843</t>
  </si>
  <si>
    <t>SAKPDC005582/25-26</t>
  </si>
  <si>
    <t>MDLA9551844</t>
  </si>
  <si>
    <t>N251212004</t>
  </si>
  <si>
    <t>AP39UW9881</t>
  </si>
  <si>
    <t>N251212005</t>
  </si>
  <si>
    <t>N251212006</t>
  </si>
  <si>
    <t>SAKPDC005587/25-26</t>
  </si>
  <si>
    <t>MDLA9551849</t>
  </si>
  <si>
    <t>SAKPDC005586/25-26</t>
  </si>
  <si>
    <t>MDLA9551848</t>
  </si>
  <si>
    <t>SAKPDC005585/25-26</t>
  </si>
  <si>
    <t>MDLA9551847</t>
  </si>
  <si>
    <t>SAKPDC005584/25-26</t>
  </si>
  <si>
    <t>MDLA9551846</t>
  </si>
  <si>
    <t>SAKPDC005583/25-26</t>
  </si>
  <si>
    <t>MDLA9551845</t>
  </si>
  <si>
    <t>SAKPDC005588/25-26</t>
  </si>
  <si>
    <t>MDLA9551850</t>
  </si>
  <si>
    <t>SAKPDC005589/25-26</t>
  </si>
  <si>
    <t>MDLA9551851</t>
  </si>
  <si>
    <t>SAKPDC005590/25-26</t>
  </si>
  <si>
    <t>MDLA9551852</t>
  </si>
  <si>
    <t>SAKPDC005591/25-26</t>
  </si>
  <si>
    <t>MDLA9551853</t>
  </si>
  <si>
    <t>SAKPDC005592/25-26</t>
  </si>
  <si>
    <t>MDLA9551854</t>
  </si>
  <si>
    <t>AP39UF6577</t>
  </si>
  <si>
    <t>SAKPDC005593/25-26</t>
  </si>
  <si>
    <t>MDLA9551855</t>
  </si>
  <si>
    <t>SAKPDC005594/25-26</t>
  </si>
  <si>
    <t>MDLA9551856</t>
  </si>
  <si>
    <t>AP39UU5665</t>
  </si>
  <si>
    <t>SAKPDC005595/25-26</t>
  </si>
  <si>
    <t>MDLA9551857</t>
  </si>
  <si>
    <t>AP05TH2345</t>
  </si>
  <si>
    <t>N251213001</t>
  </si>
  <si>
    <t>BHASKAR</t>
  </si>
  <si>
    <t>AP16TG7970</t>
  </si>
  <si>
    <t>SAKPDC005596/25-26</t>
  </si>
  <si>
    <t>MDLA9551858</t>
  </si>
  <si>
    <t>SAKPDC005597/25-26</t>
  </si>
  <si>
    <t>MDLA9551859</t>
  </si>
  <si>
    <t>SAKPDC005598/25-26</t>
  </si>
  <si>
    <t>MDLA9551860</t>
  </si>
  <si>
    <t>SAKPDC005599/25-26</t>
  </si>
  <si>
    <t>MDLA9551861</t>
  </si>
  <si>
    <t>SAKPDC005600/25-26</t>
  </si>
  <si>
    <t>MDLA9551862</t>
  </si>
  <si>
    <t>SAKPDC005601/25-26</t>
  </si>
  <si>
    <t>MDLA9551863</t>
  </si>
  <si>
    <t>SAKPDC005603/25-26</t>
  </si>
  <si>
    <t>MDLA9551865</t>
  </si>
  <si>
    <t>LAXMI ENTERPRISES</t>
  </si>
  <si>
    <t>SAKPDC005604/25-26</t>
  </si>
  <si>
    <t>MDLA9551866</t>
  </si>
  <si>
    <t>SAKPDC005602/25-26</t>
  </si>
  <si>
    <t>MDLA9551864</t>
  </si>
  <si>
    <t>N251213002</t>
  </si>
  <si>
    <t>SAKPDC005605/25-26</t>
  </si>
  <si>
    <t>MDLA9551867</t>
  </si>
  <si>
    <t>SAKPDC005607/25-26</t>
  </si>
  <si>
    <t>MDLA9551869</t>
  </si>
  <si>
    <t>SAKPDC005606/25-26</t>
  </si>
  <si>
    <t>MDLA9551868</t>
  </si>
  <si>
    <t>SAKPDC005608/25-26</t>
  </si>
  <si>
    <t>MDLA9551870</t>
  </si>
  <si>
    <t>SAKPDC005609/25-26</t>
  </si>
  <si>
    <t>MDLA9551871</t>
  </si>
  <si>
    <t>SAKPDC005610/25-26</t>
  </si>
  <si>
    <t>MDLA9551872</t>
  </si>
  <si>
    <t>SAKPDC005611/25-26</t>
  </si>
  <si>
    <t>MDLA9551873</t>
  </si>
  <si>
    <t>SAKPDC005612/25-26</t>
  </si>
  <si>
    <t>MDLA9551874</t>
  </si>
  <si>
    <t>SAKPDC005613/25-26</t>
  </si>
  <si>
    <t>MDLA9551876</t>
  </si>
  <si>
    <t>SAKPDC005614/25-26</t>
  </si>
  <si>
    <t>MDLA9551877</t>
  </si>
  <si>
    <t>SAKPDC005615/25-26</t>
  </si>
  <si>
    <t>MDLA9551875</t>
  </si>
  <si>
    <t>SAKPDC005616/25-26</t>
  </si>
  <si>
    <t>MDLA9551878</t>
  </si>
  <si>
    <t>SAKPDC005617/25-26</t>
  </si>
  <si>
    <t>MDLA9551879</t>
  </si>
  <si>
    <t>N251214001</t>
  </si>
  <si>
    <t>N251214002</t>
  </si>
  <si>
    <t>AP39UZ0959</t>
  </si>
  <si>
    <t>N251214003</t>
  </si>
  <si>
    <t>N251214004</t>
  </si>
  <si>
    <t>N251214005</t>
  </si>
  <si>
    <t>N251214006</t>
  </si>
  <si>
    <t>N251214007</t>
  </si>
  <si>
    <t>N251214008</t>
  </si>
  <si>
    <t>N251214009</t>
  </si>
  <si>
    <t>N251214010</t>
  </si>
  <si>
    <t>SAKPDC005618/25-26</t>
  </si>
  <si>
    <t>MDLA9551880</t>
  </si>
  <si>
    <t>SAKPDC005619/25-26</t>
  </si>
  <si>
    <t>MDLA9551881</t>
  </si>
  <si>
    <t>AP39VE2399</t>
  </si>
  <si>
    <t>SAKPDC005620/25-26</t>
  </si>
  <si>
    <t>MDLA9551882</t>
  </si>
  <si>
    <t>SAKPDC005621/25-26</t>
  </si>
  <si>
    <t>MDLA9551883</t>
  </si>
  <si>
    <t>SAKPDC005622/25-26</t>
  </si>
  <si>
    <t>MDLA9551884</t>
  </si>
  <si>
    <t>SAKPDC005628/25-26</t>
  </si>
  <si>
    <t>MDLA9551890</t>
  </si>
  <si>
    <t>BHARATVARMA STONE AND MINERALS</t>
  </si>
  <si>
    <t>SAKPDC005626/25-26</t>
  </si>
  <si>
    <t>MDLA9551888</t>
  </si>
  <si>
    <t>SAKPDC005624/25-26</t>
  </si>
  <si>
    <t>MDLA9551886</t>
  </si>
  <si>
    <t>SRI PYDIMAMABA ENTERPISES</t>
  </si>
  <si>
    <t>SAKPDC005623/25-26</t>
  </si>
  <si>
    <t>MDLA9551885</t>
  </si>
  <si>
    <t>SAKPDC005627/25-26</t>
  </si>
  <si>
    <t>MDLA9551889</t>
  </si>
  <si>
    <t>SAKPDC005625/25-26</t>
  </si>
  <si>
    <t>MDLA9551887</t>
  </si>
  <si>
    <t>SAKPDC005629/25-26</t>
  </si>
  <si>
    <t>MDLA9551891</t>
  </si>
  <si>
    <t>AP39WC9639</t>
  </si>
  <si>
    <t>SAKPDC005630/25-26</t>
  </si>
  <si>
    <t>MDLA9551892</t>
  </si>
  <si>
    <t>SAKPDC005631/25-26</t>
  </si>
  <si>
    <t>MDLA9551893</t>
  </si>
  <si>
    <t>SAKPDC005633/25-26</t>
  </si>
  <si>
    <t>MDLA9551894</t>
  </si>
  <si>
    <t>SAKPDC005634/25-26</t>
  </si>
  <si>
    <t>MDLA9551895</t>
  </si>
  <si>
    <t>SAKPDC005635/25-26</t>
  </si>
  <si>
    <t>MDLA9551896</t>
  </si>
  <si>
    <t>SAKPDC005637/25-26</t>
  </si>
  <si>
    <t>MDLA9551898</t>
  </si>
  <si>
    <t>SAKPDC005636/25-26</t>
  </si>
  <si>
    <t>MDLA9551897</t>
  </si>
  <si>
    <t>SAKPDC005638/25-26</t>
  </si>
  <si>
    <t>MDLA9551899</t>
  </si>
  <si>
    <t>SAKPDC005639/25-26</t>
  </si>
  <si>
    <t>MDLA9551900</t>
  </si>
  <si>
    <t>N251215001</t>
  </si>
  <si>
    <t>AP39WC0927</t>
  </si>
  <si>
    <t>N251215002</t>
  </si>
  <si>
    <t>SAKPDC005640/25-26</t>
  </si>
  <si>
    <t>MDLA9551901</t>
  </si>
  <si>
    <t>SAKPDC005641/25-26</t>
  </si>
  <si>
    <t>MDLA9551902</t>
  </si>
  <si>
    <t>SAKPDC005643/25-26</t>
  </si>
  <si>
    <t>MDLA9551904</t>
  </si>
  <si>
    <t>SAKPDC005642/25-26</t>
  </si>
  <si>
    <t>MDLA9551903</t>
  </si>
  <si>
    <t>N251215003</t>
  </si>
  <si>
    <t xml:space="preserve"> GOPI MATURU</t>
  </si>
  <si>
    <t>SAKPDC005644/25-26</t>
  </si>
  <si>
    <t>MDLA95515908</t>
  </si>
  <si>
    <t>SAKPDC005645/25-26</t>
  </si>
  <si>
    <t>MDLA9551906</t>
  </si>
  <si>
    <t>SAKPDC005646/25-26</t>
  </si>
  <si>
    <t>MDLA9551907</t>
  </si>
  <si>
    <t>SAKPDC005647/25-26</t>
  </si>
  <si>
    <t>MDLA9551909</t>
  </si>
  <si>
    <t>SAKPDC005648/25-26</t>
  </si>
  <si>
    <t>MDLA9551910</t>
  </si>
  <si>
    <t>SAKPDC005650/25-26</t>
  </si>
  <si>
    <t>MDLA9551912</t>
  </si>
  <si>
    <t>SAKPDC005649/25-26</t>
  </si>
  <si>
    <t>MDLA9551911</t>
  </si>
  <si>
    <t>SAKPDC005651/25-26</t>
  </si>
  <si>
    <t>MDLA9551913</t>
  </si>
  <si>
    <t>SAKPDC005652/25-26</t>
  </si>
  <si>
    <t>MDLA9551914</t>
  </si>
  <si>
    <t>SAKPDC005653/25-26</t>
  </si>
  <si>
    <t>MDLA9551915</t>
  </si>
  <si>
    <t>SAKPDC005655/25-26</t>
  </si>
  <si>
    <t>MDLA9551917</t>
  </si>
  <si>
    <t>SAKPDC005654/25-26</t>
  </si>
  <si>
    <t>MDLA9551916</t>
  </si>
  <si>
    <t>SAKPDC005656/25-26</t>
  </si>
  <si>
    <t>MDLA9551918</t>
  </si>
  <si>
    <t>SAKPDC005657/25-26</t>
  </si>
  <si>
    <t>MDLA9551919</t>
  </si>
  <si>
    <t>SAKPDC005658/25-26</t>
  </si>
  <si>
    <t>MDLA9551920</t>
  </si>
  <si>
    <t>SAKPDC005661/25-26</t>
  </si>
  <si>
    <t>MDLA9551923</t>
  </si>
  <si>
    <t>SAKPDC005660/25-26</t>
  </si>
  <si>
    <t>MDLA9551922</t>
  </si>
  <si>
    <t>SAKPDC005659/25-26</t>
  </si>
  <si>
    <t>MDLA9551921</t>
  </si>
  <si>
    <t>N251216001</t>
  </si>
  <si>
    <t>RAMANABABU</t>
  </si>
  <si>
    <t>SAKPDC005662/25-26</t>
  </si>
  <si>
    <t>MDLA9551924</t>
  </si>
  <si>
    <t>N251216002</t>
  </si>
  <si>
    <t>WATER TANKER DRIVER (RAVI)</t>
  </si>
  <si>
    <t>AP31CR3126</t>
  </si>
  <si>
    <t>SAKPDC005663/25-26</t>
  </si>
  <si>
    <t>MDLA9551925</t>
  </si>
  <si>
    <t>SAKPDC005664/25-26</t>
  </si>
  <si>
    <t>MDLA9551926</t>
  </si>
  <si>
    <t>MK BUILDERS &amp; DEVELOPERS</t>
  </si>
  <si>
    <t>SAKPDC005667/25-26</t>
  </si>
  <si>
    <t>MDLA9551929</t>
  </si>
  <si>
    <t>SAKPDC005665/25-26</t>
  </si>
  <si>
    <t>MDLA9551928</t>
  </si>
  <si>
    <t>SAKPDC005668/25-26</t>
  </si>
  <si>
    <t>MDLA9551930</t>
  </si>
  <si>
    <t>SAKPDC005669/25-26</t>
  </si>
  <si>
    <t>MDLA9551931</t>
  </si>
  <si>
    <t>SAKPDC005670/25-26</t>
  </si>
  <si>
    <t>MDLA9551932</t>
  </si>
  <si>
    <t>N251216003</t>
  </si>
  <si>
    <t>N251216004</t>
  </si>
  <si>
    <t>P MURALIKRISHNA</t>
  </si>
  <si>
    <t>AP05TF2262</t>
  </si>
  <si>
    <t>SAKPDC005671/25-26</t>
  </si>
  <si>
    <t>MDLA9551933</t>
  </si>
  <si>
    <t>N251216006</t>
  </si>
  <si>
    <t>N251217001</t>
  </si>
  <si>
    <t>SAKPDC005672/25-26</t>
  </si>
  <si>
    <t>MDLA9551934</t>
  </si>
  <si>
    <t>M/S K V RAMANA REDDY</t>
  </si>
  <si>
    <t>SAKPDC005673/25-26</t>
  </si>
  <si>
    <t>MDLA9551935</t>
  </si>
  <si>
    <t>SAKPDC005674/25-26</t>
  </si>
  <si>
    <t>MDLA9551936</t>
  </si>
  <si>
    <t>SAKPDC005675/25-26</t>
  </si>
  <si>
    <t>MDLA9551937</t>
  </si>
  <si>
    <t>SAKPDC005676/25-26</t>
  </si>
  <si>
    <t>MDLA9551938</t>
  </si>
  <si>
    <t>SAKPDC005677/25-26</t>
  </si>
  <si>
    <t>MDLA9551939</t>
  </si>
  <si>
    <t>SAKPDC005678/25-26</t>
  </si>
  <si>
    <t>MDLA9551940</t>
  </si>
  <si>
    <t>SAKPDC005679/25-26</t>
  </si>
  <si>
    <t>MDLA9551941</t>
  </si>
  <si>
    <t>SAKPDC005680/25-26</t>
  </si>
  <si>
    <t>MDLA9551942</t>
  </si>
  <si>
    <t>SAKPDC005681/25-26</t>
  </si>
  <si>
    <t>MDLA9551943</t>
  </si>
  <si>
    <t>SAKPDC005682/25-26</t>
  </si>
  <si>
    <t>MDLA9551944</t>
  </si>
  <si>
    <t>SAKPDC005686/25-26</t>
  </si>
  <si>
    <t>MDLA9551947</t>
  </si>
  <si>
    <t>COASTAL CONCRETE</t>
  </si>
  <si>
    <t>SAKPDC005685/25-26</t>
  </si>
  <si>
    <t>MDLA9551946</t>
  </si>
  <si>
    <t>SAKPDC005690/25-26</t>
  </si>
  <si>
    <t>MDLA9551951</t>
  </si>
  <si>
    <t>SRI CHENDUR &amp; CO</t>
  </si>
  <si>
    <t>SAKPDC005689/25-26</t>
  </si>
  <si>
    <t>MDLA9551950</t>
  </si>
  <si>
    <t>SAKPDC005688/25-26</t>
  </si>
  <si>
    <t>MDLA9551949</t>
  </si>
  <si>
    <t>SAKPDC005687/25-26</t>
  </si>
  <si>
    <t>MDLA9551948</t>
  </si>
  <si>
    <t>SAKPDC005683/25-26</t>
  </si>
  <si>
    <t>MDLA9551945</t>
  </si>
  <si>
    <t>SAKPDC005691/25-26</t>
  </si>
  <si>
    <t>MDLA9551952</t>
  </si>
  <si>
    <t>SAKPDC005692/25-26</t>
  </si>
  <si>
    <t>MDLA9551953</t>
  </si>
  <si>
    <t>SAKPDC005694/25-26</t>
  </si>
  <si>
    <t>MDLA9551956</t>
  </si>
  <si>
    <t>AP39TV2537</t>
  </si>
  <si>
    <t>SAKPDC005693/25-26</t>
  </si>
  <si>
    <t>MDLA9551955</t>
  </si>
  <si>
    <t>SAKPDC005684/25-26</t>
  </si>
  <si>
    <t>MDLA9551954</t>
  </si>
  <si>
    <t>SAKPDC005696/25-26</t>
  </si>
  <si>
    <t>MDLA9551957</t>
  </si>
  <si>
    <t>SAKPDC005695/25-26</t>
  </si>
  <si>
    <t>MDLA9551958</t>
  </si>
  <si>
    <t>SAKPDC005697/25-26</t>
  </si>
  <si>
    <t>MDLA9551959</t>
  </si>
  <si>
    <t>SAKPDC005698/25-26</t>
  </si>
  <si>
    <t>MDLA9551960</t>
  </si>
  <si>
    <t>N251217002</t>
  </si>
  <si>
    <t>SAKPDC005699/25-26</t>
  </si>
  <si>
    <t>MDLA9551961</t>
  </si>
  <si>
    <t>N251217003</t>
  </si>
  <si>
    <t>B SRINU</t>
  </si>
  <si>
    <t>AP39UE9367</t>
  </si>
  <si>
    <t>SAKPDC005700/25-26</t>
  </si>
  <si>
    <t>MDLA9551962</t>
  </si>
  <si>
    <t>SAKPDC005701/25-26</t>
  </si>
  <si>
    <t>MDLA9551963</t>
  </si>
  <si>
    <t>N251217004</t>
  </si>
  <si>
    <t>AP39SN5614</t>
  </si>
  <si>
    <t>SAKPDC005702/25-26</t>
  </si>
  <si>
    <t>MDLA9551964</t>
  </si>
  <si>
    <t>SAKPDC005704/25-26</t>
  </si>
  <si>
    <t>MDLA9551966</t>
  </si>
  <si>
    <t>AP39UJ5068</t>
  </si>
  <si>
    <t>SAKPDC005703/25-26</t>
  </si>
  <si>
    <t>MDLA9551965</t>
  </si>
  <si>
    <t>SAKPDC005706/25-26</t>
  </si>
  <si>
    <t>MDLA9551968</t>
  </si>
  <si>
    <t>SAKPDC005705/25-26</t>
  </si>
  <si>
    <t>MDLA9551967</t>
  </si>
  <si>
    <t>SAKPDC005708/25-26</t>
  </si>
  <si>
    <t>MDLA9551969</t>
  </si>
  <si>
    <t>SAKPDC005709/25-26</t>
  </si>
  <si>
    <t>MDLA9551970</t>
  </si>
  <si>
    <t>SAKPDC005710/25-26</t>
  </si>
  <si>
    <t>MDLA9551971</t>
  </si>
  <si>
    <t>SAKPDC005711/25-26</t>
  </si>
  <si>
    <t>MDLA9551972</t>
  </si>
  <si>
    <t>SAKPDC005712/25-26</t>
  </si>
  <si>
    <t>MDLA9551973</t>
  </si>
  <si>
    <t>SAKPDC005713/25-26</t>
  </si>
  <si>
    <t>MDLA9551974</t>
  </si>
  <si>
    <t>SAKPDC005714/25-26</t>
  </si>
  <si>
    <t>MDLA9551975</t>
  </si>
  <si>
    <t>SAKPDC005715/25-26</t>
  </si>
  <si>
    <t>MDLA9551976</t>
  </si>
  <si>
    <t>AP39WE2345</t>
  </si>
  <si>
    <t>SAKPDC005716/25-26</t>
  </si>
  <si>
    <t>MDLA9551977</t>
  </si>
  <si>
    <t>SAKPDC005717/25-26</t>
  </si>
  <si>
    <t>MDLA9551978</t>
  </si>
  <si>
    <t>SAKPDC005718/25-26</t>
  </si>
  <si>
    <t>MDLA9551979</t>
  </si>
  <si>
    <t>N251218001</t>
  </si>
  <si>
    <t>PENTARAO</t>
  </si>
  <si>
    <t>AP05TU1189</t>
  </si>
  <si>
    <t>N251218002</t>
  </si>
  <si>
    <t>RAJU</t>
  </si>
  <si>
    <t>SAKPDC005719/25-26</t>
  </si>
  <si>
    <t>MDLA9551980</t>
  </si>
  <si>
    <t>SAKPDC005720/25-26</t>
  </si>
  <si>
    <t>MDLA9551981</t>
  </si>
  <si>
    <t>SAKPDC005721/25-26</t>
  </si>
  <si>
    <t>MDLA9551982</t>
  </si>
  <si>
    <t>SAKPDC005722/25-26</t>
  </si>
  <si>
    <t>SAKPDC005723/25-26</t>
  </si>
  <si>
    <t>MDLA9551984</t>
  </si>
  <si>
    <t>SAKPDC005724/25-26</t>
  </si>
  <si>
    <t>MDLA9551985</t>
  </si>
  <si>
    <t>SAKPDC005727/25-26</t>
  </si>
  <si>
    <t>MDLA9551987</t>
  </si>
  <si>
    <t>SAI SRI CONSTRUCTIONS</t>
  </si>
  <si>
    <t>SAKPDC005726/25-26</t>
  </si>
  <si>
    <t>MDLA9551986</t>
  </si>
  <si>
    <t>SAKPDC005725/25-26</t>
  </si>
  <si>
    <t>MDLA9551989</t>
  </si>
  <si>
    <t>SAKPDC005728/25-26</t>
  </si>
  <si>
    <t>MDLA9551988</t>
  </si>
  <si>
    <t>SAKPDC005729/25-26</t>
  </si>
  <si>
    <t>MDLA9551990</t>
  </si>
  <si>
    <t>SAKPDC005730/25-26</t>
  </si>
  <si>
    <t>MDLA9551991</t>
  </si>
  <si>
    <t>N251218003</t>
  </si>
  <si>
    <t>N251218004</t>
  </si>
  <si>
    <t>N251218005</t>
  </si>
  <si>
    <t>N251219001</t>
  </si>
  <si>
    <t>MP</t>
  </si>
  <si>
    <t>AP39WB8558</t>
  </si>
  <si>
    <t>N251219002</t>
  </si>
  <si>
    <t>AP39WB7109</t>
  </si>
  <si>
    <t>N251219003</t>
  </si>
  <si>
    <t>N251219004</t>
  </si>
  <si>
    <t>N251220001</t>
  </si>
  <si>
    <t>N251220002</t>
  </si>
  <si>
    <t>N251220003</t>
  </si>
  <si>
    <t>N251220004</t>
  </si>
  <si>
    <t>N251221001</t>
  </si>
  <si>
    <t>N251221002</t>
  </si>
  <si>
    <t>N251221003</t>
  </si>
  <si>
    <t>N251221004</t>
  </si>
  <si>
    <t>N251221005</t>
  </si>
  <si>
    <t>AP39WC0928</t>
  </si>
  <si>
    <t>N251221006</t>
  </si>
  <si>
    <t>N251222001</t>
  </si>
  <si>
    <t>N251223001</t>
  </si>
  <si>
    <t>N251224001</t>
  </si>
  <si>
    <t>N251224002</t>
  </si>
  <si>
    <t>SAKPDC005731/25-26</t>
  </si>
  <si>
    <t>MDLA9551992</t>
  </si>
  <si>
    <t>SAKPDC005733/25-26</t>
  </si>
  <si>
    <t>MDLA9551994</t>
  </si>
  <si>
    <t>SAKPDC005732/25-26</t>
  </si>
  <si>
    <t>MDLA9551993</t>
  </si>
  <si>
    <t>SAKPDC005734/25-26</t>
  </si>
  <si>
    <t>MDLA9551995</t>
  </si>
  <si>
    <t>SAKPDC005735/25-26</t>
  </si>
  <si>
    <t>MDLA9551996</t>
  </si>
  <si>
    <t>SAKPDC005736/25-26</t>
  </si>
  <si>
    <t>MDLA9551997</t>
  </si>
  <si>
    <t>SAKPDC005737/25-26</t>
  </si>
  <si>
    <t>MDLA9551998</t>
  </si>
  <si>
    <t>SAKPDC005738/25-26</t>
  </si>
  <si>
    <t>MDLA9551999</t>
  </si>
  <si>
    <t>SAKPDC005739/25-26</t>
  </si>
  <si>
    <t>MDLA9552000</t>
  </si>
  <si>
    <t>SAKPDC005740/25-26</t>
  </si>
  <si>
    <t>MDLA9552001</t>
  </si>
  <si>
    <t>GSB</t>
  </si>
  <si>
    <t>SAKPDC005741/25-26</t>
  </si>
  <si>
    <t>MDLA9552002</t>
  </si>
  <si>
    <t>SAKPDC005742/25-26</t>
  </si>
  <si>
    <t>MDLA9552003</t>
  </si>
  <si>
    <t>SAKPDC005746/25-26</t>
  </si>
  <si>
    <t>MDLA9552007</t>
  </si>
  <si>
    <t>SAKPDC005743/25-26</t>
  </si>
  <si>
    <t>MDLA9552004</t>
  </si>
  <si>
    <t>SAKPDC005744/25-26</t>
  </si>
  <si>
    <t>MDLA9552005</t>
  </si>
  <si>
    <t>SAKPDC005745/25-26</t>
  </si>
  <si>
    <t>MDLA9552006</t>
  </si>
  <si>
    <t>SAKPDC005747/25-26</t>
  </si>
  <si>
    <t>MDLA9552008</t>
  </si>
  <si>
    <t>SAKPDC005748/25-26</t>
  </si>
  <si>
    <t>MDLA9552009</t>
  </si>
  <si>
    <t>SAKPDC005749/25-26</t>
  </si>
  <si>
    <t>MDLA9552010</t>
  </si>
  <si>
    <t>SAKPDC005750/25-26</t>
  </si>
  <si>
    <t>MDLA9552011</t>
  </si>
  <si>
    <t>SAKPDC005751/25-26</t>
  </si>
  <si>
    <t>MDLA9552012</t>
  </si>
  <si>
    <t>N251226001</t>
  </si>
  <si>
    <t>NAIDU</t>
  </si>
  <si>
    <t>AP31DM6550</t>
  </si>
  <si>
    <t>SAKPDC005752/25-26</t>
  </si>
  <si>
    <t>MDLA9552013</t>
  </si>
  <si>
    <t>AP39UN3335</t>
  </si>
  <si>
    <t>SAKPDC005753/25-26</t>
  </si>
  <si>
    <t>MDLA9552014</t>
  </si>
  <si>
    <t>SAKPDC005754/25-26</t>
  </si>
  <si>
    <t>MDLA9552015</t>
  </si>
  <si>
    <t>GSB(WET MIX)</t>
  </si>
  <si>
    <t>SAKPDC005755/25-26</t>
  </si>
  <si>
    <t>MDLA9552028</t>
  </si>
  <si>
    <t>SAKPDC005756/25-26</t>
  </si>
  <si>
    <t>MDLA9552029</t>
  </si>
  <si>
    <t>SAKPDC005757/25-26</t>
  </si>
  <si>
    <t>MDLA9552030</t>
  </si>
  <si>
    <t>SAKPDC005758/25-26</t>
  </si>
  <si>
    <t>MDLA9552031</t>
  </si>
  <si>
    <t>SAKPDC005759/25-26</t>
  </si>
  <si>
    <t>MDLA9552032</t>
  </si>
  <si>
    <t>SAKPDC005761/25-26</t>
  </si>
  <si>
    <t>MDLA9552034</t>
  </si>
  <si>
    <t>SAKPDC005760/25-26</t>
  </si>
  <si>
    <t>MDLA9552033</t>
  </si>
  <si>
    <t>N251226002</t>
  </si>
  <si>
    <t>N251226003</t>
  </si>
  <si>
    <t>AP39UQ0095</t>
  </si>
  <si>
    <t>SAKPDC005764/25-26</t>
  </si>
  <si>
    <t>MDLA9552131</t>
  </si>
  <si>
    <t>SAKPDC005762/25-26</t>
  </si>
  <si>
    <t>MDLA9552129</t>
  </si>
  <si>
    <t>SAKPDC005763/25-26</t>
  </si>
  <si>
    <t>MDLA9552130</t>
  </si>
  <si>
    <t>SAKPDC005765/25-26</t>
  </si>
  <si>
    <t>MDLA9552128</t>
  </si>
  <si>
    <t>S.Siva Jyothi</t>
  </si>
  <si>
    <t>AP39UM5522</t>
  </si>
  <si>
    <t>SAKPDC005766/25-26</t>
  </si>
  <si>
    <t>MDLA9552113</t>
  </si>
  <si>
    <t>SAKPDC005767/25-26</t>
  </si>
  <si>
    <t>MDLA9552064</t>
  </si>
  <si>
    <t>SAKPDC005768/25-26</t>
  </si>
  <si>
    <t>MDLA9552018</t>
  </si>
  <si>
    <t>SAKPDC005769/25-26</t>
  </si>
  <si>
    <t>MDLA9552019</t>
  </si>
  <si>
    <t>SAKPDC005770/25-26</t>
  </si>
  <si>
    <t>MDLA9552027</t>
  </si>
  <si>
    <t>SAKPDC005771/25-26</t>
  </si>
  <si>
    <t>MDLA9552127</t>
  </si>
  <si>
    <t>SAKPDC005772/25-26</t>
  </si>
  <si>
    <t>MDLA9552040</t>
  </si>
  <si>
    <t>SAKPDC005773/25-26</t>
  </si>
  <si>
    <t>MDLA9552093</t>
  </si>
  <si>
    <t>SAKPDC005784/25-26</t>
  </si>
  <si>
    <t>MDLA9552121</t>
  </si>
  <si>
    <t>SAKPDC005782/25-26</t>
  </si>
  <si>
    <t>MDLA9552120</t>
  </si>
  <si>
    <t>SAKPDC005776/25-26</t>
  </si>
  <si>
    <t>MDLA9552114</t>
  </si>
  <si>
    <t>SAKPDC005777/25-26</t>
  </si>
  <si>
    <t>MDLA9552115</t>
  </si>
  <si>
    <t>SAKPDC005779/25-26</t>
  </si>
  <si>
    <t>MDLA9552117</t>
  </si>
  <si>
    <t>AP39UJ1166</t>
  </si>
  <si>
    <t>SAKPDC005778/25-26</t>
  </si>
  <si>
    <t>MDLA9552116</t>
  </si>
  <si>
    <t>SAKPDC005780/25-26</t>
  </si>
  <si>
    <t>MDLA9552118</t>
  </si>
  <si>
    <t>SAKPDC005781/25-26</t>
  </si>
  <si>
    <t>MDLA9552119</t>
  </si>
  <si>
    <t>N251227001</t>
  </si>
  <si>
    <t>ATHLEE VARDHAN-1589</t>
  </si>
  <si>
    <t>SAKPDC005783/25-26</t>
  </si>
  <si>
    <t>MDLA9552022</t>
  </si>
  <si>
    <t>AP31TN3659</t>
  </si>
  <si>
    <t>N251227002</t>
  </si>
  <si>
    <t>N251227003</t>
  </si>
  <si>
    <t>SAKPDC005785/25-26</t>
  </si>
  <si>
    <t>MDLA9552016</t>
  </si>
  <si>
    <t>N251227004</t>
  </si>
  <si>
    <t>SAKPDC005786/25-26</t>
  </si>
  <si>
    <t>MDLA9552122</t>
  </si>
  <si>
    <t>SAKPDC005787/25-26</t>
  </si>
  <si>
    <t>MDLA9552123</t>
  </si>
  <si>
    <t>N251227005</t>
  </si>
  <si>
    <t>N251227006</t>
  </si>
  <si>
    <t>SAKPDC005788/25-26</t>
  </si>
  <si>
    <t>MDLA9552124</t>
  </si>
  <si>
    <t>AP39UH2489</t>
  </si>
  <si>
    <t>SAKPDC005789/25-26</t>
  </si>
  <si>
    <t>MDLA9552026</t>
  </si>
  <si>
    <t>SAKPDC005790/25-26</t>
  </si>
  <si>
    <t>MDLA9552017</t>
  </si>
  <si>
    <t>SAKPDC005791/25-26</t>
  </si>
  <si>
    <t>MDLA9552065</t>
  </si>
  <si>
    <t>SAKPDC005792/25-26</t>
  </si>
  <si>
    <t>MDLA9552023</t>
  </si>
  <si>
    <t>SAKPDC005793/25-26</t>
  </si>
  <si>
    <t>MDLA9552020</t>
  </si>
  <si>
    <t>AP39UG0559</t>
  </si>
  <si>
    <t>N251227007</t>
  </si>
  <si>
    <t>N RAMANA</t>
  </si>
  <si>
    <t>AP31TC1923</t>
  </si>
  <si>
    <t>SAKPDC005794/25-26</t>
  </si>
  <si>
    <t>MDLA9552125</t>
  </si>
  <si>
    <t>SAKPDC005798/25-26</t>
  </si>
  <si>
    <t>SAKPDC005797/25-26</t>
  </si>
  <si>
    <t>SAKPDC005796/25-26</t>
  </si>
  <si>
    <t>SAKPDC005795/25-26</t>
  </si>
  <si>
    <t>SAKPDC005799/25-26</t>
  </si>
  <si>
    <t>MDLA9552126</t>
  </si>
  <si>
    <t>N251227008</t>
  </si>
  <si>
    <t>SAKSHI</t>
  </si>
  <si>
    <t>AP31EU4742</t>
  </si>
  <si>
    <t>N251227009</t>
  </si>
  <si>
    <t>SAKPDC005801/25-26</t>
  </si>
  <si>
    <t>MDLA9552070</t>
  </si>
  <si>
    <t>SAKPDC005802/25-26</t>
  </si>
  <si>
    <t>MDLA9552066</t>
  </si>
  <si>
    <t>SAKPDC005804/25-26</t>
  </si>
  <si>
    <t>MDLA9552068</t>
  </si>
  <si>
    <t>SAKPDC005805/25-26</t>
  </si>
  <si>
    <t>MDLA9552069</t>
  </si>
  <si>
    <t>SAKPDC005808/25-26</t>
  </si>
  <si>
    <t>MDLA9552067</t>
  </si>
  <si>
    <t>SAKPDC005807/25-26</t>
  </si>
  <si>
    <t>MDLA9552077</t>
  </si>
  <si>
    <t>SAKPDC005806/25-26</t>
  </si>
  <si>
    <t>MDLA9552076</t>
  </si>
  <si>
    <t>SAKPDC005803/25-26</t>
  </si>
  <si>
    <t>MDLA9552074</t>
  </si>
  <si>
    <t>SAKPDC005800/25-26</t>
  </si>
  <si>
    <t>MDLA9552075</t>
  </si>
  <si>
    <t>SAKPDC005809/25-26</t>
  </si>
  <si>
    <t>MDLA9552037</t>
  </si>
  <si>
    <t>SAKPDC005811/25-26</t>
  </si>
  <si>
    <t>MDLA9552080</t>
  </si>
  <si>
    <t>SAKPDC005810/25-26</t>
  </si>
  <si>
    <t>MDLA9552079</t>
  </si>
  <si>
    <t>SAKPDC005812/25-26</t>
  </si>
  <si>
    <t>MDLA9552073</t>
  </si>
  <si>
    <t>SAKPDC005814/25-26</t>
  </si>
  <si>
    <t>MDLA9552071</t>
  </si>
  <si>
    <t>SAKPDC005813/25-26</t>
  </si>
  <si>
    <t>MDLA9552044</t>
  </si>
  <si>
    <t>N251228001</t>
  </si>
  <si>
    <t>KLV PRASAD</t>
  </si>
  <si>
    <t>SAKPDC005815/25-26</t>
  </si>
  <si>
    <t>MDLA9552072</t>
  </si>
  <si>
    <t>SAKPDC005816/25-26</t>
  </si>
  <si>
    <t>SAKPDC005822/25-26</t>
  </si>
  <si>
    <t>AP39WE9299</t>
  </si>
  <si>
    <t>SAKPDC005820/25-26</t>
  </si>
  <si>
    <t>SAKPDC005823/25-26</t>
  </si>
  <si>
    <t>SAKPDC005817/25-26</t>
  </si>
  <si>
    <t>MDLA9552036</t>
  </si>
  <si>
    <t>SAKPDC005818/25-26</t>
  </si>
  <si>
    <t>MDLA9552035</t>
  </si>
  <si>
    <t>SAKPDC005819/25-26</t>
  </si>
  <si>
    <t>MDLA9552055</t>
  </si>
  <si>
    <t>SAKPDC005821/25-26</t>
  </si>
  <si>
    <t>MDLA9552057</t>
  </si>
  <si>
    <t>SAKPDC005824/25-26</t>
  </si>
  <si>
    <t>SAKPDC005825/25-26</t>
  </si>
  <si>
    <t>N251228002</t>
  </si>
  <si>
    <t>SAKPDC005826/25-26</t>
  </si>
  <si>
    <t>SAKPDC005827/25-26</t>
  </si>
  <si>
    <t>N251228003</t>
  </si>
  <si>
    <t>SAKSHI NEWS PAPER</t>
  </si>
  <si>
    <t>N251228004</t>
  </si>
  <si>
    <t>MURALI</t>
  </si>
  <si>
    <t>N251228005</t>
  </si>
  <si>
    <t>SAKPDC005828/25-26</t>
  </si>
  <si>
    <t>SAKPDC005830/25-26</t>
  </si>
  <si>
    <t>SAKPDC005829/25-26</t>
  </si>
  <si>
    <t>N251228006</t>
  </si>
  <si>
    <t>N251228007</t>
  </si>
  <si>
    <t>N251228008</t>
  </si>
  <si>
    <t>SAKPDC005831/25-26</t>
  </si>
  <si>
    <t>N251228009</t>
  </si>
  <si>
    <t>SAKPDC005832/25-26</t>
  </si>
  <si>
    <t>N251228010</t>
  </si>
  <si>
    <t>N251228011</t>
  </si>
  <si>
    <t>N251228012</t>
  </si>
  <si>
    <t>SAKPDC005833/25-26</t>
  </si>
  <si>
    <t>SAKPDC005838/25-26</t>
  </si>
  <si>
    <t>SAKPDC005835/25-26</t>
  </si>
  <si>
    <t>SAKPDC005836/25-26</t>
  </si>
  <si>
    <t>SAKPDC005834/25-26</t>
  </si>
  <si>
    <t>SAKPDC005837/25-26</t>
  </si>
  <si>
    <t>N251228013</t>
  </si>
  <si>
    <t>SAKPDC005839/25-26</t>
  </si>
  <si>
    <t>SAKPDC005840/25-26</t>
  </si>
  <si>
    <t>SAKPDC005842/25-26</t>
  </si>
  <si>
    <t>SAKPDC005841/25-26</t>
  </si>
  <si>
    <t>SAKPDC005843/25-26</t>
  </si>
  <si>
    <t>SAKPDC005845/25-26</t>
  </si>
  <si>
    <t>SAKPDC005844/25-26</t>
  </si>
  <si>
    <t>SAKPDC005848/25-26</t>
  </si>
  <si>
    <t>SAKPDC005846/25-26</t>
  </si>
  <si>
    <t>MDLA9552021</t>
  </si>
  <si>
    <t>SAKPDC005847/25-26</t>
  </si>
  <si>
    <t>MDLA9552024</t>
  </si>
  <si>
    <t>SAKPDC005849/25-26</t>
  </si>
  <si>
    <t>MDLA9552025</t>
  </si>
  <si>
    <t>SAKPDC005850/25-26</t>
  </si>
  <si>
    <t>SAKPDC005851/25-26</t>
  </si>
  <si>
    <t>SAKPDC005852/25-26</t>
  </si>
  <si>
    <t>MDLA9552090</t>
  </si>
  <si>
    <t>SAKPDC005854/25-26</t>
  </si>
  <si>
    <t>MDLA9552078</t>
  </si>
  <si>
    <t>SAKPDC005855/25-26</t>
  </si>
  <si>
    <t>MDLA9552085</t>
  </si>
  <si>
    <t>SAKPDC005856/25-26</t>
  </si>
  <si>
    <t>SAKPDC005853/25-26</t>
  </si>
  <si>
    <t>SAKPDC005857/25-26</t>
  </si>
  <si>
    <t>N251229001</t>
  </si>
  <si>
    <t>N251229002</t>
  </si>
  <si>
    <t>K SRINU</t>
  </si>
  <si>
    <t>AP27TN5716</t>
  </si>
  <si>
    <t>SAKPDC005858/25-26</t>
  </si>
  <si>
    <t>MDLA9552083</t>
  </si>
  <si>
    <t>SAKPDC005859/25-26</t>
  </si>
  <si>
    <t>MDLA9552050</t>
  </si>
  <si>
    <t>SAKPDC005860/25-26</t>
  </si>
  <si>
    <t>MDLA9552043</t>
  </si>
  <si>
    <t>SAKPDC005861/25-26</t>
  </si>
  <si>
    <t>SAKPDC005862/25-26</t>
  </si>
  <si>
    <t>SAKPDC005863/25-26</t>
  </si>
  <si>
    <t>SAKPDC005864/25-26</t>
  </si>
  <si>
    <t>SAKPDC005865/25-26</t>
  </si>
  <si>
    <t>MDLA9552086</t>
  </si>
  <si>
    <t>SAKPDC005866/25-26</t>
  </si>
  <si>
    <t>SAKPDC005867/25-26</t>
  </si>
  <si>
    <t>SAKPDC005868/25-26</t>
  </si>
  <si>
    <t>SAKPDC005869/25-26</t>
  </si>
  <si>
    <t>SAKPDC005870/25-26</t>
  </si>
  <si>
    <t>SAKPDC005871/25-26</t>
  </si>
  <si>
    <t>N251229003</t>
  </si>
  <si>
    <t>N251229004</t>
  </si>
  <si>
    <t>SAKPDC005887/25-26</t>
  </si>
  <si>
    <t>SAKPDC005873/25-26</t>
  </si>
  <si>
    <t>SAKPDC005874/25-26</t>
  </si>
  <si>
    <t>SAKPDC005875/25-26</t>
  </si>
  <si>
    <t>SAKPDC005878/25-26</t>
  </si>
  <si>
    <t>SAKPDC005872/25-26</t>
  </si>
  <si>
    <t>SAKPDC005881/25-26</t>
  </si>
  <si>
    <t>SAKPDC005876/25-26</t>
  </si>
  <si>
    <t>SAKPDC005877/25-26</t>
  </si>
  <si>
    <t>SAKPDC005880/25-26</t>
  </si>
  <si>
    <t>SAKPDC005882/25-26</t>
  </si>
  <si>
    <t>SAKPDC005879/25-26</t>
  </si>
  <si>
    <t>SAKPDC005888/25-26</t>
  </si>
  <si>
    <t>SAKPDC005883/25-26</t>
  </si>
  <si>
    <t>SAKPDC005884/25-26</t>
  </si>
  <si>
    <t>SAKPDC005885/25-26</t>
  </si>
  <si>
    <t>AP39UV5499</t>
  </si>
  <si>
    <t>N251229006</t>
  </si>
  <si>
    <t>N251229005</t>
  </si>
  <si>
    <t>N251230001</t>
  </si>
  <si>
    <t>RAMU P</t>
  </si>
  <si>
    <t>AP31TF3627</t>
  </si>
  <si>
    <t>SANJAY SIR</t>
  </si>
  <si>
    <t>N251230002</t>
  </si>
  <si>
    <t>MADHAV REDDY</t>
  </si>
  <si>
    <t>N251229007</t>
  </si>
  <si>
    <t>NANI</t>
  </si>
  <si>
    <t>SAKPDC005889/25-26</t>
  </si>
  <si>
    <t>SAKPDC005886/25-26</t>
  </si>
  <si>
    <t>SAKPDC005893/25-26</t>
  </si>
  <si>
    <t>SAKPDC005890/25-26</t>
  </si>
  <si>
    <t>SAKPDC005892/25-26</t>
  </si>
  <si>
    <t>N251230003</t>
  </si>
  <si>
    <t>SAKPDC005894/25-26</t>
  </si>
  <si>
    <t>SAKPDC005896/25-26</t>
  </si>
  <si>
    <t>AP39UZ3369</t>
  </si>
  <si>
    <t>SAKPDC005897/25-26</t>
  </si>
  <si>
    <t>SAKPDC005895/25-26</t>
  </si>
  <si>
    <t>SAKPDC005899/25-26</t>
  </si>
  <si>
    <t>SAKPDC005898/25-26</t>
  </si>
  <si>
    <t>SAKPDC005902/25-26</t>
  </si>
  <si>
    <t>SAKPDC005901/25-26</t>
  </si>
  <si>
    <t>SAKPDC005900/25-26</t>
  </si>
  <si>
    <t>SAKPDC005903/25-26</t>
  </si>
  <si>
    <t>AP31TN4302</t>
  </si>
  <si>
    <t>SAKPDC005905/25-26</t>
  </si>
  <si>
    <t>SAKPDC005904/25-26</t>
  </si>
  <si>
    <t>AP39UP9329</t>
  </si>
  <si>
    <t>N251230004</t>
  </si>
  <si>
    <t xml:space="preserve">SATTIBABU MAKAVARAM </t>
  </si>
  <si>
    <t>20mm</t>
  </si>
  <si>
    <t>SAKPDC005906/25-26</t>
  </si>
  <si>
    <t>SAKPDC005907/25-26</t>
  </si>
  <si>
    <t>AP31TV3659</t>
  </si>
  <si>
    <t>SAKPDC005908/25-26</t>
  </si>
  <si>
    <t>SAKPDC005909/25-26</t>
  </si>
  <si>
    <t>SAKPDC005910/25-26</t>
  </si>
  <si>
    <t>SAKPDC005911/25-26</t>
  </si>
  <si>
    <t>SAKPDC005912/25-26</t>
  </si>
  <si>
    <t>SAKPDC005913/25-26</t>
  </si>
  <si>
    <t>AP39WJ5869</t>
  </si>
  <si>
    <t>SAKPDC005914/25-26</t>
  </si>
  <si>
    <t>SAKPDC005916/25-26</t>
  </si>
  <si>
    <t>AP39UM4767</t>
  </si>
  <si>
    <t>SAKPDC005918/25-26</t>
  </si>
  <si>
    <t>SAKPDC005917/25-26</t>
  </si>
  <si>
    <t>SAKPDC005920/25-26</t>
  </si>
  <si>
    <t>SAKPDC005919/25-26</t>
  </si>
  <si>
    <t>SAKPDC005915/25-26</t>
  </si>
  <si>
    <t>SAKPDC005921/25-26</t>
  </si>
  <si>
    <t>SAKPDC005923/25-26</t>
  </si>
  <si>
    <t>SAKPDC005922/25-26</t>
  </si>
  <si>
    <t>SAKPDC005924/25-26</t>
  </si>
  <si>
    <t>SAKPDC005925/25-26</t>
  </si>
  <si>
    <t>N251230005</t>
  </si>
  <si>
    <t>SCALPIN</t>
  </si>
  <si>
    <t>SAKPDC005926/25-26</t>
  </si>
  <si>
    <t>SAKPDC005927/25-26</t>
  </si>
  <si>
    <t>SAKPDC005928/25-26</t>
  </si>
  <si>
    <t>SAKPDC005929/25-26</t>
  </si>
  <si>
    <t>SAKPDC005930/25-26</t>
  </si>
  <si>
    <t>SAKPDC005931/25-26</t>
  </si>
  <si>
    <t>AP39UV5589</t>
  </si>
  <si>
    <t>SAKPDC005932/25-26</t>
  </si>
  <si>
    <t>SAKPDC005933/25-26</t>
  </si>
  <si>
    <t>SAKPDC005934/25-26</t>
  </si>
  <si>
    <t>N251231001</t>
  </si>
  <si>
    <t>SAKPDC005935/25-26</t>
  </si>
  <si>
    <t>SAKPDC005936/25-26</t>
  </si>
  <si>
    <t>SAKPDC005937/25-26</t>
  </si>
  <si>
    <t>SAKPDC005938/25-26</t>
  </si>
  <si>
    <t>SAKPDC005939/25-26</t>
  </si>
  <si>
    <t>SAKPDC005940/25-26</t>
  </si>
  <si>
    <t>N251231002</t>
  </si>
  <si>
    <t>SAKPDC005944/25-26</t>
  </si>
  <si>
    <t>SAKPDC005941/25-26</t>
  </si>
  <si>
    <t>SAKPDC005942/25-26</t>
  </si>
  <si>
    <t>SAKPDC005943/25-26</t>
  </si>
  <si>
    <t>SAKPDC005945/25-26</t>
  </si>
  <si>
    <t>SAKPDC005947/25-26</t>
  </si>
  <si>
    <t>SAKPDC005946/25-26</t>
  </si>
  <si>
    <t>SAKPDC005949/25-26</t>
  </si>
  <si>
    <t>SAKPDC005948/25-26</t>
  </si>
  <si>
    <t>SAKPDC005952/25-26</t>
  </si>
  <si>
    <t>SAKPDC005950/25-26</t>
  </si>
  <si>
    <t>SAKPDC005951/25-26</t>
  </si>
  <si>
    <t>SAKPDC005953/25-26</t>
  </si>
  <si>
    <t>SAKPDC005954/25-26</t>
  </si>
  <si>
    <t>SAKPDC005956/25-26</t>
  </si>
  <si>
    <t>SAKPDC005955/25-26</t>
  </si>
  <si>
    <t>SAKPDC005957/25-26</t>
  </si>
  <si>
    <t>SAKPDC005958/25-26</t>
  </si>
  <si>
    <t>N251231003</t>
  </si>
  <si>
    <t>SAKPDC005959/25-26</t>
  </si>
  <si>
    <t>SAKPDC005960/25-26</t>
  </si>
  <si>
    <t>SAKPDC005961/25-26</t>
  </si>
  <si>
    <t>SAKPDC005964/25-26</t>
  </si>
  <si>
    <t>AP39UJ5678</t>
  </si>
  <si>
    <t>SAKPDC005963/25-26</t>
  </si>
  <si>
    <t>SAKPDC005962/25-26</t>
  </si>
  <si>
    <t>N251231004</t>
  </si>
  <si>
    <t>SAKPDC005965/25-26</t>
  </si>
  <si>
    <t>SAKPDC005966/25-26</t>
  </si>
  <si>
    <t>N251231005</t>
  </si>
  <si>
    <t>SAKPDC005967/25-26</t>
  </si>
  <si>
    <t>SAKPDC005968/25-26</t>
  </si>
  <si>
    <t>SAKPDC005969/25-26</t>
  </si>
  <si>
    <t>SAKPDC005970/25-26</t>
  </si>
  <si>
    <t>N251231006</t>
  </si>
  <si>
    <t>K L V PRASAD</t>
  </si>
  <si>
    <t>N251231007</t>
  </si>
  <si>
    <t>Shiva transport makavaram-AP39UQ2489</t>
  </si>
  <si>
    <t>SAKPDC005971/25-26</t>
  </si>
  <si>
    <t>N251231008</t>
  </si>
  <si>
    <t>VKR FUEL</t>
  </si>
  <si>
    <t>AP30PA5798</t>
  </si>
  <si>
    <t>N251231009</t>
  </si>
  <si>
    <t>AP39UV9081</t>
  </si>
  <si>
    <t>SAKPDC005972/25-26</t>
  </si>
  <si>
    <t>SAKPDC005973/25-26</t>
  </si>
  <si>
    <t>SAKPDC005974/25-26</t>
  </si>
  <si>
    <t>N260101002</t>
  </si>
  <si>
    <t>RAMU</t>
  </si>
  <si>
    <t>N260101001</t>
  </si>
  <si>
    <t>AP39VX4651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</si>
</sst>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-* #,##0.00_-;\-* #,##0.00_-;_-* &quot;-&quot;??_-;_-@_-"/>
    <numFmt numFmtId="166" formatCode="_ * #,##0_ ;_ * \-#,##0_ ;_ * &quot;-&quot;??_ ;_ @_ "/>
    <numFmt numFmtId="167" formatCode="0.00_ 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.75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</font>
    <font>
      <sz val="10"/>
      <color rgb="FF222222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.75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0"/>
      <color rgb="FF222222"/>
      <name val="Arial"/>
      <family val="2"/>
    </font>
    <font>
      <sz val="12"/>
      <color rgb="FF000000"/>
      <name val="Arial"/>
      <family val="2"/>
    </font>
    <font>
      <sz val="12"/>
      <color rgb="FF5F6368"/>
      <name val="Arial"/>
      <family val="2"/>
    </font>
    <font>
      <b/>
      <sz val="10.5"/>
      <color rgb="FF5F636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0.5"/>
      <color rgb="FF5F6368"/>
      <name val="Arial"/>
      <family val="2"/>
    </font>
    <font>
      <sz val="12"/>
      <color rgb="FF000000"/>
      <name val="Calibri"/>
      <family val="2"/>
      <scheme val="minor"/>
    </font>
    <font>
      <b/>
      <sz val="12"/>
      <name val="Calibri"/>
      <family val="2"/>
    </font>
    <font>
      <sz val="14"/>
      <color theme="1"/>
      <name val="Calibri"/>
      <family val="2"/>
    </font>
    <font>
      <b/>
      <sz val="12"/>
      <color rgb="FF5F6368"/>
      <name val="Arial"/>
      <family val="2"/>
    </font>
    <font>
      <sz val="12"/>
      <color rgb="FF222222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 tint="4.9989318521683403E-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6" fillId="0" borderId="0">
      <alignment wrapText="1"/>
    </xf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98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166" fontId="1" fillId="0" borderId="0" xfId="4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5" borderId="1" xfId="4" applyNumberFormat="1" applyFont="1" applyFill="1" applyBorder="1" applyAlignment="1">
      <alignment horizontal="right"/>
    </xf>
    <xf numFmtId="166" fontId="1" fillId="2" borderId="1" xfId="4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1" fillId="5" borderId="1" xfId="4" applyFont="1" applyFill="1" applyBorder="1" applyAlignment="1">
      <alignment horizontal="right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43" fontId="1" fillId="5" borderId="6" xfId="4" applyFont="1" applyFill="1" applyBorder="1" applyAlignment="1">
      <alignment horizontal="right"/>
    </xf>
    <xf numFmtId="166" fontId="1" fillId="5" borderId="5" xfId="4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6" borderId="7" xfId="0" applyFont="1" applyFill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4" fontId="16" fillId="4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/>
    </xf>
    <xf numFmtId="167" fontId="16" fillId="4" borderId="1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7" fontId="16" fillId="4" borderId="6" xfId="0" applyNumberFormat="1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8" fillId="6" borderId="4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6" borderId="0" xfId="0" applyFont="1" applyFill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22" fillId="4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0" fontId="18" fillId="4" borderId="4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center"/>
    </xf>
    <xf numFmtId="14" fontId="28" fillId="4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28" fillId="4" borderId="5" xfId="0" applyNumberFormat="1" applyFont="1" applyFill="1" applyBorder="1" applyAlignment="1">
      <alignment horizontal="center" vertical="center"/>
    </xf>
    <xf numFmtId="1" fontId="28" fillId="4" borderId="1" xfId="0" applyNumberFormat="1" applyFont="1" applyFill="1" applyBorder="1" applyAlignment="1">
      <alignment horizontal="center" vertical="center"/>
    </xf>
    <xf numFmtId="1" fontId="28" fillId="0" borderId="2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6" borderId="7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167" fontId="28" fillId="4" borderId="1" xfId="0" applyNumberFormat="1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30" fillId="4" borderId="4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27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/>
    </xf>
    <xf numFmtId="1" fontId="27" fillId="4" borderId="0" xfId="0" applyNumberFormat="1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0" fillId="7" borderId="2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4" borderId="0" xfId="0" applyFont="1" applyFill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/>
    </xf>
    <xf numFmtId="0" fontId="35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1" fillId="4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167" fontId="9" fillId="0" borderId="1" xfId="0" applyNumberFormat="1" applyFont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22" fillId="0" borderId="1" xfId="0" applyFont="1" applyBorder="1"/>
    <xf numFmtId="0" fontId="39" fillId="2" borderId="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4">
    <cellStyle name="Comma" xfId="4" builtinId="3"/>
    <cellStyle name="Comma 2" xfId="2" xr:uid="{00000000-0005-0000-0000-000001000000}"/>
    <cellStyle name="Comma 2 2" xfId="5" xr:uid="{00000000-0005-0000-0000-000002000000}"/>
    <cellStyle name="Comma 3" xfId="1" xr:uid="{00000000-0005-0000-0000-000003000000}"/>
    <cellStyle name="Comma 3 2" xfId="6" xr:uid="{00000000-0005-0000-0000-000004000000}"/>
    <cellStyle name="Comma 4" xfId="10" xr:uid="{00000000-0005-0000-0000-000005000000}"/>
    <cellStyle name="Comma 5" xfId="11" xr:uid="{00000000-0005-0000-0000-000006000000}"/>
    <cellStyle name="Hyperlink 2" xfId="12" xr:uid="{00000000-0005-0000-0000-000007000000}"/>
    <cellStyle name="Normal" xfId="0" builtinId="0"/>
    <cellStyle name="Normal 10 2 2 5" xfId="13" xr:uid="{00000000-0005-0000-0000-000009000000}"/>
    <cellStyle name="Normal 2" xfId="3" xr:uid="{00000000-0005-0000-0000-00000A000000}"/>
    <cellStyle name="Normal 2 2" xfId="8" xr:uid="{00000000-0005-0000-0000-00000B000000}"/>
    <cellStyle name="Normal 2 3" xfId="7" xr:uid="{00000000-0005-0000-0000-00000C000000}"/>
    <cellStyle name="Normal 3" xfId="9" xr:uid="{00000000-0005-0000-0000-00000D000000}"/>
  </cellStyles>
  <dxfs count="170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C209794B-95D5-46E9-8F5A-83E417611E2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B5AFD329-3157-42C4-A2FA-09EDF98D8404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639FC08-0F18-44A6-B845-ADB0509D9BA2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70D96722-13B4-4DBC-A6E1-79E888256C3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EF7EA2E-AC10-4058-8092-798D2D659591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E9720D65-BAD5-461A-84C6-6A401B24BA5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8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F3EFB7E-E434-4C1F-94A2-AE6B0DFA34E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9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C2BB82B-310D-4A8D-9D77-20B3DE18398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0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6601176A-48CB-4580-8409-BE0992605A2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1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FB81B2ED-07B7-4B01-B0C9-A7CF33584ED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D2D0F721-A8A5-4C64-A317-5EA241C05A47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3508F637-F78E-47F1-8689-27A7668913B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853F761-8A50-4D12-BC6D-B4DA9CA903F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24E6FE5-3184-4E94-A69F-0A3BA5027AC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015641B-AD85-4810-9DF2-469F6BC0889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0E863BE-B91B-4D42-9C5C-2058E9E42D7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71"/>
  <sheetViews>
    <sheetView tabSelected="1" workbookViewId="0">
      <selection activeCell="E11" sqref="E11"/>
    </sheetView>
  </sheetViews>
  <sheetFormatPr defaultColWidth="9.140625" defaultRowHeight="15" x14ac:dyDescent="0.25"/>
  <cols>
    <col min="1" max="1" width="5.42578125" bestFit="1" customWidth="1"/>
    <col min="2" max="3" width="14.5703125" bestFit="1" customWidth="1"/>
    <col min="4" max="4" width="16.5703125" bestFit="1" customWidth="1"/>
    <col min="5" max="5" width="21.7109375" bestFit="1" customWidth="1"/>
    <col min="6" max="6" width="14.28515625" bestFit="1" customWidth="1"/>
    <col min="7" max="7" width="13.28515625" bestFit="1" customWidth="1"/>
    <col min="8" max="8" width="9" bestFit="1" customWidth="1"/>
    <col min="9" max="9" width="41.42578125" bestFit="1" customWidth="1"/>
    <col min="10" max="10" width="8" bestFit="1" customWidth="1"/>
    <col min="11" max="11" width="8.140625" bestFit="1" customWidth="1"/>
    <col min="12" max="12" width="13.85546875" bestFit="1" customWidth="1"/>
    <col min="13" max="13" width="13.140625" bestFit="1" customWidth="1"/>
    <col min="14" max="14" width="7" bestFit="1" customWidth="1"/>
    <col min="15" max="15" width="7.28515625" customWidth="1"/>
    <col min="16" max="16" width="10" bestFit="1" customWidth="1"/>
    <col min="18" max="18" width="13.28515625" bestFit="1" customWidth="1"/>
    <col min="19" max="19" width="9.42578125" bestFit="1" customWidth="1"/>
    <col min="20" max="20" width="10.85546875" bestFit="1" customWidth="1"/>
    <col min="21" max="21" width="19.85546875" style="12" bestFit="1" customWidth="1"/>
    <col min="22" max="22" width="26" bestFit="1" customWidth="1"/>
    <col min="23" max="23" width="6.5703125" bestFit="1" customWidth="1"/>
    <col min="24" max="24" width="10" bestFit="1" customWidth="1"/>
    <col min="25" max="25" width="8" bestFit="1" customWidth="1"/>
    <col min="26" max="26" width="11.5703125" bestFit="1" customWidth="1"/>
    <col min="27" max="27" width="13.140625" bestFit="1" customWidth="1"/>
    <col min="28" max="28" width="20" bestFit="1" customWidth="1"/>
  </cols>
  <sheetData>
    <row r="1" spans="1:38" ht="42.6" customHeight="1" x14ac:dyDescent="0.25">
      <c r="A1" s="192" t="s">
        <v>0</v>
      </c>
      <c r="B1" s="191" t="s">
        <v>1</v>
      </c>
      <c r="C1" s="192" t="s">
        <v>2</v>
      </c>
      <c r="D1" s="193" t="s">
        <v>3</v>
      </c>
      <c r="E1" s="193" t="s">
        <v>4</v>
      </c>
      <c r="F1" s="193" t="s">
        <v>5</v>
      </c>
      <c r="G1" s="5" t="s">
        <v>6</v>
      </c>
      <c r="H1" s="193" t="s">
        <v>7</v>
      </c>
      <c r="I1" s="194" t="s">
        <v>25</v>
      </c>
      <c r="J1" s="191" t="s">
        <v>8</v>
      </c>
      <c r="K1" s="191" t="s">
        <v>26</v>
      </c>
      <c r="L1" s="191" t="s">
        <v>9</v>
      </c>
      <c r="M1" s="191" t="s">
        <v>27</v>
      </c>
      <c r="N1" s="191" t="s">
        <v>10</v>
      </c>
      <c r="O1" s="191" t="s">
        <v>28</v>
      </c>
      <c r="P1" s="4" t="s">
        <v>11</v>
      </c>
      <c r="Q1" s="191" t="s">
        <v>12</v>
      </c>
      <c r="R1" s="1" t="s">
        <v>13</v>
      </c>
      <c r="S1" s="191" t="s">
        <v>14</v>
      </c>
      <c r="T1" s="191" t="s">
        <v>29</v>
      </c>
      <c r="U1" s="191" t="s">
        <v>15</v>
      </c>
      <c r="V1" s="19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196" t="s">
        <v>22</v>
      </c>
    </row>
    <row r="2" spans="1:38" s="3" customFormat="1" x14ac:dyDescent="0.25">
      <c r="A2" s="192"/>
      <c r="B2" s="191"/>
      <c r="C2" s="192"/>
      <c r="D2" s="193"/>
      <c r="E2" s="193"/>
      <c r="F2" s="193"/>
      <c r="G2" s="11">
        <f>(SUBTOTAL(9,G4:G982))*1</f>
        <v>18593.46</v>
      </c>
      <c r="H2" s="193"/>
      <c r="I2" s="195"/>
      <c r="J2" s="191"/>
      <c r="K2" s="191"/>
      <c r="L2" s="191"/>
      <c r="M2" s="191"/>
      <c r="N2" s="191"/>
      <c r="O2" s="191"/>
      <c r="P2" s="11">
        <f>(SUBTOTAL(9,P4:P3033))*1</f>
        <v>27988.679999999997</v>
      </c>
      <c r="Q2" s="191"/>
      <c r="R2" s="6">
        <f>(SUBTOTAL(9,R4:R1487))*1</f>
        <v>11048227.949999996</v>
      </c>
      <c r="S2" s="191"/>
      <c r="T2" s="191"/>
      <c r="U2" s="191"/>
      <c r="V2" s="192"/>
      <c r="W2" s="7"/>
      <c r="X2" s="6">
        <f>(SUBTOTAL(9,X4:X2846))*1</f>
        <v>3664550.3499999996</v>
      </c>
      <c r="Y2" s="7"/>
      <c r="Z2" s="6">
        <f>(SUBTOTAL(9,Z4:Z1808))*1</f>
        <v>5428936.4799999977</v>
      </c>
      <c r="AA2" s="6">
        <f>(SUBTOTAL(9,AA4:AA1759))*1</f>
        <v>20141714.580000002</v>
      </c>
      <c r="AB2" s="197"/>
    </row>
    <row r="3" spans="1:38" s="3" customFormat="1" x14ac:dyDescent="0.25">
      <c r="A3" s="14"/>
      <c r="B3" s="5"/>
      <c r="C3" s="4"/>
      <c r="D3" s="8"/>
      <c r="E3" s="8"/>
      <c r="F3" s="8"/>
      <c r="G3" s="6"/>
      <c r="H3" s="10"/>
      <c r="I3" s="9"/>
      <c r="J3" s="13"/>
      <c r="K3" s="13"/>
      <c r="L3" s="5"/>
      <c r="M3" s="5"/>
      <c r="N3" s="5"/>
      <c r="O3" s="5"/>
      <c r="P3" s="15"/>
      <c r="Q3" s="5"/>
      <c r="R3" s="16"/>
      <c r="S3" s="5"/>
      <c r="T3" s="5"/>
      <c r="U3" s="5"/>
      <c r="V3" s="4"/>
      <c r="W3" s="7"/>
      <c r="X3" s="6"/>
      <c r="Y3" s="7"/>
      <c r="Z3" s="6"/>
      <c r="AA3" s="6"/>
      <c r="AB3" s="17"/>
    </row>
    <row r="4" spans="1:38" s="34" customFormat="1" ht="15.75" x14ac:dyDescent="0.25">
      <c r="A4" s="51">
        <v>1</v>
      </c>
      <c r="B4" s="22">
        <v>45992</v>
      </c>
      <c r="C4" s="22">
        <v>45992</v>
      </c>
      <c r="D4" s="23">
        <v>251201007</v>
      </c>
      <c r="E4" s="24" t="s">
        <v>69</v>
      </c>
      <c r="F4" s="24" t="s">
        <v>70</v>
      </c>
      <c r="G4" s="24">
        <v>35</v>
      </c>
      <c r="H4" s="35">
        <v>117</v>
      </c>
      <c r="I4" s="44" t="s">
        <v>55</v>
      </c>
      <c r="J4" s="20" t="s">
        <v>23</v>
      </c>
      <c r="K4" s="19" t="s">
        <v>32</v>
      </c>
      <c r="L4" s="27" t="s">
        <v>45</v>
      </c>
      <c r="M4" s="24" t="s">
        <v>34</v>
      </c>
      <c r="N4" s="24">
        <v>47.5</v>
      </c>
      <c r="O4" s="24">
        <v>11.86</v>
      </c>
      <c r="P4" s="28">
        <f t="shared" ref="P4:P15" si="0">N4-O4</f>
        <v>35.64</v>
      </c>
      <c r="Q4" s="29">
        <v>335</v>
      </c>
      <c r="R4" s="30">
        <f t="shared" ref="R4:R15" si="1">Q4*P4</f>
        <v>11939.4</v>
      </c>
      <c r="S4" s="29"/>
      <c r="T4" s="31"/>
      <c r="V4" s="31" t="s">
        <v>24</v>
      </c>
      <c r="W4" s="29">
        <v>145</v>
      </c>
      <c r="X4" s="32">
        <f t="shared" ref="X4:X35" si="2">W4*P4</f>
        <v>5167.8</v>
      </c>
      <c r="Y4" s="33">
        <v>230</v>
      </c>
      <c r="Z4" s="31">
        <f t="shared" ref="Z4:Z35" si="3">Y4*P4</f>
        <v>8197.2000000000007</v>
      </c>
      <c r="AA4" s="31">
        <f t="shared" ref="AA4:AA35" si="4">R4+X4+Z4</f>
        <v>25304.400000000001</v>
      </c>
    </row>
    <row r="5" spans="1:38" s="34" customFormat="1" ht="15.75" x14ac:dyDescent="0.25">
      <c r="A5" s="51">
        <v>2</v>
      </c>
      <c r="B5" s="22">
        <v>45992</v>
      </c>
      <c r="C5" s="22">
        <v>45992</v>
      </c>
      <c r="D5" s="23">
        <v>251201008</v>
      </c>
      <c r="E5" s="24" t="s">
        <v>71</v>
      </c>
      <c r="F5" s="24" t="s">
        <v>72</v>
      </c>
      <c r="G5" s="24">
        <v>33</v>
      </c>
      <c r="H5" s="35">
        <v>117</v>
      </c>
      <c r="I5" s="44" t="s">
        <v>55</v>
      </c>
      <c r="J5" s="20" t="s">
        <v>23</v>
      </c>
      <c r="K5" s="19" t="s">
        <v>32</v>
      </c>
      <c r="L5" s="27" t="s">
        <v>56</v>
      </c>
      <c r="M5" s="24" t="s">
        <v>36</v>
      </c>
      <c r="N5" s="24">
        <v>45.16</v>
      </c>
      <c r="O5" s="24">
        <v>11.82</v>
      </c>
      <c r="P5" s="28">
        <f t="shared" si="0"/>
        <v>33.339999999999996</v>
      </c>
      <c r="Q5" s="29">
        <v>555</v>
      </c>
      <c r="R5" s="30">
        <f t="shared" si="1"/>
        <v>18503.699999999997</v>
      </c>
      <c r="S5" s="29"/>
      <c r="T5" s="31"/>
      <c r="V5" s="31" t="s">
        <v>24</v>
      </c>
      <c r="W5" s="29">
        <v>145</v>
      </c>
      <c r="X5" s="32">
        <f t="shared" si="2"/>
        <v>4834.2999999999993</v>
      </c>
      <c r="Y5" s="33">
        <v>230</v>
      </c>
      <c r="Z5" s="33">
        <f t="shared" si="3"/>
        <v>7668.1999999999989</v>
      </c>
      <c r="AA5" s="31">
        <f t="shared" si="4"/>
        <v>31006.199999999997</v>
      </c>
    </row>
    <row r="6" spans="1:38" s="34" customFormat="1" ht="15.75" x14ac:dyDescent="0.25">
      <c r="A6" s="51">
        <v>3</v>
      </c>
      <c r="B6" s="22">
        <v>45992</v>
      </c>
      <c r="C6" s="22">
        <v>45992</v>
      </c>
      <c r="D6" s="23">
        <v>251201009</v>
      </c>
      <c r="E6" s="24" t="s">
        <v>73</v>
      </c>
      <c r="F6" s="24" t="s">
        <v>74</v>
      </c>
      <c r="G6" s="24">
        <v>46</v>
      </c>
      <c r="H6" s="25">
        <v>42</v>
      </c>
      <c r="I6" s="43" t="s">
        <v>52</v>
      </c>
      <c r="J6" s="18" t="s">
        <v>23</v>
      </c>
      <c r="K6" s="19" t="s">
        <v>32</v>
      </c>
      <c r="L6" s="27" t="s">
        <v>75</v>
      </c>
      <c r="M6" s="24" t="s">
        <v>36</v>
      </c>
      <c r="N6" s="24">
        <v>63.68</v>
      </c>
      <c r="O6" s="24">
        <v>16.760000000000002</v>
      </c>
      <c r="P6" s="28">
        <f t="shared" si="0"/>
        <v>46.92</v>
      </c>
      <c r="Q6" s="29">
        <v>525</v>
      </c>
      <c r="R6" s="30">
        <f t="shared" si="1"/>
        <v>24633</v>
      </c>
      <c r="S6" s="29"/>
      <c r="T6" s="31"/>
      <c r="V6" s="31" t="s">
        <v>24</v>
      </c>
      <c r="W6" s="29">
        <v>145</v>
      </c>
      <c r="X6" s="32">
        <f t="shared" si="2"/>
        <v>6803.4000000000005</v>
      </c>
      <c r="Y6" s="33">
        <v>260</v>
      </c>
      <c r="Z6" s="33">
        <f t="shared" si="3"/>
        <v>12199.2</v>
      </c>
      <c r="AA6" s="31">
        <f t="shared" si="4"/>
        <v>43635.600000000006</v>
      </c>
    </row>
    <row r="7" spans="1:38" s="34" customFormat="1" ht="15.75" x14ac:dyDescent="0.25">
      <c r="A7" s="51">
        <v>4</v>
      </c>
      <c r="B7" s="22">
        <v>45992</v>
      </c>
      <c r="C7" s="22">
        <v>45992</v>
      </c>
      <c r="D7" s="23">
        <v>251201010</v>
      </c>
      <c r="E7" s="24" t="s">
        <v>76</v>
      </c>
      <c r="F7" s="24" t="s">
        <v>77</v>
      </c>
      <c r="G7" s="24">
        <v>33</v>
      </c>
      <c r="H7" s="25">
        <v>42</v>
      </c>
      <c r="I7" s="43" t="s">
        <v>52</v>
      </c>
      <c r="J7" s="18" t="s">
        <v>23</v>
      </c>
      <c r="K7" s="19" t="s">
        <v>32</v>
      </c>
      <c r="L7" s="27" t="s">
        <v>57</v>
      </c>
      <c r="M7" s="24" t="s">
        <v>36</v>
      </c>
      <c r="N7" s="24">
        <v>45.26</v>
      </c>
      <c r="O7" s="24">
        <v>11.34</v>
      </c>
      <c r="P7" s="28">
        <f t="shared" si="0"/>
        <v>33.92</v>
      </c>
      <c r="Q7" s="29">
        <v>525</v>
      </c>
      <c r="R7" s="30">
        <f t="shared" si="1"/>
        <v>17808</v>
      </c>
      <c r="S7" s="29"/>
      <c r="T7" s="31"/>
      <c r="V7" s="31" t="s">
        <v>24</v>
      </c>
      <c r="W7" s="29">
        <v>145</v>
      </c>
      <c r="X7" s="32">
        <f t="shared" si="2"/>
        <v>4918.4000000000005</v>
      </c>
      <c r="Y7" s="33">
        <v>260</v>
      </c>
      <c r="Z7" s="33">
        <f t="shared" si="3"/>
        <v>8819.2000000000007</v>
      </c>
      <c r="AA7" s="31">
        <f t="shared" si="4"/>
        <v>31545.600000000002</v>
      </c>
    </row>
    <row r="8" spans="1:38" s="34" customFormat="1" ht="15.75" x14ac:dyDescent="0.25">
      <c r="A8" s="51">
        <v>5</v>
      </c>
      <c r="B8" s="22">
        <v>45992</v>
      </c>
      <c r="C8" s="22">
        <v>45992</v>
      </c>
      <c r="D8" s="23">
        <v>251201011</v>
      </c>
      <c r="E8" s="24" t="s">
        <v>78</v>
      </c>
      <c r="F8" s="24" t="s">
        <v>79</v>
      </c>
      <c r="G8" s="24">
        <v>43</v>
      </c>
      <c r="H8" s="25">
        <v>42</v>
      </c>
      <c r="I8" s="43" t="s">
        <v>52</v>
      </c>
      <c r="J8" s="18" t="s">
        <v>23</v>
      </c>
      <c r="K8" s="19" t="s">
        <v>32</v>
      </c>
      <c r="L8" s="27" t="s">
        <v>40</v>
      </c>
      <c r="M8" s="24" t="s">
        <v>34</v>
      </c>
      <c r="N8" s="37">
        <v>58.62</v>
      </c>
      <c r="O8" s="24">
        <v>15.12</v>
      </c>
      <c r="P8" s="28">
        <f t="shared" si="0"/>
        <v>43.5</v>
      </c>
      <c r="Q8" s="29">
        <v>285</v>
      </c>
      <c r="R8" s="30">
        <f t="shared" si="1"/>
        <v>12397.5</v>
      </c>
      <c r="S8" s="29"/>
      <c r="T8" s="31"/>
      <c r="V8" s="31" t="s">
        <v>24</v>
      </c>
      <c r="W8" s="29">
        <v>145</v>
      </c>
      <c r="X8" s="32">
        <f t="shared" si="2"/>
        <v>6307.5</v>
      </c>
      <c r="Y8" s="33">
        <v>260</v>
      </c>
      <c r="Z8" s="33">
        <f t="shared" si="3"/>
        <v>11310</v>
      </c>
      <c r="AA8" s="31">
        <f t="shared" si="4"/>
        <v>30015</v>
      </c>
    </row>
    <row r="9" spans="1:38" s="38" customFormat="1" ht="15.75" x14ac:dyDescent="0.25">
      <c r="A9" s="51">
        <v>6</v>
      </c>
      <c r="B9" s="22">
        <v>45992</v>
      </c>
      <c r="C9" s="22">
        <v>45992</v>
      </c>
      <c r="D9" s="23" t="s">
        <v>80</v>
      </c>
      <c r="E9" s="24"/>
      <c r="F9" s="24"/>
      <c r="G9" s="24"/>
      <c r="H9" s="48">
        <v>20</v>
      </c>
      <c r="I9" s="43" t="s">
        <v>62</v>
      </c>
      <c r="J9" s="20" t="s">
        <v>23</v>
      </c>
      <c r="K9" s="19" t="s">
        <v>32</v>
      </c>
      <c r="L9" s="27" t="s">
        <v>67</v>
      </c>
      <c r="M9" s="24" t="s">
        <v>58</v>
      </c>
      <c r="N9" s="37">
        <v>48.14</v>
      </c>
      <c r="O9" s="24">
        <v>12.38</v>
      </c>
      <c r="P9" s="28">
        <f t="shared" si="0"/>
        <v>35.76</v>
      </c>
      <c r="Q9" s="29">
        <v>250</v>
      </c>
      <c r="R9" s="30">
        <f t="shared" si="1"/>
        <v>8940</v>
      </c>
      <c r="S9" s="29"/>
      <c r="T9" s="31"/>
      <c r="V9" s="31" t="s">
        <v>53</v>
      </c>
      <c r="W9" s="29"/>
      <c r="X9" s="32">
        <f t="shared" si="2"/>
        <v>0</v>
      </c>
      <c r="Y9" s="33"/>
      <c r="Z9" s="33">
        <f t="shared" si="3"/>
        <v>0</v>
      </c>
      <c r="AA9" s="31">
        <f t="shared" si="4"/>
        <v>8940</v>
      </c>
    </row>
    <row r="10" spans="1:38" s="34" customFormat="1" ht="15.75" x14ac:dyDescent="0.25">
      <c r="A10" s="51">
        <v>7</v>
      </c>
      <c r="B10" s="22">
        <v>45992</v>
      </c>
      <c r="C10" s="22">
        <v>45992</v>
      </c>
      <c r="D10" s="23" t="s">
        <v>81</v>
      </c>
      <c r="E10" s="24"/>
      <c r="F10" s="24"/>
      <c r="G10" s="24"/>
      <c r="H10" s="48">
        <v>20</v>
      </c>
      <c r="I10" s="43" t="s">
        <v>62</v>
      </c>
      <c r="J10" s="20" t="s">
        <v>23</v>
      </c>
      <c r="K10" s="19" t="s">
        <v>32</v>
      </c>
      <c r="L10" s="27" t="s">
        <v>65</v>
      </c>
      <c r="M10" s="24" t="s">
        <v>31</v>
      </c>
      <c r="N10" s="37">
        <v>50.52</v>
      </c>
      <c r="O10" s="37">
        <v>12.5</v>
      </c>
      <c r="P10" s="28">
        <f t="shared" si="0"/>
        <v>38.020000000000003</v>
      </c>
      <c r="Q10" s="29">
        <v>140</v>
      </c>
      <c r="R10" s="30">
        <f t="shared" si="1"/>
        <v>5322.8</v>
      </c>
      <c r="S10" s="29"/>
      <c r="T10" s="31"/>
      <c r="V10" s="31" t="s">
        <v>53</v>
      </c>
      <c r="W10" s="29"/>
      <c r="X10" s="32">
        <f t="shared" si="2"/>
        <v>0</v>
      </c>
      <c r="Y10" s="33"/>
      <c r="Z10" s="31">
        <f t="shared" si="3"/>
        <v>0</v>
      </c>
      <c r="AA10" s="31">
        <f t="shared" si="4"/>
        <v>5322.8</v>
      </c>
    </row>
    <row r="11" spans="1:38" s="34" customFormat="1" ht="15.75" x14ac:dyDescent="0.25">
      <c r="A11" s="51">
        <v>8</v>
      </c>
      <c r="B11" s="22">
        <v>45992</v>
      </c>
      <c r="C11" s="22">
        <v>45992</v>
      </c>
      <c r="D11" s="23" t="s">
        <v>82</v>
      </c>
      <c r="E11" s="24"/>
      <c r="F11" s="24"/>
      <c r="G11" s="24"/>
      <c r="H11" s="48">
        <v>20</v>
      </c>
      <c r="I11" s="43" t="s">
        <v>62</v>
      </c>
      <c r="J11" s="20" t="s">
        <v>23</v>
      </c>
      <c r="K11" s="19" t="s">
        <v>32</v>
      </c>
      <c r="L11" s="27" t="s">
        <v>64</v>
      </c>
      <c r="M11" s="24" t="s">
        <v>58</v>
      </c>
      <c r="N11" s="37">
        <v>48.24</v>
      </c>
      <c r="O11" s="37">
        <v>13.08</v>
      </c>
      <c r="P11" s="28">
        <f t="shared" si="0"/>
        <v>35.160000000000004</v>
      </c>
      <c r="Q11" s="29">
        <v>250</v>
      </c>
      <c r="R11" s="30">
        <f t="shared" si="1"/>
        <v>8790.0000000000018</v>
      </c>
      <c r="S11" s="29"/>
      <c r="T11" s="31"/>
      <c r="V11" s="31" t="s">
        <v>53</v>
      </c>
      <c r="W11" s="29"/>
      <c r="X11" s="32">
        <f t="shared" si="2"/>
        <v>0</v>
      </c>
      <c r="Y11" s="33"/>
      <c r="Z11" s="33">
        <f t="shared" si="3"/>
        <v>0</v>
      </c>
      <c r="AA11" s="31">
        <f t="shared" si="4"/>
        <v>8790.0000000000018</v>
      </c>
    </row>
    <row r="12" spans="1:38" s="34" customFormat="1" ht="15.75" x14ac:dyDescent="0.25">
      <c r="A12" s="51">
        <v>9</v>
      </c>
      <c r="B12" s="22">
        <v>45992</v>
      </c>
      <c r="C12" s="22">
        <v>45992</v>
      </c>
      <c r="D12" s="23" t="s">
        <v>83</v>
      </c>
      <c r="E12" s="24"/>
      <c r="F12" s="24"/>
      <c r="G12" s="24"/>
      <c r="H12" s="48">
        <v>20</v>
      </c>
      <c r="I12" s="43" t="s">
        <v>62</v>
      </c>
      <c r="J12" s="20" t="s">
        <v>23</v>
      </c>
      <c r="K12" s="19" t="s">
        <v>32</v>
      </c>
      <c r="L12" s="27" t="s">
        <v>63</v>
      </c>
      <c r="M12" s="24" t="s">
        <v>58</v>
      </c>
      <c r="N12" s="24">
        <v>45.32</v>
      </c>
      <c r="O12" s="37">
        <v>12.58</v>
      </c>
      <c r="P12" s="28">
        <f t="shared" si="0"/>
        <v>32.74</v>
      </c>
      <c r="Q12" s="29">
        <v>250</v>
      </c>
      <c r="R12" s="30">
        <f t="shared" si="1"/>
        <v>8185.0000000000009</v>
      </c>
      <c r="S12" s="29"/>
      <c r="T12" s="31"/>
      <c r="V12" s="31" t="s">
        <v>53</v>
      </c>
      <c r="W12" s="29"/>
      <c r="X12" s="32">
        <f t="shared" si="2"/>
        <v>0</v>
      </c>
      <c r="Y12" s="33"/>
      <c r="Z12" s="33">
        <f t="shared" si="3"/>
        <v>0</v>
      </c>
      <c r="AA12" s="31">
        <f t="shared" si="4"/>
        <v>8185.0000000000009</v>
      </c>
    </row>
    <row r="13" spans="1:38" s="34" customFormat="1" ht="17.100000000000001" customHeight="1" x14ac:dyDescent="0.25">
      <c r="A13" s="51">
        <v>10</v>
      </c>
      <c r="B13" s="22">
        <v>45992</v>
      </c>
      <c r="C13" s="22">
        <v>45992</v>
      </c>
      <c r="D13" s="23">
        <v>251201012</v>
      </c>
      <c r="E13" s="24" t="s">
        <v>84</v>
      </c>
      <c r="F13" s="24" t="s">
        <v>85</v>
      </c>
      <c r="G13" s="24">
        <v>42</v>
      </c>
      <c r="H13" s="25">
        <v>84</v>
      </c>
      <c r="I13" s="26" t="s">
        <v>50</v>
      </c>
      <c r="J13" s="18" t="s">
        <v>23</v>
      </c>
      <c r="K13" s="19" t="s">
        <v>32</v>
      </c>
      <c r="L13" s="27" t="s">
        <v>39</v>
      </c>
      <c r="M13" s="24" t="s">
        <v>34</v>
      </c>
      <c r="N13" s="37">
        <v>58.08</v>
      </c>
      <c r="O13" s="24">
        <v>15.72</v>
      </c>
      <c r="P13" s="28">
        <f t="shared" si="0"/>
        <v>42.36</v>
      </c>
      <c r="Q13" s="29">
        <v>305</v>
      </c>
      <c r="R13" s="30">
        <f t="shared" si="1"/>
        <v>12919.8</v>
      </c>
      <c r="S13" s="29"/>
      <c r="T13" s="31"/>
      <c r="V13" s="31" t="s">
        <v>24</v>
      </c>
      <c r="W13" s="29">
        <v>145</v>
      </c>
      <c r="X13" s="32">
        <f t="shared" si="2"/>
        <v>6142.2</v>
      </c>
      <c r="Y13" s="33">
        <v>210</v>
      </c>
      <c r="Z13" s="33">
        <f t="shared" si="3"/>
        <v>8895.6</v>
      </c>
      <c r="AA13" s="31">
        <f t="shared" si="4"/>
        <v>27957.599999999999</v>
      </c>
      <c r="AB13" s="40"/>
      <c r="AC13" s="39"/>
      <c r="AD13" s="41"/>
      <c r="AE13" s="42"/>
      <c r="AF13" s="39"/>
      <c r="AG13" s="42"/>
      <c r="AH13" s="39"/>
      <c r="AI13" s="41"/>
      <c r="AJ13" s="39"/>
      <c r="AK13" s="41"/>
      <c r="AL13" s="41"/>
    </row>
    <row r="14" spans="1:38" s="34" customFormat="1" ht="15.75" x14ac:dyDescent="0.25">
      <c r="A14" s="51">
        <v>11</v>
      </c>
      <c r="B14" s="22">
        <v>45992</v>
      </c>
      <c r="C14" s="22">
        <v>45992</v>
      </c>
      <c r="D14" s="23" t="s">
        <v>86</v>
      </c>
      <c r="E14" s="24"/>
      <c r="F14" s="24"/>
      <c r="G14" s="24"/>
      <c r="H14" s="46">
        <v>289</v>
      </c>
      <c r="I14" s="50" t="s">
        <v>87</v>
      </c>
      <c r="J14" s="20" t="s">
        <v>23</v>
      </c>
      <c r="K14" s="19" t="s">
        <v>30</v>
      </c>
      <c r="L14" s="27" t="s">
        <v>68</v>
      </c>
      <c r="M14" s="24" t="s">
        <v>36</v>
      </c>
      <c r="N14" s="37">
        <v>8.0399999999999991</v>
      </c>
      <c r="O14" s="37">
        <v>3.6</v>
      </c>
      <c r="P14" s="28">
        <f t="shared" si="0"/>
        <v>4.4399999999999995</v>
      </c>
      <c r="Q14" s="29">
        <v>550</v>
      </c>
      <c r="R14" s="30">
        <f t="shared" si="1"/>
        <v>2441.9999999999995</v>
      </c>
      <c r="S14" s="29">
        <v>2442</v>
      </c>
      <c r="T14" s="31"/>
      <c r="V14" s="31" t="s">
        <v>24</v>
      </c>
      <c r="W14" s="29"/>
      <c r="X14" s="32">
        <f t="shared" si="2"/>
        <v>0</v>
      </c>
      <c r="Y14" s="33"/>
      <c r="Z14" s="33">
        <f t="shared" si="3"/>
        <v>0</v>
      </c>
      <c r="AA14" s="31">
        <f t="shared" si="4"/>
        <v>2441.9999999999995</v>
      </c>
    </row>
    <row r="15" spans="1:38" s="34" customFormat="1" ht="15.75" x14ac:dyDescent="0.25">
      <c r="A15" s="51">
        <v>12</v>
      </c>
      <c r="B15" s="22">
        <v>45992</v>
      </c>
      <c r="C15" s="22">
        <v>45992</v>
      </c>
      <c r="D15" s="23" t="s">
        <v>88</v>
      </c>
      <c r="E15" s="24"/>
      <c r="F15" s="24"/>
      <c r="G15" s="24"/>
      <c r="H15" s="46">
        <v>289</v>
      </c>
      <c r="I15" s="50" t="s">
        <v>87</v>
      </c>
      <c r="J15" s="20" t="s">
        <v>23</v>
      </c>
      <c r="K15" s="19" t="s">
        <v>30</v>
      </c>
      <c r="L15" s="23" t="s">
        <v>89</v>
      </c>
      <c r="M15" s="24" t="s">
        <v>36</v>
      </c>
      <c r="N15" s="37">
        <v>8.2799999999999994</v>
      </c>
      <c r="O15" s="37">
        <v>3.5</v>
      </c>
      <c r="P15" s="28">
        <f t="shared" si="0"/>
        <v>4.7799999999999994</v>
      </c>
      <c r="Q15" s="29">
        <v>550</v>
      </c>
      <c r="R15" s="30">
        <f t="shared" si="1"/>
        <v>2628.9999999999995</v>
      </c>
      <c r="S15" s="29">
        <v>2629</v>
      </c>
      <c r="T15" s="31"/>
      <c r="V15" s="31" t="s">
        <v>24</v>
      </c>
      <c r="W15" s="29"/>
      <c r="X15" s="32">
        <f t="shared" si="2"/>
        <v>0</v>
      </c>
      <c r="Y15" s="33"/>
      <c r="Z15" s="33">
        <f t="shared" si="3"/>
        <v>0</v>
      </c>
      <c r="AA15" s="31">
        <f t="shared" si="4"/>
        <v>2628.9999999999995</v>
      </c>
    </row>
    <row r="16" spans="1:38" s="34" customFormat="1" ht="15.75" x14ac:dyDescent="0.25">
      <c r="A16" s="51">
        <v>13</v>
      </c>
      <c r="B16" s="22">
        <v>45992</v>
      </c>
      <c r="C16" s="22">
        <v>45992</v>
      </c>
      <c r="D16" s="47" t="s">
        <v>90</v>
      </c>
      <c r="E16" s="24"/>
      <c r="F16" s="24"/>
      <c r="G16" s="24"/>
      <c r="H16" s="48">
        <v>20</v>
      </c>
      <c r="I16" s="43" t="s">
        <v>62</v>
      </c>
      <c r="J16" s="20" t="s">
        <v>23</v>
      </c>
      <c r="K16" s="19" t="s">
        <v>32</v>
      </c>
      <c r="L16" s="27" t="s">
        <v>67</v>
      </c>
      <c r="M16" s="24" t="s">
        <v>31</v>
      </c>
      <c r="N16" s="37">
        <v>45.8</v>
      </c>
      <c r="O16" s="37">
        <v>12.28</v>
      </c>
      <c r="P16" s="28">
        <f>N16-O16</f>
        <v>33.519999999999996</v>
      </c>
      <c r="Q16" s="29">
        <v>150</v>
      </c>
      <c r="R16" s="30">
        <f>Q16*P16</f>
        <v>5027.9999999999991</v>
      </c>
      <c r="S16" s="29"/>
      <c r="T16" s="31"/>
      <c r="V16" s="31" t="s">
        <v>53</v>
      </c>
      <c r="W16" s="29"/>
      <c r="X16" s="32">
        <f t="shared" si="2"/>
        <v>0</v>
      </c>
      <c r="Y16" s="33"/>
      <c r="Z16" s="33">
        <f t="shared" si="3"/>
        <v>0</v>
      </c>
      <c r="AA16" s="31">
        <f t="shared" si="4"/>
        <v>5027.9999999999991</v>
      </c>
    </row>
    <row r="17" spans="1:27" s="34" customFormat="1" ht="15.75" x14ac:dyDescent="0.25">
      <c r="A17" s="51">
        <v>14</v>
      </c>
      <c r="B17" s="22">
        <v>45992</v>
      </c>
      <c r="C17" s="22">
        <v>45992</v>
      </c>
      <c r="D17" s="23" t="s">
        <v>91</v>
      </c>
      <c r="E17" s="24"/>
      <c r="F17" s="24"/>
      <c r="G17" s="24"/>
      <c r="H17" s="48">
        <v>20</v>
      </c>
      <c r="I17" s="43" t="s">
        <v>62</v>
      </c>
      <c r="J17" s="20" t="s">
        <v>23</v>
      </c>
      <c r="K17" s="19" t="s">
        <v>32</v>
      </c>
      <c r="L17" s="52" t="s">
        <v>66</v>
      </c>
      <c r="M17" s="24" t="s">
        <v>58</v>
      </c>
      <c r="N17" s="37">
        <v>47.14</v>
      </c>
      <c r="O17" s="37">
        <v>12.42</v>
      </c>
      <c r="P17" s="28">
        <f>N17-O17</f>
        <v>34.72</v>
      </c>
      <c r="Q17" s="29">
        <v>250</v>
      </c>
      <c r="R17" s="30">
        <f>Q17*P17</f>
        <v>8680</v>
      </c>
      <c r="S17" s="29"/>
      <c r="T17" s="31"/>
      <c r="V17" s="31" t="s">
        <v>53</v>
      </c>
      <c r="W17" s="29"/>
      <c r="X17" s="32">
        <f t="shared" si="2"/>
        <v>0</v>
      </c>
      <c r="Y17" s="33"/>
      <c r="Z17" s="33">
        <f t="shared" si="3"/>
        <v>0</v>
      </c>
      <c r="AA17" s="31">
        <f t="shared" si="4"/>
        <v>8680</v>
      </c>
    </row>
    <row r="18" spans="1:27" s="38" customFormat="1" ht="15.75" x14ac:dyDescent="0.25">
      <c r="A18" s="51">
        <v>15</v>
      </c>
      <c r="B18" s="22">
        <v>45992</v>
      </c>
      <c r="C18" s="22">
        <v>45992</v>
      </c>
      <c r="D18" s="23" t="s">
        <v>92</v>
      </c>
      <c r="E18" s="24"/>
      <c r="F18" s="24"/>
      <c r="G18" s="24"/>
      <c r="H18" s="53"/>
      <c r="I18" s="45" t="s">
        <v>48</v>
      </c>
      <c r="J18" s="20" t="s">
        <v>23</v>
      </c>
      <c r="K18" s="19" t="s">
        <v>32</v>
      </c>
      <c r="L18" s="27" t="s">
        <v>93</v>
      </c>
      <c r="M18" s="24" t="s">
        <v>49</v>
      </c>
      <c r="N18" s="37">
        <v>27.6</v>
      </c>
      <c r="O18" s="24">
        <v>14.92</v>
      </c>
      <c r="P18" s="28">
        <f>N18-O18</f>
        <v>12.680000000000001</v>
      </c>
      <c r="Q18" s="29">
        <v>0</v>
      </c>
      <c r="R18" s="30">
        <f>Q18*P18</f>
        <v>0</v>
      </c>
      <c r="S18" s="29"/>
      <c r="T18" s="31"/>
      <c r="V18" s="31" t="s">
        <v>24</v>
      </c>
      <c r="W18" s="29"/>
      <c r="X18" s="32">
        <f t="shared" si="2"/>
        <v>0</v>
      </c>
      <c r="Y18" s="33"/>
      <c r="Z18" s="31">
        <f t="shared" si="3"/>
        <v>0</v>
      </c>
      <c r="AA18" s="31">
        <f t="shared" si="4"/>
        <v>0</v>
      </c>
    </row>
    <row r="19" spans="1:27" s="34" customFormat="1" ht="15.75" x14ac:dyDescent="0.25">
      <c r="A19" s="51">
        <v>16</v>
      </c>
      <c r="B19" s="22">
        <v>45992</v>
      </c>
      <c r="C19" s="22">
        <v>45992</v>
      </c>
      <c r="D19" s="23" t="s">
        <v>94</v>
      </c>
      <c r="E19" s="24"/>
      <c r="F19" s="24"/>
      <c r="G19" s="24"/>
      <c r="H19" s="45"/>
      <c r="I19" s="45" t="s">
        <v>48</v>
      </c>
      <c r="J19" s="20" t="s">
        <v>23</v>
      </c>
      <c r="K19" s="19" t="s">
        <v>32</v>
      </c>
      <c r="L19" s="27" t="s">
        <v>60</v>
      </c>
      <c r="M19" s="24" t="s">
        <v>49</v>
      </c>
      <c r="N19" s="37">
        <v>26.24</v>
      </c>
      <c r="O19" s="24">
        <v>15.12</v>
      </c>
      <c r="P19" s="28">
        <f t="shared" ref="P19:P82" si="5">N19-O19</f>
        <v>11.12</v>
      </c>
      <c r="Q19" s="29">
        <v>0</v>
      </c>
      <c r="R19" s="30">
        <f t="shared" ref="R19:R50" si="6">Q19*P19</f>
        <v>0</v>
      </c>
      <c r="S19" s="29"/>
      <c r="T19" s="31"/>
      <c r="V19" s="31" t="s">
        <v>24</v>
      </c>
      <c r="W19" s="29"/>
      <c r="X19" s="32">
        <f t="shared" si="2"/>
        <v>0</v>
      </c>
      <c r="Y19" s="33"/>
      <c r="Z19" s="31">
        <f t="shared" si="3"/>
        <v>0</v>
      </c>
      <c r="AA19" s="31">
        <f t="shared" si="4"/>
        <v>0</v>
      </c>
    </row>
    <row r="20" spans="1:27" s="34" customFormat="1" ht="15.75" x14ac:dyDescent="0.25">
      <c r="A20" s="51">
        <v>17</v>
      </c>
      <c r="B20" s="22">
        <v>45992</v>
      </c>
      <c r="C20" s="22">
        <v>45992</v>
      </c>
      <c r="D20" s="23" t="s">
        <v>95</v>
      </c>
      <c r="E20" s="24"/>
      <c r="F20" s="24"/>
      <c r="G20" s="24"/>
      <c r="H20" s="45"/>
      <c r="I20" s="45" t="s">
        <v>48</v>
      </c>
      <c r="J20" s="20" t="s">
        <v>23</v>
      </c>
      <c r="K20" s="19" t="s">
        <v>32</v>
      </c>
      <c r="L20" s="27" t="s">
        <v>51</v>
      </c>
      <c r="M20" s="24" t="s">
        <v>49</v>
      </c>
      <c r="N20" s="37">
        <v>24.22</v>
      </c>
      <c r="O20" s="37">
        <v>14.96</v>
      </c>
      <c r="P20" s="28">
        <f t="shared" si="5"/>
        <v>9.259999999999998</v>
      </c>
      <c r="Q20" s="29">
        <v>0</v>
      </c>
      <c r="R20" s="30">
        <f t="shared" si="6"/>
        <v>0</v>
      </c>
      <c r="S20" s="29"/>
      <c r="T20" s="31"/>
      <c r="V20" s="31" t="s">
        <v>24</v>
      </c>
      <c r="W20" s="29"/>
      <c r="X20" s="32">
        <f t="shared" si="2"/>
        <v>0</v>
      </c>
      <c r="Y20" s="33"/>
      <c r="Z20" s="31">
        <f t="shared" si="3"/>
        <v>0</v>
      </c>
      <c r="AA20" s="31">
        <f t="shared" si="4"/>
        <v>0</v>
      </c>
    </row>
    <row r="21" spans="1:27" s="34" customFormat="1" ht="15.75" x14ac:dyDescent="0.25">
      <c r="A21" s="51">
        <v>18</v>
      </c>
      <c r="B21" s="22">
        <v>45992</v>
      </c>
      <c r="C21" s="22">
        <v>45993</v>
      </c>
      <c r="D21" s="49" t="s">
        <v>96</v>
      </c>
      <c r="E21" s="24"/>
      <c r="F21" s="24"/>
      <c r="G21" s="24"/>
      <c r="H21" s="48">
        <v>20</v>
      </c>
      <c r="I21" s="43" t="s">
        <v>62</v>
      </c>
      <c r="J21" s="20" t="s">
        <v>23</v>
      </c>
      <c r="K21" s="19" t="s">
        <v>32</v>
      </c>
      <c r="L21" s="52" t="s">
        <v>66</v>
      </c>
      <c r="M21" s="24" t="s">
        <v>58</v>
      </c>
      <c r="N21" s="37">
        <v>43.4</v>
      </c>
      <c r="O21" s="37">
        <v>12.4</v>
      </c>
      <c r="P21" s="28">
        <f t="shared" si="5"/>
        <v>31</v>
      </c>
      <c r="Q21" s="29">
        <v>250</v>
      </c>
      <c r="R21" s="30">
        <f t="shared" si="6"/>
        <v>7750</v>
      </c>
      <c r="S21" s="29"/>
      <c r="T21" s="31"/>
      <c r="V21" s="31" t="s">
        <v>53</v>
      </c>
      <c r="W21" s="29"/>
      <c r="X21" s="32">
        <f t="shared" si="2"/>
        <v>0</v>
      </c>
      <c r="Y21" s="33"/>
      <c r="Z21" s="31">
        <f t="shared" si="3"/>
        <v>0</v>
      </c>
      <c r="AA21" s="31">
        <f t="shared" si="4"/>
        <v>7750</v>
      </c>
    </row>
    <row r="22" spans="1:27" s="38" customFormat="1" ht="15.75" x14ac:dyDescent="0.25">
      <c r="A22" s="51">
        <v>19</v>
      </c>
      <c r="B22" s="22">
        <v>45992</v>
      </c>
      <c r="C22" s="22">
        <v>45993</v>
      </c>
      <c r="D22" s="49" t="s">
        <v>97</v>
      </c>
      <c r="E22" s="24"/>
      <c r="F22" s="24"/>
      <c r="G22" s="24"/>
      <c r="H22" s="48">
        <v>20</v>
      </c>
      <c r="I22" s="43" t="s">
        <v>62</v>
      </c>
      <c r="J22" s="20" t="s">
        <v>23</v>
      </c>
      <c r="K22" s="19" t="s">
        <v>32</v>
      </c>
      <c r="L22" s="27" t="s">
        <v>67</v>
      </c>
      <c r="M22" s="24" t="s">
        <v>58</v>
      </c>
      <c r="N22" s="37">
        <v>46.42</v>
      </c>
      <c r="O22" s="37">
        <v>12.26</v>
      </c>
      <c r="P22" s="28">
        <f t="shared" si="5"/>
        <v>34.160000000000004</v>
      </c>
      <c r="Q22" s="29">
        <v>250</v>
      </c>
      <c r="R22" s="30">
        <f t="shared" si="6"/>
        <v>8540.0000000000018</v>
      </c>
      <c r="S22" s="29"/>
      <c r="T22" s="31"/>
      <c r="V22" s="31" t="s">
        <v>53</v>
      </c>
      <c r="W22" s="29"/>
      <c r="X22" s="32">
        <f t="shared" si="2"/>
        <v>0</v>
      </c>
      <c r="Y22" s="33"/>
      <c r="Z22" s="31">
        <f t="shared" si="3"/>
        <v>0</v>
      </c>
      <c r="AA22" s="31">
        <f t="shared" si="4"/>
        <v>8540.0000000000018</v>
      </c>
    </row>
    <row r="23" spans="1:27" s="38" customFormat="1" ht="15.75" x14ac:dyDescent="0.25">
      <c r="A23" s="51">
        <v>20</v>
      </c>
      <c r="B23" s="22">
        <v>45992</v>
      </c>
      <c r="C23" s="22">
        <v>45993</v>
      </c>
      <c r="D23" s="49">
        <v>251202001</v>
      </c>
      <c r="E23" s="24" t="s">
        <v>98</v>
      </c>
      <c r="F23" s="24" t="s">
        <v>99</v>
      </c>
      <c r="G23" s="24">
        <v>41</v>
      </c>
      <c r="H23" s="35">
        <v>115</v>
      </c>
      <c r="I23" s="19" t="s">
        <v>35</v>
      </c>
      <c r="J23" s="20" t="s">
        <v>23</v>
      </c>
      <c r="K23" s="21" t="s">
        <v>32</v>
      </c>
      <c r="L23" s="27" t="s">
        <v>54</v>
      </c>
      <c r="M23" s="24" t="s">
        <v>36</v>
      </c>
      <c r="N23" s="37">
        <v>56.5</v>
      </c>
      <c r="O23" s="37">
        <v>14.84</v>
      </c>
      <c r="P23" s="28">
        <f t="shared" si="5"/>
        <v>41.66</v>
      </c>
      <c r="Q23" s="29">
        <v>545</v>
      </c>
      <c r="R23" s="30">
        <f t="shared" si="6"/>
        <v>22704.699999999997</v>
      </c>
      <c r="S23" s="29"/>
      <c r="T23" s="31"/>
      <c r="V23" s="31" t="s">
        <v>24</v>
      </c>
      <c r="W23" s="29">
        <v>145</v>
      </c>
      <c r="X23" s="32">
        <f t="shared" si="2"/>
        <v>6040.7</v>
      </c>
      <c r="Y23" s="33">
        <v>260</v>
      </c>
      <c r="Z23" s="31">
        <f t="shared" si="3"/>
        <v>10831.599999999999</v>
      </c>
      <c r="AA23" s="31">
        <f t="shared" si="4"/>
        <v>39577</v>
      </c>
    </row>
    <row r="24" spans="1:27" s="34" customFormat="1" ht="15.75" x14ac:dyDescent="0.25">
      <c r="A24" s="51">
        <v>21</v>
      </c>
      <c r="B24" s="22">
        <v>45992</v>
      </c>
      <c r="C24" s="22">
        <v>45993</v>
      </c>
      <c r="D24" s="49">
        <v>251202002</v>
      </c>
      <c r="E24" s="24" t="s">
        <v>100</v>
      </c>
      <c r="F24" s="24" t="s">
        <v>101</v>
      </c>
      <c r="G24" s="24">
        <v>40</v>
      </c>
      <c r="H24" s="35">
        <v>115</v>
      </c>
      <c r="I24" s="19" t="s">
        <v>35</v>
      </c>
      <c r="J24" s="20" t="s">
        <v>23</v>
      </c>
      <c r="K24" s="21" t="s">
        <v>32</v>
      </c>
      <c r="L24" s="27" t="s">
        <v>44</v>
      </c>
      <c r="M24" s="24" t="s">
        <v>37</v>
      </c>
      <c r="N24" s="24">
        <v>52.3</v>
      </c>
      <c r="O24" s="37">
        <v>11.84</v>
      </c>
      <c r="P24" s="28">
        <f t="shared" si="5"/>
        <v>40.459999999999994</v>
      </c>
      <c r="Q24" s="29">
        <v>445</v>
      </c>
      <c r="R24" s="30">
        <f t="shared" si="6"/>
        <v>18004.699999999997</v>
      </c>
      <c r="S24" s="29"/>
      <c r="T24" s="31"/>
      <c r="V24" s="31" t="s">
        <v>24</v>
      </c>
      <c r="W24" s="29">
        <v>145</v>
      </c>
      <c r="X24" s="32">
        <f t="shared" si="2"/>
        <v>5866.6999999999989</v>
      </c>
      <c r="Y24" s="33">
        <v>260</v>
      </c>
      <c r="Z24" s="31">
        <f t="shared" si="3"/>
        <v>10519.599999999999</v>
      </c>
      <c r="AA24" s="31">
        <f t="shared" si="4"/>
        <v>34390.999999999993</v>
      </c>
    </row>
    <row r="25" spans="1:27" s="34" customFormat="1" ht="15.75" x14ac:dyDescent="0.25">
      <c r="A25" s="51">
        <v>22</v>
      </c>
      <c r="B25" s="22">
        <v>45992</v>
      </c>
      <c r="C25" s="22">
        <v>45993</v>
      </c>
      <c r="D25" s="49">
        <v>251202003</v>
      </c>
      <c r="E25" s="24" t="s">
        <v>102</v>
      </c>
      <c r="F25" s="24" t="s">
        <v>103</v>
      </c>
      <c r="G25" s="24">
        <v>45</v>
      </c>
      <c r="H25" s="35">
        <v>115</v>
      </c>
      <c r="I25" s="19" t="s">
        <v>35</v>
      </c>
      <c r="J25" s="20" t="s">
        <v>23</v>
      </c>
      <c r="K25" s="21" t="s">
        <v>32</v>
      </c>
      <c r="L25" s="27" t="s">
        <v>38</v>
      </c>
      <c r="M25" s="24" t="s">
        <v>36</v>
      </c>
      <c r="N25" s="37">
        <v>61.72</v>
      </c>
      <c r="O25" s="37">
        <v>15.9</v>
      </c>
      <c r="P25" s="28">
        <f t="shared" si="5"/>
        <v>45.82</v>
      </c>
      <c r="Q25" s="29">
        <v>545</v>
      </c>
      <c r="R25" s="30">
        <f t="shared" si="6"/>
        <v>24971.9</v>
      </c>
      <c r="S25" s="29"/>
      <c r="T25" s="31"/>
      <c r="V25" s="31" t="s">
        <v>24</v>
      </c>
      <c r="W25" s="29">
        <v>145</v>
      </c>
      <c r="X25" s="32">
        <f t="shared" si="2"/>
        <v>6643.9</v>
      </c>
      <c r="Y25" s="33">
        <v>260</v>
      </c>
      <c r="Z25" s="31">
        <f t="shared" si="3"/>
        <v>11913.2</v>
      </c>
      <c r="AA25" s="31">
        <f t="shared" si="4"/>
        <v>43529</v>
      </c>
    </row>
    <row r="26" spans="1:27" s="38" customFormat="1" ht="15.75" x14ac:dyDescent="0.25">
      <c r="A26" s="51">
        <v>23</v>
      </c>
      <c r="B26" s="22">
        <v>45992</v>
      </c>
      <c r="C26" s="22">
        <v>45993</v>
      </c>
      <c r="D26" s="49">
        <v>251202004</v>
      </c>
      <c r="E26" s="24" t="s">
        <v>104</v>
      </c>
      <c r="F26" s="24" t="s">
        <v>105</v>
      </c>
      <c r="G26" s="24">
        <v>61</v>
      </c>
      <c r="H26" s="35">
        <v>115</v>
      </c>
      <c r="I26" s="19" t="s">
        <v>35</v>
      </c>
      <c r="J26" s="20" t="s">
        <v>23</v>
      </c>
      <c r="K26" s="21" t="s">
        <v>32</v>
      </c>
      <c r="L26" s="24" t="s">
        <v>46</v>
      </c>
      <c r="M26" s="24" t="s">
        <v>37</v>
      </c>
      <c r="N26" s="37">
        <v>78.760000000000005</v>
      </c>
      <c r="O26" s="37">
        <v>17.260000000000002</v>
      </c>
      <c r="P26" s="28">
        <f t="shared" si="5"/>
        <v>61.5</v>
      </c>
      <c r="Q26" s="29">
        <v>445</v>
      </c>
      <c r="R26" s="30">
        <f t="shared" si="6"/>
        <v>27367.5</v>
      </c>
      <c r="S26" s="29"/>
      <c r="T26" s="31"/>
      <c r="V26" s="31" t="s">
        <v>24</v>
      </c>
      <c r="W26" s="29">
        <v>145</v>
      </c>
      <c r="X26" s="32">
        <f t="shared" si="2"/>
        <v>8917.5</v>
      </c>
      <c r="Y26" s="33">
        <v>260</v>
      </c>
      <c r="Z26" s="31">
        <f t="shared" si="3"/>
        <v>15990</v>
      </c>
      <c r="AA26" s="31">
        <f t="shared" si="4"/>
        <v>52275</v>
      </c>
    </row>
    <row r="27" spans="1:27" s="34" customFormat="1" ht="15.75" x14ac:dyDescent="0.25">
      <c r="A27" s="51">
        <v>24</v>
      </c>
      <c r="B27" s="22">
        <v>45992</v>
      </c>
      <c r="C27" s="22">
        <v>45993</v>
      </c>
      <c r="D27" s="49">
        <v>251202005</v>
      </c>
      <c r="E27" s="24" t="s">
        <v>106</v>
      </c>
      <c r="F27" s="24" t="s">
        <v>107</v>
      </c>
      <c r="G27" s="24">
        <v>44</v>
      </c>
      <c r="H27" s="35">
        <v>115</v>
      </c>
      <c r="I27" s="19" t="s">
        <v>35</v>
      </c>
      <c r="J27" s="20" t="s">
        <v>23</v>
      </c>
      <c r="K27" s="21" t="s">
        <v>32</v>
      </c>
      <c r="L27" s="27" t="s">
        <v>59</v>
      </c>
      <c r="M27" s="24" t="s">
        <v>34</v>
      </c>
      <c r="N27" s="37">
        <v>62.22</v>
      </c>
      <c r="O27" s="37">
        <v>17.64</v>
      </c>
      <c r="P27" s="28">
        <f t="shared" si="5"/>
        <v>44.58</v>
      </c>
      <c r="Q27" s="29">
        <v>315</v>
      </c>
      <c r="R27" s="30">
        <f t="shared" si="6"/>
        <v>14042.699999999999</v>
      </c>
      <c r="S27" s="29"/>
      <c r="T27" s="31"/>
      <c r="V27" s="31" t="s">
        <v>24</v>
      </c>
      <c r="W27" s="29">
        <v>145</v>
      </c>
      <c r="X27" s="32">
        <f t="shared" si="2"/>
        <v>6464.0999999999995</v>
      </c>
      <c r="Y27" s="33">
        <v>260</v>
      </c>
      <c r="Z27" s="31">
        <f t="shared" si="3"/>
        <v>11590.8</v>
      </c>
      <c r="AA27" s="31">
        <f t="shared" si="4"/>
        <v>32097.599999999999</v>
      </c>
    </row>
    <row r="28" spans="1:27" s="34" customFormat="1" ht="15.75" x14ac:dyDescent="0.25">
      <c r="A28" s="51">
        <v>25</v>
      </c>
      <c r="B28" s="22">
        <v>45992</v>
      </c>
      <c r="C28" s="22">
        <v>45993</v>
      </c>
      <c r="D28" s="49">
        <v>251202006</v>
      </c>
      <c r="E28" s="24" t="s">
        <v>108</v>
      </c>
      <c r="F28" s="24" t="s">
        <v>109</v>
      </c>
      <c r="G28" s="24">
        <v>42</v>
      </c>
      <c r="H28" s="35">
        <v>115</v>
      </c>
      <c r="I28" s="19" t="s">
        <v>35</v>
      </c>
      <c r="J28" s="20" t="s">
        <v>23</v>
      </c>
      <c r="K28" s="21" t="s">
        <v>32</v>
      </c>
      <c r="L28" s="27" t="s">
        <v>61</v>
      </c>
      <c r="M28" s="24" t="s">
        <v>34</v>
      </c>
      <c r="N28" s="24">
        <v>58.16</v>
      </c>
      <c r="O28" s="37">
        <v>15.7</v>
      </c>
      <c r="P28" s="28">
        <f t="shared" si="5"/>
        <v>42.459999999999994</v>
      </c>
      <c r="Q28" s="29">
        <v>315</v>
      </c>
      <c r="R28" s="30">
        <f t="shared" si="6"/>
        <v>13374.899999999998</v>
      </c>
      <c r="S28" s="29"/>
      <c r="T28" s="31"/>
      <c r="V28" s="31" t="s">
        <v>24</v>
      </c>
      <c r="W28" s="29">
        <v>145</v>
      </c>
      <c r="X28" s="32">
        <f t="shared" si="2"/>
        <v>6156.6999999999989</v>
      </c>
      <c r="Y28" s="33">
        <v>260</v>
      </c>
      <c r="Z28" s="31">
        <f t="shared" si="3"/>
        <v>11039.599999999999</v>
      </c>
      <c r="AA28" s="31">
        <f t="shared" si="4"/>
        <v>30571.199999999997</v>
      </c>
    </row>
    <row r="29" spans="1:27" s="38" customFormat="1" ht="15.75" x14ac:dyDescent="0.25">
      <c r="A29" s="51">
        <v>26</v>
      </c>
      <c r="B29" s="22">
        <v>45992</v>
      </c>
      <c r="C29" s="22">
        <v>45993</v>
      </c>
      <c r="D29" s="49">
        <v>251202007</v>
      </c>
      <c r="E29" s="24" t="s">
        <v>110</v>
      </c>
      <c r="F29" s="24" t="s">
        <v>111</v>
      </c>
      <c r="G29" s="24">
        <v>32</v>
      </c>
      <c r="H29" s="35">
        <v>115</v>
      </c>
      <c r="I29" s="19" t="s">
        <v>35</v>
      </c>
      <c r="J29" s="20" t="s">
        <v>23</v>
      </c>
      <c r="K29" s="21" t="s">
        <v>32</v>
      </c>
      <c r="L29" s="23" t="s">
        <v>41</v>
      </c>
      <c r="M29" s="24" t="s">
        <v>34</v>
      </c>
      <c r="N29" s="37">
        <v>44.62</v>
      </c>
      <c r="O29" s="24">
        <v>11.86</v>
      </c>
      <c r="P29" s="28">
        <f t="shared" si="5"/>
        <v>32.76</v>
      </c>
      <c r="Q29" s="29">
        <v>315</v>
      </c>
      <c r="R29" s="30">
        <f t="shared" si="6"/>
        <v>10319.4</v>
      </c>
      <c r="S29" s="24"/>
      <c r="T29" s="31"/>
      <c r="V29" s="31" t="s">
        <v>24</v>
      </c>
      <c r="W29" s="29">
        <v>145</v>
      </c>
      <c r="X29" s="32">
        <f t="shared" si="2"/>
        <v>4750.2</v>
      </c>
      <c r="Y29" s="33">
        <v>260</v>
      </c>
      <c r="Z29" s="31">
        <f t="shared" si="3"/>
        <v>8517.6</v>
      </c>
      <c r="AA29" s="31">
        <f t="shared" si="4"/>
        <v>23587.199999999997</v>
      </c>
    </row>
    <row r="30" spans="1:27" s="38" customFormat="1" ht="15.75" x14ac:dyDescent="0.25">
      <c r="A30" s="51">
        <v>27</v>
      </c>
      <c r="B30" s="22">
        <v>45992</v>
      </c>
      <c r="C30" s="22">
        <v>45993</v>
      </c>
      <c r="D30" s="49">
        <v>251202008</v>
      </c>
      <c r="E30" s="24" t="s">
        <v>112</v>
      </c>
      <c r="F30" s="24" t="s">
        <v>113</v>
      </c>
      <c r="G30" s="24">
        <v>36</v>
      </c>
      <c r="H30" s="35">
        <v>117</v>
      </c>
      <c r="I30" s="44" t="s">
        <v>55</v>
      </c>
      <c r="J30" s="20" t="s">
        <v>23</v>
      </c>
      <c r="K30" s="19" t="s">
        <v>32</v>
      </c>
      <c r="L30" s="27" t="s">
        <v>47</v>
      </c>
      <c r="M30" s="24" t="s">
        <v>36</v>
      </c>
      <c r="N30" s="37">
        <v>47.54</v>
      </c>
      <c r="O30" s="24">
        <v>11.34</v>
      </c>
      <c r="P30" s="28">
        <f t="shared" si="5"/>
        <v>36.200000000000003</v>
      </c>
      <c r="Q30" s="24">
        <v>555</v>
      </c>
      <c r="R30" s="30">
        <f t="shared" si="6"/>
        <v>20091</v>
      </c>
      <c r="S30" s="24"/>
      <c r="T30" s="31"/>
      <c r="V30" s="31" t="s">
        <v>24</v>
      </c>
      <c r="W30" s="29">
        <v>145</v>
      </c>
      <c r="X30" s="32">
        <f t="shared" si="2"/>
        <v>5249</v>
      </c>
      <c r="Y30" s="33">
        <v>230</v>
      </c>
      <c r="Z30" s="31">
        <f t="shared" si="3"/>
        <v>8326</v>
      </c>
      <c r="AA30" s="31">
        <f t="shared" si="4"/>
        <v>33666</v>
      </c>
    </row>
    <row r="31" spans="1:27" s="38" customFormat="1" ht="15.75" x14ac:dyDescent="0.25">
      <c r="A31" s="51">
        <v>28</v>
      </c>
      <c r="B31" s="22">
        <v>45992</v>
      </c>
      <c r="C31" s="22">
        <v>45993</v>
      </c>
      <c r="D31" s="49">
        <v>251202009</v>
      </c>
      <c r="E31" s="24" t="s">
        <v>114</v>
      </c>
      <c r="F31" s="24" t="s">
        <v>115</v>
      </c>
      <c r="G31" s="24">
        <v>32</v>
      </c>
      <c r="H31" s="25">
        <v>42</v>
      </c>
      <c r="I31" s="43" t="s">
        <v>52</v>
      </c>
      <c r="J31" s="18" t="s">
        <v>23</v>
      </c>
      <c r="K31" s="19" t="s">
        <v>32</v>
      </c>
      <c r="L31" s="27" t="s">
        <v>33</v>
      </c>
      <c r="M31" s="24" t="s">
        <v>34</v>
      </c>
      <c r="N31" s="24">
        <v>42.54</v>
      </c>
      <c r="O31" s="37">
        <v>10.52</v>
      </c>
      <c r="P31" s="28">
        <f t="shared" si="5"/>
        <v>32.019999999999996</v>
      </c>
      <c r="Q31" s="24">
        <v>285</v>
      </c>
      <c r="R31" s="30">
        <f t="shared" si="6"/>
        <v>9125.6999999999989</v>
      </c>
      <c r="S31" s="24"/>
      <c r="T31" s="31"/>
      <c r="V31" s="31" t="s">
        <v>24</v>
      </c>
      <c r="W31" s="29">
        <v>145</v>
      </c>
      <c r="X31" s="32">
        <f t="shared" si="2"/>
        <v>4642.8999999999996</v>
      </c>
      <c r="Y31" s="33">
        <v>260</v>
      </c>
      <c r="Z31" s="31">
        <f t="shared" si="3"/>
        <v>8325.1999999999989</v>
      </c>
      <c r="AA31" s="31">
        <f t="shared" si="4"/>
        <v>22093.799999999996</v>
      </c>
    </row>
    <row r="32" spans="1:27" s="38" customFormat="1" ht="15.75" x14ac:dyDescent="0.25">
      <c r="A32" s="51">
        <v>29</v>
      </c>
      <c r="B32" s="22">
        <v>45992</v>
      </c>
      <c r="C32" s="22">
        <v>45993</v>
      </c>
      <c r="D32" s="49">
        <v>251202010</v>
      </c>
      <c r="E32" s="24" t="s">
        <v>116</v>
      </c>
      <c r="F32" s="24" t="s">
        <v>117</v>
      </c>
      <c r="G32" s="24">
        <v>43</v>
      </c>
      <c r="H32" s="25">
        <v>42</v>
      </c>
      <c r="I32" s="43" t="s">
        <v>52</v>
      </c>
      <c r="J32" s="18" t="s">
        <v>23</v>
      </c>
      <c r="K32" s="19" t="s">
        <v>32</v>
      </c>
      <c r="L32" s="36" t="s">
        <v>43</v>
      </c>
      <c r="M32" s="24" t="s">
        <v>36</v>
      </c>
      <c r="N32" s="37">
        <v>58.84</v>
      </c>
      <c r="O32" s="37">
        <v>15.62</v>
      </c>
      <c r="P32" s="28">
        <f t="shared" si="5"/>
        <v>43.220000000000006</v>
      </c>
      <c r="Q32" s="24">
        <v>525</v>
      </c>
      <c r="R32" s="30">
        <f t="shared" si="6"/>
        <v>22690.500000000004</v>
      </c>
      <c r="S32" s="24"/>
      <c r="T32" s="31"/>
      <c r="V32" s="31" t="s">
        <v>24</v>
      </c>
      <c r="W32" s="29">
        <v>145</v>
      </c>
      <c r="X32" s="32">
        <f t="shared" si="2"/>
        <v>6266.9000000000005</v>
      </c>
      <c r="Y32" s="33">
        <v>260</v>
      </c>
      <c r="Z32" s="31">
        <f t="shared" si="3"/>
        <v>11237.2</v>
      </c>
      <c r="AA32" s="31">
        <f t="shared" si="4"/>
        <v>40194.600000000006</v>
      </c>
    </row>
    <row r="33" spans="1:38" s="38" customFormat="1" ht="15.75" x14ac:dyDescent="0.25">
      <c r="A33" s="51">
        <v>30</v>
      </c>
      <c r="B33" s="22">
        <v>45992</v>
      </c>
      <c r="C33" s="22">
        <v>45993</v>
      </c>
      <c r="D33" s="49">
        <v>251202011</v>
      </c>
      <c r="E33" s="24" t="s">
        <v>118</v>
      </c>
      <c r="F33" s="24" t="s">
        <v>119</v>
      </c>
      <c r="G33" s="24">
        <v>38</v>
      </c>
      <c r="H33" s="35">
        <v>115</v>
      </c>
      <c r="I33" s="19" t="s">
        <v>35</v>
      </c>
      <c r="J33" s="20" t="s">
        <v>23</v>
      </c>
      <c r="K33" s="21" t="s">
        <v>32</v>
      </c>
      <c r="L33" s="27" t="s">
        <v>42</v>
      </c>
      <c r="M33" s="24" t="s">
        <v>37</v>
      </c>
      <c r="N33" s="37">
        <v>50.32</v>
      </c>
      <c r="O33" s="24">
        <v>11.98</v>
      </c>
      <c r="P33" s="28">
        <f t="shared" si="5"/>
        <v>38.340000000000003</v>
      </c>
      <c r="Q33" s="24">
        <v>445</v>
      </c>
      <c r="R33" s="30">
        <f t="shared" si="6"/>
        <v>17061.300000000003</v>
      </c>
      <c r="S33" s="24"/>
      <c r="T33" s="31"/>
      <c r="V33" s="31" t="s">
        <v>24</v>
      </c>
      <c r="W33" s="29">
        <v>145</v>
      </c>
      <c r="X33" s="32">
        <f t="shared" si="2"/>
        <v>5559.3</v>
      </c>
      <c r="Y33" s="33">
        <v>260</v>
      </c>
      <c r="Z33" s="31">
        <f t="shared" si="3"/>
        <v>9968.4000000000015</v>
      </c>
      <c r="AA33" s="31">
        <f t="shared" si="4"/>
        <v>32589.000000000004</v>
      </c>
    </row>
    <row r="34" spans="1:38" s="38" customFormat="1" ht="15.75" x14ac:dyDescent="0.25">
      <c r="A34" s="51">
        <v>31</v>
      </c>
      <c r="B34" s="22">
        <v>45992</v>
      </c>
      <c r="C34" s="22">
        <v>45993</v>
      </c>
      <c r="D34" s="49">
        <v>251202012</v>
      </c>
      <c r="E34" s="24" t="s">
        <v>120</v>
      </c>
      <c r="F34" s="24" t="s">
        <v>121</v>
      </c>
      <c r="G34" s="24">
        <v>44</v>
      </c>
      <c r="H34" s="35">
        <v>115</v>
      </c>
      <c r="I34" s="19" t="s">
        <v>35</v>
      </c>
      <c r="J34" s="20" t="s">
        <v>23</v>
      </c>
      <c r="K34" s="21" t="s">
        <v>32</v>
      </c>
      <c r="L34" s="27" t="s">
        <v>40</v>
      </c>
      <c r="M34" s="24" t="s">
        <v>34</v>
      </c>
      <c r="N34" s="37">
        <v>59.08</v>
      </c>
      <c r="O34" s="24">
        <v>15.06</v>
      </c>
      <c r="P34" s="28">
        <f t="shared" si="5"/>
        <v>44.019999999999996</v>
      </c>
      <c r="Q34" s="24">
        <v>315</v>
      </c>
      <c r="R34" s="30">
        <f t="shared" si="6"/>
        <v>13866.3</v>
      </c>
      <c r="S34" s="24"/>
      <c r="T34" s="31"/>
      <c r="V34" s="31" t="s">
        <v>24</v>
      </c>
      <c r="W34" s="29">
        <v>145</v>
      </c>
      <c r="X34" s="32">
        <f t="shared" si="2"/>
        <v>6382.9</v>
      </c>
      <c r="Y34" s="33">
        <v>260</v>
      </c>
      <c r="Z34" s="31">
        <f t="shared" si="3"/>
        <v>11445.199999999999</v>
      </c>
      <c r="AA34" s="31">
        <f t="shared" si="4"/>
        <v>31694.399999999994</v>
      </c>
    </row>
    <row r="35" spans="1:38" s="34" customFormat="1" ht="15.75" x14ac:dyDescent="0.25">
      <c r="A35" s="51">
        <v>32</v>
      </c>
      <c r="B35" s="22">
        <v>45992</v>
      </c>
      <c r="C35" s="22">
        <v>45993</v>
      </c>
      <c r="D35" s="49">
        <v>251202013</v>
      </c>
      <c r="E35" s="24" t="s">
        <v>122</v>
      </c>
      <c r="F35" s="24" t="s">
        <v>123</v>
      </c>
      <c r="G35" s="24">
        <v>47</v>
      </c>
      <c r="H35" s="35">
        <v>115</v>
      </c>
      <c r="I35" s="19" t="s">
        <v>35</v>
      </c>
      <c r="J35" s="20" t="s">
        <v>23</v>
      </c>
      <c r="K35" s="21" t="s">
        <v>32</v>
      </c>
      <c r="L35" s="24" t="s">
        <v>75</v>
      </c>
      <c r="M35" s="24" t="s">
        <v>36</v>
      </c>
      <c r="N35" s="37">
        <v>63.66</v>
      </c>
      <c r="O35" s="37">
        <v>16.64</v>
      </c>
      <c r="P35" s="28">
        <f t="shared" si="5"/>
        <v>47.019999999999996</v>
      </c>
      <c r="Q35" s="29">
        <v>545</v>
      </c>
      <c r="R35" s="30">
        <f t="shared" si="6"/>
        <v>25625.899999999998</v>
      </c>
      <c r="S35" s="29"/>
      <c r="T35" s="31"/>
      <c r="V35" s="31" t="s">
        <v>24</v>
      </c>
      <c r="W35" s="29">
        <v>145</v>
      </c>
      <c r="X35" s="32">
        <f t="shared" si="2"/>
        <v>6817.9</v>
      </c>
      <c r="Y35" s="33">
        <v>260</v>
      </c>
      <c r="Z35" s="31">
        <f t="shared" si="3"/>
        <v>12225.199999999999</v>
      </c>
      <c r="AA35" s="31">
        <f t="shared" si="4"/>
        <v>44668.999999999993</v>
      </c>
    </row>
    <row r="36" spans="1:38" s="34" customFormat="1" ht="15.75" x14ac:dyDescent="0.25">
      <c r="A36" s="51">
        <v>33</v>
      </c>
      <c r="B36" s="22">
        <v>45993</v>
      </c>
      <c r="C36" s="22">
        <v>45993</v>
      </c>
      <c r="D36" s="23">
        <v>251202014</v>
      </c>
      <c r="E36" s="24" t="s">
        <v>124</v>
      </c>
      <c r="F36" s="24" t="s">
        <v>125</v>
      </c>
      <c r="G36" s="24">
        <v>35</v>
      </c>
      <c r="H36" s="35">
        <v>117</v>
      </c>
      <c r="I36" s="44" t="s">
        <v>55</v>
      </c>
      <c r="J36" s="20" t="s">
        <v>23</v>
      </c>
      <c r="K36" s="19" t="s">
        <v>32</v>
      </c>
      <c r="L36" s="27" t="s">
        <v>45</v>
      </c>
      <c r="M36" s="24" t="s">
        <v>34</v>
      </c>
      <c r="N36" s="24">
        <v>47.38</v>
      </c>
      <c r="O36" s="24">
        <v>11.92</v>
      </c>
      <c r="P36" s="28">
        <f t="shared" si="5"/>
        <v>35.46</v>
      </c>
      <c r="Q36" s="29">
        <v>335</v>
      </c>
      <c r="R36" s="30">
        <f t="shared" si="6"/>
        <v>11879.1</v>
      </c>
      <c r="S36" s="29"/>
      <c r="T36" s="31"/>
      <c r="V36" s="31" t="s">
        <v>24</v>
      </c>
      <c r="W36" s="29">
        <v>145</v>
      </c>
      <c r="X36" s="32">
        <f t="shared" ref="X36:X70" si="7">W36*P36</f>
        <v>5141.7</v>
      </c>
      <c r="Y36" s="33">
        <v>230</v>
      </c>
      <c r="Z36" s="31">
        <f t="shared" ref="Z36:Z70" si="8">Y36*P36</f>
        <v>8155.8</v>
      </c>
      <c r="AA36" s="31">
        <f t="shared" ref="AA36:AA70" si="9">R36+X36+Z36</f>
        <v>25176.6</v>
      </c>
    </row>
    <row r="37" spans="1:38" s="34" customFormat="1" ht="15.75" x14ac:dyDescent="0.25">
      <c r="A37" s="51">
        <v>34</v>
      </c>
      <c r="B37" s="22">
        <v>45993</v>
      </c>
      <c r="C37" s="22">
        <v>45993</v>
      </c>
      <c r="D37" s="23" t="s">
        <v>126</v>
      </c>
      <c r="E37" s="24"/>
      <c r="F37" s="24"/>
      <c r="G37" s="24"/>
      <c r="H37" s="54"/>
      <c r="I37" s="55" t="s">
        <v>48</v>
      </c>
      <c r="J37" s="56" t="s">
        <v>23</v>
      </c>
      <c r="K37" s="19" t="s">
        <v>32</v>
      </c>
      <c r="L37" s="27" t="s">
        <v>127</v>
      </c>
      <c r="M37" s="24" t="s">
        <v>49</v>
      </c>
      <c r="N37" s="24">
        <v>25.6</v>
      </c>
      <c r="O37" s="24">
        <v>14.1</v>
      </c>
      <c r="P37" s="28">
        <f t="shared" si="5"/>
        <v>11.500000000000002</v>
      </c>
      <c r="Q37" s="29">
        <v>0</v>
      </c>
      <c r="R37" s="30">
        <f t="shared" si="6"/>
        <v>0</v>
      </c>
      <c r="S37" s="29"/>
      <c r="T37" s="31"/>
      <c r="V37" s="31" t="s">
        <v>24</v>
      </c>
      <c r="W37" s="29"/>
      <c r="X37" s="32">
        <f t="shared" si="7"/>
        <v>0</v>
      </c>
      <c r="Y37" s="33"/>
      <c r="Z37" s="33">
        <f t="shared" si="8"/>
        <v>0</v>
      </c>
      <c r="AA37" s="31">
        <f t="shared" si="9"/>
        <v>0</v>
      </c>
    </row>
    <row r="38" spans="1:38" s="34" customFormat="1" ht="15.75" x14ac:dyDescent="0.25">
      <c r="A38" s="51">
        <v>35</v>
      </c>
      <c r="B38" s="22">
        <v>45993</v>
      </c>
      <c r="C38" s="22">
        <v>45993</v>
      </c>
      <c r="D38" s="23" t="s">
        <v>128</v>
      </c>
      <c r="E38" s="24"/>
      <c r="F38" s="24"/>
      <c r="G38" s="24"/>
      <c r="H38" s="54"/>
      <c r="I38" s="55" t="s">
        <v>48</v>
      </c>
      <c r="J38" s="56" t="s">
        <v>23</v>
      </c>
      <c r="K38" s="19" t="s">
        <v>32</v>
      </c>
      <c r="L38" s="27" t="s">
        <v>129</v>
      </c>
      <c r="M38" s="24" t="s">
        <v>49</v>
      </c>
      <c r="N38" s="24">
        <v>24.9</v>
      </c>
      <c r="O38" s="24">
        <v>14</v>
      </c>
      <c r="P38" s="28">
        <f t="shared" si="5"/>
        <v>10.899999999999999</v>
      </c>
      <c r="Q38" s="29">
        <v>0</v>
      </c>
      <c r="R38" s="30">
        <f t="shared" si="6"/>
        <v>0</v>
      </c>
      <c r="S38" s="29"/>
      <c r="T38" s="31"/>
      <c r="V38" s="31" t="s">
        <v>24</v>
      </c>
      <c r="W38" s="29"/>
      <c r="X38" s="32">
        <f t="shared" si="7"/>
        <v>0</v>
      </c>
      <c r="Y38" s="33"/>
      <c r="Z38" s="33">
        <f t="shared" si="8"/>
        <v>0</v>
      </c>
      <c r="AA38" s="31">
        <f t="shared" si="9"/>
        <v>0</v>
      </c>
    </row>
    <row r="39" spans="1:38" s="34" customFormat="1" ht="15.75" x14ac:dyDescent="0.25">
      <c r="A39" s="51">
        <v>36</v>
      </c>
      <c r="B39" s="22">
        <v>45993</v>
      </c>
      <c r="C39" s="22">
        <v>45993</v>
      </c>
      <c r="D39" s="23" t="s">
        <v>130</v>
      </c>
      <c r="E39" s="24"/>
      <c r="F39" s="24"/>
      <c r="G39" s="24"/>
      <c r="H39" s="54"/>
      <c r="I39" s="55" t="s">
        <v>48</v>
      </c>
      <c r="J39" s="56" t="s">
        <v>23</v>
      </c>
      <c r="K39" s="19" t="s">
        <v>32</v>
      </c>
      <c r="L39" s="27" t="s">
        <v>60</v>
      </c>
      <c r="M39" s="24" t="s">
        <v>31</v>
      </c>
      <c r="N39" s="24">
        <v>30.14</v>
      </c>
      <c r="O39" s="24">
        <v>14.84</v>
      </c>
      <c r="P39" s="28">
        <f t="shared" si="5"/>
        <v>15.3</v>
      </c>
      <c r="Q39" s="29">
        <v>0</v>
      </c>
      <c r="R39" s="30">
        <f t="shared" si="6"/>
        <v>0</v>
      </c>
      <c r="S39" s="29"/>
      <c r="T39" s="31"/>
      <c r="V39" s="31" t="s">
        <v>24</v>
      </c>
      <c r="W39" s="29"/>
      <c r="X39" s="32">
        <f t="shared" si="7"/>
        <v>0</v>
      </c>
      <c r="Y39" s="33"/>
      <c r="Z39" s="33">
        <f t="shared" si="8"/>
        <v>0</v>
      </c>
      <c r="AA39" s="31">
        <f t="shared" si="9"/>
        <v>0</v>
      </c>
    </row>
    <row r="40" spans="1:38" s="34" customFormat="1" ht="15.75" x14ac:dyDescent="0.25">
      <c r="A40" s="51">
        <v>37</v>
      </c>
      <c r="B40" s="22">
        <v>45993</v>
      </c>
      <c r="C40" s="22">
        <v>45993</v>
      </c>
      <c r="D40" s="23" t="s">
        <v>131</v>
      </c>
      <c r="E40" s="24"/>
      <c r="F40" s="24"/>
      <c r="G40" s="24"/>
      <c r="H40" s="54"/>
      <c r="I40" s="55" t="s">
        <v>48</v>
      </c>
      <c r="J40" s="56" t="s">
        <v>23</v>
      </c>
      <c r="K40" s="19" t="s">
        <v>32</v>
      </c>
      <c r="L40" s="27" t="s">
        <v>132</v>
      </c>
      <c r="M40" s="24" t="s">
        <v>31</v>
      </c>
      <c r="N40" s="37">
        <v>26.08</v>
      </c>
      <c r="O40" s="24">
        <v>14.16</v>
      </c>
      <c r="P40" s="28">
        <f t="shared" si="5"/>
        <v>11.919999999999998</v>
      </c>
      <c r="Q40" s="29">
        <v>0</v>
      </c>
      <c r="R40" s="30">
        <f t="shared" si="6"/>
        <v>0</v>
      </c>
      <c r="S40" s="29"/>
      <c r="T40" s="31"/>
      <c r="V40" s="31" t="s">
        <v>24</v>
      </c>
      <c r="W40" s="29"/>
      <c r="X40" s="32">
        <f t="shared" si="7"/>
        <v>0</v>
      </c>
      <c r="Y40" s="33"/>
      <c r="Z40" s="33">
        <f t="shared" si="8"/>
        <v>0</v>
      </c>
      <c r="AA40" s="31">
        <f t="shared" si="9"/>
        <v>0</v>
      </c>
    </row>
    <row r="41" spans="1:38" s="38" customFormat="1" ht="15.75" x14ac:dyDescent="0.25">
      <c r="A41" s="51">
        <v>38</v>
      </c>
      <c r="B41" s="22">
        <v>45993</v>
      </c>
      <c r="C41" s="22">
        <v>45993</v>
      </c>
      <c r="D41" s="23" t="s">
        <v>133</v>
      </c>
      <c r="E41" s="24"/>
      <c r="F41" s="24"/>
      <c r="G41" s="24"/>
      <c r="H41" s="45"/>
      <c r="I41" s="55" t="s">
        <v>48</v>
      </c>
      <c r="J41" s="56" t="s">
        <v>23</v>
      </c>
      <c r="K41" s="19" t="s">
        <v>32</v>
      </c>
      <c r="L41" s="27" t="s">
        <v>134</v>
      </c>
      <c r="M41" s="24" t="s">
        <v>49</v>
      </c>
      <c r="N41" s="37">
        <v>24.54</v>
      </c>
      <c r="O41" s="24">
        <v>14.26</v>
      </c>
      <c r="P41" s="28">
        <f t="shared" si="5"/>
        <v>10.28</v>
      </c>
      <c r="Q41" s="29">
        <v>0</v>
      </c>
      <c r="R41" s="30">
        <f t="shared" si="6"/>
        <v>0</v>
      </c>
      <c r="S41" s="29"/>
      <c r="T41" s="31"/>
      <c r="V41" s="31" t="s">
        <v>24</v>
      </c>
      <c r="W41" s="29"/>
      <c r="X41" s="32">
        <f t="shared" si="7"/>
        <v>0</v>
      </c>
      <c r="Y41" s="33"/>
      <c r="Z41" s="33">
        <f t="shared" si="8"/>
        <v>0</v>
      </c>
      <c r="AA41" s="31">
        <f t="shared" si="9"/>
        <v>0</v>
      </c>
    </row>
    <row r="42" spans="1:38" s="34" customFormat="1" ht="15.75" x14ac:dyDescent="0.25">
      <c r="A42" s="51">
        <v>39</v>
      </c>
      <c r="B42" s="22">
        <v>45993</v>
      </c>
      <c r="C42" s="22">
        <v>45993</v>
      </c>
      <c r="D42" s="23">
        <v>251202015</v>
      </c>
      <c r="E42" s="24" t="s">
        <v>135</v>
      </c>
      <c r="F42" s="24" t="s">
        <v>136</v>
      </c>
      <c r="G42" s="24">
        <v>51</v>
      </c>
      <c r="H42" s="35">
        <v>115</v>
      </c>
      <c r="I42" s="19" t="s">
        <v>35</v>
      </c>
      <c r="J42" s="20" t="s">
        <v>23</v>
      </c>
      <c r="K42" s="21" t="s">
        <v>32</v>
      </c>
      <c r="L42" s="27" t="s">
        <v>137</v>
      </c>
      <c r="M42" s="24" t="s">
        <v>37</v>
      </c>
      <c r="N42" s="37">
        <v>67.36</v>
      </c>
      <c r="O42" s="37">
        <v>15.72</v>
      </c>
      <c r="P42" s="28">
        <f t="shared" si="5"/>
        <v>51.64</v>
      </c>
      <c r="Q42" s="29">
        <v>445</v>
      </c>
      <c r="R42" s="30">
        <f t="shared" si="6"/>
        <v>22979.8</v>
      </c>
      <c r="S42" s="29"/>
      <c r="T42" s="31"/>
      <c r="V42" s="31" t="s">
        <v>24</v>
      </c>
      <c r="W42" s="29">
        <v>145</v>
      </c>
      <c r="X42" s="32">
        <f t="shared" si="7"/>
        <v>7487.8</v>
      </c>
      <c r="Y42" s="33">
        <v>260</v>
      </c>
      <c r="Z42" s="31">
        <f t="shared" si="8"/>
        <v>13426.4</v>
      </c>
      <c r="AA42" s="31">
        <f t="shared" si="9"/>
        <v>43894</v>
      </c>
    </row>
    <row r="43" spans="1:38" s="34" customFormat="1" ht="15.75" x14ac:dyDescent="0.25">
      <c r="A43" s="51">
        <v>40</v>
      </c>
      <c r="B43" s="22">
        <v>45993</v>
      </c>
      <c r="C43" s="22">
        <v>45993</v>
      </c>
      <c r="D43" s="23" t="s">
        <v>138</v>
      </c>
      <c r="E43" s="24"/>
      <c r="F43" s="24"/>
      <c r="G43" s="24"/>
      <c r="H43" s="48">
        <v>20</v>
      </c>
      <c r="I43" s="43" t="s">
        <v>62</v>
      </c>
      <c r="J43" s="20" t="s">
        <v>23</v>
      </c>
      <c r="K43" s="21" t="s">
        <v>32</v>
      </c>
      <c r="L43" s="27" t="s">
        <v>67</v>
      </c>
      <c r="M43" s="24" t="s">
        <v>31</v>
      </c>
      <c r="N43" s="37">
        <v>50.42</v>
      </c>
      <c r="O43" s="37">
        <v>12.28</v>
      </c>
      <c r="P43" s="28">
        <f t="shared" si="5"/>
        <v>38.14</v>
      </c>
      <c r="Q43" s="29">
        <v>140</v>
      </c>
      <c r="R43" s="30">
        <f t="shared" si="6"/>
        <v>5339.6</v>
      </c>
      <c r="S43" s="29"/>
      <c r="T43" s="31"/>
      <c r="V43" s="31" t="s">
        <v>53</v>
      </c>
      <c r="W43" s="29"/>
      <c r="X43" s="32">
        <f t="shared" si="7"/>
        <v>0</v>
      </c>
      <c r="Y43" s="33"/>
      <c r="Z43" s="33">
        <f t="shared" si="8"/>
        <v>0</v>
      </c>
      <c r="AA43" s="31">
        <f t="shared" si="9"/>
        <v>5339.6</v>
      </c>
    </row>
    <row r="44" spans="1:38" s="34" customFormat="1" ht="15.75" x14ac:dyDescent="0.25">
      <c r="A44" s="51">
        <v>41</v>
      </c>
      <c r="B44" s="22">
        <v>45993</v>
      </c>
      <c r="C44" s="22">
        <v>45993</v>
      </c>
      <c r="D44" s="23">
        <v>251202016</v>
      </c>
      <c r="E44" s="24" t="s">
        <v>139</v>
      </c>
      <c r="F44" s="24" t="s">
        <v>140</v>
      </c>
      <c r="G44" s="24">
        <v>43</v>
      </c>
      <c r="H44" s="35">
        <v>115</v>
      </c>
      <c r="I44" s="19" t="s">
        <v>35</v>
      </c>
      <c r="J44" s="20" t="s">
        <v>23</v>
      </c>
      <c r="K44" s="21" t="s">
        <v>32</v>
      </c>
      <c r="L44" s="27" t="s">
        <v>38</v>
      </c>
      <c r="M44" s="24" t="s">
        <v>34</v>
      </c>
      <c r="N44" s="24">
        <v>59.46</v>
      </c>
      <c r="O44" s="37">
        <v>15.8</v>
      </c>
      <c r="P44" s="28">
        <f t="shared" si="5"/>
        <v>43.66</v>
      </c>
      <c r="Q44" s="29">
        <v>315</v>
      </c>
      <c r="R44" s="30">
        <f t="shared" si="6"/>
        <v>13752.9</v>
      </c>
      <c r="S44" s="29"/>
      <c r="T44" s="31"/>
      <c r="V44" s="31" t="s">
        <v>24</v>
      </c>
      <c r="W44" s="29">
        <v>145</v>
      </c>
      <c r="X44" s="32">
        <f t="shared" si="7"/>
        <v>6330.7</v>
      </c>
      <c r="Y44" s="33">
        <v>260</v>
      </c>
      <c r="Z44" s="33">
        <f t="shared" si="8"/>
        <v>11351.599999999999</v>
      </c>
      <c r="AA44" s="31">
        <f t="shared" si="9"/>
        <v>31435.199999999997</v>
      </c>
    </row>
    <row r="45" spans="1:38" s="34" customFormat="1" ht="15.75" x14ac:dyDescent="0.25">
      <c r="A45" s="51">
        <v>42</v>
      </c>
      <c r="B45" s="22">
        <v>45993</v>
      </c>
      <c r="C45" s="22">
        <v>45993</v>
      </c>
      <c r="D45" s="23">
        <v>251202017</v>
      </c>
      <c r="E45" s="24" t="s">
        <v>141</v>
      </c>
      <c r="F45" s="24" t="s">
        <v>142</v>
      </c>
      <c r="G45" s="24">
        <v>33</v>
      </c>
      <c r="H45" s="35">
        <v>115</v>
      </c>
      <c r="I45" s="19" t="s">
        <v>35</v>
      </c>
      <c r="J45" s="20" t="s">
        <v>23</v>
      </c>
      <c r="K45" s="21" t="s">
        <v>32</v>
      </c>
      <c r="L45" s="27" t="s">
        <v>41</v>
      </c>
      <c r="M45" s="24" t="s">
        <v>36</v>
      </c>
      <c r="N45" s="37">
        <v>45.18</v>
      </c>
      <c r="O45" s="24">
        <v>11.76</v>
      </c>
      <c r="P45" s="28">
        <f t="shared" si="5"/>
        <v>33.42</v>
      </c>
      <c r="Q45" s="29">
        <v>545</v>
      </c>
      <c r="R45" s="30">
        <f t="shared" si="6"/>
        <v>18213.900000000001</v>
      </c>
      <c r="S45" s="29"/>
      <c r="T45" s="31"/>
      <c r="V45" s="31" t="s">
        <v>24</v>
      </c>
      <c r="W45" s="29">
        <v>145</v>
      </c>
      <c r="X45" s="32">
        <f t="shared" si="7"/>
        <v>4845.9000000000005</v>
      </c>
      <c r="Y45" s="33">
        <v>260</v>
      </c>
      <c r="Z45" s="33">
        <f t="shared" si="8"/>
        <v>8689.2000000000007</v>
      </c>
      <c r="AA45" s="31">
        <f t="shared" si="9"/>
        <v>31749.000000000004</v>
      </c>
      <c r="AB45" s="40"/>
      <c r="AC45" s="39"/>
      <c r="AD45" s="41"/>
      <c r="AE45" s="42"/>
      <c r="AF45" s="39"/>
      <c r="AG45" s="42"/>
      <c r="AH45" s="39"/>
      <c r="AI45" s="41"/>
      <c r="AJ45" s="39"/>
      <c r="AK45" s="41"/>
      <c r="AL45" s="41"/>
    </row>
    <row r="46" spans="1:38" s="34" customFormat="1" ht="15.75" x14ac:dyDescent="0.25">
      <c r="A46" s="51">
        <v>43</v>
      </c>
      <c r="B46" s="22">
        <v>45993</v>
      </c>
      <c r="C46" s="22">
        <v>45993</v>
      </c>
      <c r="D46" s="23">
        <v>251202018</v>
      </c>
      <c r="E46" s="24" t="s">
        <v>143</v>
      </c>
      <c r="F46" s="24" t="s">
        <v>144</v>
      </c>
      <c r="G46" s="24">
        <v>44</v>
      </c>
      <c r="H46" s="35">
        <v>115</v>
      </c>
      <c r="I46" s="19" t="s">
        <v>35</v>
      </c>
      <c r="J46" s="20" t="s">
        <v>23</v>
      </c>
      <c r="K46" s="21" t="s">
        <v>32</v>
      </c>
      <c r="L46" s="27" t="s">
        <v>54</v>
      </c>
      <c r="M46" s="24" t="s">
        <v>36</v>
      </c>
      <c r="N46" s="37">
        <v>59.38</v>
      </c>
      <c r="O46" s="37">
        <v>14.76</v>
      </c>
      <c r="P46" s="28">
        <f t="shared" si="5"/>
        <v>44.620000000000005</v>
      </c>
      <c r="Q46" s="29">
        <v>545</v>
      </c>
      <c r="R46" s="30">
        <f t="shared" si="6"/>
        <v>24317.9</v>
      </c>
      <c r="S46" s="29"/>
      <c r="T46" s="31"/>
      <c r="V46" s="31" t="s">
        <v>24</v>
      </c>
      <c r="W46" s="29">
        <v>145</v>
      </c>
      <c r="X46" s="32">
        <f t="shared" si="7"/>
        <v>6469.9000000000005</v>
      </c>
      <c r="Y46" s="33">
        <v>260</v>
      </c>
      <c r="Z46" s="33">
        <f t="shared" si="8"/>
        <v>11601.2</v>
      </c>
      <c r="AA46" s="31">
        <f t="shared" si="9"/>
        <v>42389</v>
      </c>
    </row>
    <row r="47" spans="1:38" s="34" customFormat="1" ht="15.75" x14ac:dyDescent="0.25">
      <c r="A47" s="51">
        <v>44</v>
      </c>
      <c r="B47" s="22">
        <v>45993</v>
      </c>
      <c r="C47" s="22">
        <v>45993</v>
      </c>
      <c r="D47" s="23">
        <v>251202019</v>
      </c>
      <c r="E47" s="24" t="s">
        <v>145</v>
      </c>
      <c r="F47" s="24" t="s">
        <v>146</v>
      </c>
      <c r="G47" s="24">
        <v>40</v>
      </c>
      <c r="H47" s="35">
        <v>115</v>
      </c>
      <c r="I47" s="19" t="s">
        <v>35</v>
      </c>
      <c r="J47" s="20" t="s">
        <v>23</v>
      </c>
      <c r="K47" s="21" t="s">
        <v>32</v>
      </c>
      <c r="L47" s="23" t="s">
        <v>44</v>
      </c>
      <c r="M47" s="24" t="s">
        <v>37</v>
      </c>
      <c r="N47" s="37">
        <v>52.48</v>
      </c>
      <c r="O47" s="37">
        <v>11.82</v>
      </c>
      <c r="P47" s="28">
        <f t="shared" si="5"/>
        <v>40.659999999999997</v>
      </c>
      <c r="Q47" s="29">
        <v>445</v>
      </c>
      <c r="R47" s="30">
        <f t="shared" si="6"/>
        <v>18093.699999999997</v>
      </c>
      <c r="S47" s="29"/>
      <c r="T47" s="31"/>
      <c r="V47" s="31" t="s">
        <v>24</v>
      </c>
      <c r="W47" s="29">
        <v>145</v>
      </c>
      <c r="X47" s="32">
        <f t="shared" si="7"/>
        <v>5895.7</v>
      </c>
      <c r="Y47" s="33">
        <v>260</v>
      </c>
      <c r="Z47" s="33">
        <f t="shared" si="8"/>
        <v>10571.599999999999</v>
      </c>
      <c r="AA47" s="31">
        <f t="shared" si="9"/>
        <v>34561</v>
      </c>
    </row>
    <row r="48" spans="1:38" s="34" customFormat="1" ht="15.75" x14ac:dyDescent="0.25">
      <c r="A48" s="51">
        <v>45</v>
      </c>
      <c r="B48" s="22">
        <v>45993</v>
      </c>
      <c r="C48" s="22">
        <v>45993</v>
      </c>
      <c r="D48" s="23">
        <v>251202020</v>
      </c>
      <c r="E48" s="24" t="s">
        <v>147</v>
      </c>
      <c r="F48" s="24" t="s">
        <v>148</v>
      </c>
      <c r="G48" s="24">
        <v>35</v>
      </c>
      <c r="H48" s="35">
        <v>115</v>
      </c>
      <c r="I48" s="19" t="s">
        <v>35</v>
      </c>
      <c r="J48" s="20" t="s">
        <v>23</v>
      </c>
      <c r="K48" s="21" t="s">
        <v>32</v>
      </c>
      <c r="L48" s="27" t="s">
        <v>47</v>
      </c>
      <c r="M48" s="24" t="s">
        <v>34</v>
      </c>
      <c r="N48" s="37">
        <v>46.44</v>
      </c>
      <c r="O48" s="37">
        <v>11.28</v>
      </c>
      <c r="P48" s="28">
        <f t="shared" si="5"/>
        <v>35.159999999999997</v>
      </c>
      <c r="Q48" s="29">
        <v>315</v>
      </c>
      <c r="R48" s="30">
        <f t="shared" si="6"/>
        <v>11075.4</v>
      </c>
      <c r="S48" s="29"/>
      <c r="T48" s="31"/>
      <c r="V48" s="31" t="s">
        <v>24</v>
      </c>
      <c r="W48" s="29">
        <v>145</v>
      </c>
      <c r="X48" s="32">
        <f t="shared" si="7"/>
        <v>5098.2</v>
      </c>
      <c r="Y48" s="33">
        <v>260</v>
      </c>
      <c r="Z48" s="33">
        <f t="shared" si="8"/>
        <v>9141.5999999999985</v>
      </c>
      <c r="AA48" s="31">
        <f t="shared" si="9"/>
        <v>25315.199999999997</v>
      </c>
    </row>
    <row r="49" spans="1:27" s="34" customFormat="1" ht="15.75" x14ac:dyDescent="0.25">
      <c r="A49" s="51">
        <v>46</v>
      </c>
      <c r="B49" s="22">
        <v>45993</v>
      </c>
      <c r="C49" s="22">
        <v>45993</v>
      </c>
      <c r="D49" s="23">
        <v>251202021</v>
      </c>
      <c r="E49" s="24" t="s">
        <v>149</v>
      </c>
      <c r="F49" s="24" t="s">
        <v>150</v>
      </c>
      <c r="G49" s="24">
        <v>43</v>
      </c>
      <c r="H49" s="35">
        <v>115</v>
      </c>
      <c r="I49" s="19" t="s">
        <v>35</v>
      </c>
      <c r="J49" s="20" t="s">
        <v>23</v>
      </c>
      <c r="K49" s="21" t="s">
        <v>32</v>
      </c>
      <c r="L49" s="27" t="s">
        <v>61</v>
      </c>
      <c r="M49" s="24" t="s">
        <v>36</v>
      </c>
      <c r="N49" s="37">
        <v>59.48</v>
      </c>
      <c r="O49" s="37">
        <v>15.72</v>
      </c>
      <c r="P49" s="28">
        <f t="shared" si="5"/>
        <v>43.76</v>
      </c>
      <c r="Q49" s="29">
        <v>545</v>
      </c>
      <c r="R49" s="30">
        <f t="shared" si="6"/>
        <v>23849.200000000001</v>
      </c>
      <c r="S49" s="29"/>
      <c r="T49" s="31"/>
      <c r="V49" s="31" t="s">
        <v>24</v>
      </c>
      <c r="W49" s="29">
        <v>145</v>
      </c>
      <c r="X49" s="32">
        <f t="shared" si="7"/>
        <v>6345.2</v>
      </c>
      <c r="Y49" s="33">
        <v>260</v>
      </c>
      <c r="Z49" s="33">
        <f t="shared" si="8"/>
        <v>11377.6</v>
      </c>
      <c r="AA49" s="31">
        <f t="shared" si="9"/>
        <v>41572</v>
      </c>
    </row>
    <row r="50" spans="1:27" s="38" customFormat="1" ht="15.75" x14ac:dyDescent="0.25">
      <c r="A50" s="51">
        <v>47</v>
      </c>
      <c r="B50" s="22">
        <v>45993</v>
      </c>
      <c r="C50" s="22">
        <v>45993</v>
      </c>
      <c r="D50" s="23" t="s">
        <v>151</v>
      </c>
      <c r="E50" s="24"/>
      <c r="F50" s="24"/>
      <c r="G50" s="24"/>
      <c r="H50" s="46">
        <v>117</v>
      </c>
      <c r="I50" s="45" t="s">
        <v>152</v>
      </c>
      <c r="J50" s="57" t="s">
        <v>23</v>
      </c>
      <c r="K50" s="21" t="s">
        <v>30</v>
      </c>
      <c r="L50" s="27" t="s">
        <v>153</v>
      </c>
      <c r="M50" s="24" t="s">
        <v>36</v>
      </c>
      <c r="N50" s="37">
        <v>9.1199999999999992</v>
      </c>
      <c r="O50" s="24">
        <v>3.62</v>
      </c>
      <c r="P50" s="28">
        <f t="shared" si="5"/>
        <v>5.4999999999999991</v>
      </c>
      <c r="Q50" s="29">
        <v>540</v>
      </c>
      <c r="R50" s="30">
        <f t="shared" si="6"/>
        <v>2969.9999999999995</v>
      </c>
      <c r="S50" s="29">
        <v>2970</v>
      </c>
      <c r="T50" s="31"/>
      <c r="V50" s="31" t="s">
        <v>152</v>
      </c>
      <c r="W50" s="29"/>
      <c r="X50" s="32">
        <f t="shared" si="7"/>
        <v>0</v>
      </c>
      <c r="Y50" s="33"/>
      <c r="Z50" s="31">
        <f t="shared" si="8"/>
        <v>0</v>
      </c>
      <c r="AA50" s="31">
        <f t="shared" si="9"/>
        <v>2969.9999999999995</v>
      </c>
    </row>
    <row r="51" spans="1:27" s="34" customFormat="1" ht="15.75" x14ac:dyDescent="0.25">
      <c r="A51" s="51">
        <v>48</v>
      </c>
      <c r="B51" s="22">
        <v>45993</v>
      </c>
      <c r="C51" s="22">
        <v>45993</v>
      </c>
      <c r="D51" s="23" t="s">
        <v>154</v>
      </c>
      <c r="E51" s="24"/>
      <c r="F51" s="24"/>
      <c r="G51" s="24"/>
      <c r="H51" s="45"/>
      <c r="I51" s="45" t="s">
        <v>155</v>
      </c>
      <c r="J51" s="57" t="s">
        <v>23</v>
      </c>
      <c r="K51" s="21" t="s">
        <v>30</v>
      </c>
      <c r="L51" s="27" t="s">
        <v>156</v>
      </c>
      <c r="M51" s="24" t="s">
        <v>31</v>
      </c>
      <c r="N51" s="37">
        <v>9.6999999999999993</v>
      </c>
      <c r="O51" s="24">
        <v>3.44</v>
      </c>
      <c r="P51" s="28">
        <f t="shared" si="5"/>
        <v>6.26</v>
      </c>
      <c r="Q51" s="29">
        <v>150</v>
      </c>
      <c r="R51" s="30">
        <f>Q51*P51</f>
        <v>939</v>
      </c>
      <c r="S51" s="29">
        <v>939</v>
      </c>
      <c r="T51" s="31"/>
      <c r="V51" s="31" t="s">
        <v>24</v>
      </c>
      <c r="W51" s="29"/>
      <c r="X51" s="32">
        <f t="shared" si="7"/>
        <v>0</v>
      </c>
      <c r="Y51" s="33"/>
      <c r="Z51" s="31">
        <f t="shared" si="8"/>
        <v>0</v>
      </c>
      <c r="AA51" s="31">
        <f t="shared" si="9"/>
        <v>939</v>
      </c>
    </row>
    <row r="52" spans="1:27" s="34" customFormat="1" ht="15.75" x14ac:dyDescent="0.25">
      <c r="A52" s="51">
        <v>49</v>
      </c>
      <c r="B52" s="22">
        <v>45993</v>
      </c>
      <c r="C52" s="22">
        <v>45993</v>
      </c>
      <c r="D52" s="23">
        <v>251202022</v>
      </c>
      <c r="E52" s="24" t="s">
        <v>157</v>
      </c>
      <c r="F52" s="24" t="s">
        <v>158</v>
      </c>
      <c r="G52" s="24">
        <v>21</v>
      </c>
      <c r="H52" s="35">
        <v>108</v>
      </c>
      <c r="I52" s="43" t="s">
        <v>159</v>
      </c>
      <c r="J52" s="58" t="s">
        <v>23</v>
      </c>
      <c r="K52" s="21" t="s">
        <v>32</v>
      </c>
      <c r="L52" s="27" t="s">
        <v>160</v>
      </c>
      <c r="M52" s="24" t="s">
        <v>34</v>
      </c>
      <c r="N52" s="37">
        <v>36.200000000000003</v>
      </c>
      <c r="O52" s="37">
        <v>14.4</v>
      </c>
      <c r="P52" s="28">
        <f t="shared" si="5"/>
        <v>21.800000000000004</v>
      </c>
      <c r="Q52" s="29">
        <v>420</v>
      </c>
      <c r="R52" s="30">
        <f>Q52*P52</f>
        <v>9156.0000000000018</v>
      </c>
      <c r="S52" s="29"/>
      <c r="T52" s="31"/>
      <c r="V52" s="31" t="s">
        <v>24</v>
      </c>
      <c r="W52" s="29">
        <v>145</v>
      </c>
      <c r="X52" s="32">
        <f t="shared" si="7"/>
        <v>3161.0000000000005</v>
      </c>
      <c r="Y52" s="33"/>
      <c r="Z52" s="31">
        <f t="shared" si="8"/>
        <v>0</v>
      </c>
      <c r="AA52" s="31">
        <f t="shared" si="9"/>
        <v>12317.000000000002</v>
      </c>
    </row>
    <row r="53" spans="1:27" s="34" customFormat="1" ht="15.75" x14ac:dyDescent="0.25">
      <c r="A53" s="51">
        <v>50</v>
      </c>
      <c r="B53" s="22">
        <v>45993</v>
      </c>
      <c r="C53" s="22">
        <v>45993</v>
      </c>
      <c r="D53" s="23">
        <v>251202023</v>
      </c>
      <c r="E53" s="24" t="s">
        <v>161</v>
      </c>
      <c r="F53" s="24" t="s">
        <v>162</v>
      </c>
      <c r="G53" s="24">
        <v>58</v>
      </c>
      <c r="H53" s="35">
        <v>115</v>
      </c>
      <c r="I53" s="19" t="s">
        <v>35</v>
      </c>
      <c r="J53" s="20" t="s">
        <v>23</v>
      </c>
      <c r="K53" s="21" t="s">
        <v>32</v>
      </c>
      <c r="L53" s="52" t="s">
        <v>46</v>
      </c>
      <c r="M53" s="24" t="s">
        <v>34</v>
      </c>
      <c r="N53" s="37">
        <v>76.36</v>
      </c>
      <c r="O53" s="37">
        <v>17.38</v>
      </c>
      <c r="P53" s="28">
        <f t="shared" si="5"/>
        <v>58.980000000000004</v>
      </c>
      <c r="Q53" s="29">
        <v>315</v>
      </c>
      <c r="R53" s="30">
        <f>Q53*P53</f>
        <v>18578.7</v>
      </c>
      <c r="S53" s="29"/>
      <c r="T53" s="31"/>
      <c r="V53" s="31" t="s">
        <v>24</v>
      </c>
      <c r="W53" s="29">
        <v>145</v>
      </c>
      <c r="X53" s="32">
        <f t="shared" si="7"/>
        <v>8552.1</v>
      </c>
      <c r="Y53" s="33">
        <v>260</v>
      </c>
      <c r="Z53" s="31">
        <f t="shared" si="8"/>
        <v>15334.800000000001</v>
      </c>
      <c r="AA53" s="31">
        <f t="shared" si="9"/>
        <v>42465.600000000006</v>
      </c>
    </row>
    <row r="54" spans="1:27" s="38" customFormat="1" ht="15.75" x14ac:dyDescent="0.25">
      <c r="A54" s="51">
        <v>51</v>
      </c>
      <c r="B54" s="22">
        <v>45993</v>
      </c>
      <c r="C54" s="22">
        <v>45993</v>
      </c>
      <c r="D54" s="23">
        <v>251202024</v>
      </c>
      <c r="E54" s="24" t="s">
        <v>163</v>
      </c>
      <c r="F54" s="24" t="s">
        <v>164</v>
      </c>
      <c r="G54" s="24">
        <v>38</v>
      </c>
      <c r="H54" s="35">
        <v>115</v>
      </c>
      <c r="I54" s="19" t="s">
        <v>35</v>
      </c>
      <c r="J54" s="20" t="s">
        <v>23</v>
      </c>
      <c r="K54" s="21" t="s">
        <v>32</v>
      </c>
      <c r="L54" s="27" t="s">
        <v>165</v>
      </c>
      <c r="M54" s="24" t="s">
        <v>34</v>
      </c>
      <c r="N54" s="37">
        <v>54.19</v>
      </c>
      <c r="O54" s="37">
        <v>15.76</v>
      </c>
      <c r="P54" s="28">
        <f t="shared" si="5"/>
        <v>38.43</v>
      </c>
      <c r="Q54" s="29">
        <v>315</v>
      </c>
      <c r="R54" s="30">
        <f>Q54*P54</f>
        <v>12105.45</v>
      </c>
      <c r="S54" s="29"/>
      <c r="T54" s="31"/>
      <c r="V54" s="31" t="s">
        <v>166</v>
      </c>
      <c r="W54" s="29">
        <v>145</v>
      </c>
      <c r="X54" s="32">
        <f t="shared" si="7"/>
        <v>5572.35</v>
      </c>
      <c r="Y54" s="33">
        <v>260</v>
      </c>
      <c r="Z54" s="31">
        <f t="shared" si="8"/>
        <v>9991.7999999999993</v>
      </c>
      <c r="AA54" s="31">
        <f t="shared" si="9"/>
        <v>27669.600000000002</v>
      </c>
    </row>
    <row r="55" spans="1:27" s="38" customFormat="1" ht="15.75" x14ac:dyDescent="0.25">
      <c r="A55" s="51">
        <v>52</v>
      </c>
      <c r="B55" s="22">
        <v>45993</v>
      </c>
      <c r="C55" s="22">
        <v>45993</v>
      </c>
      <c r="D55" s="47">
        <v>251202025</v>
      </c>
      <c r="E55" s="24" t="s">
        <v>167</v>
      </c>
      <c r="F55" s="24" t="s">
        <v>168</v>
      </c>
      <c r="G55" s="24">
        <v>46</v>
      </c>
      <c r="H55" s="35">
        <v>115</v>
      </c>
      <c r="I55" s="19" t="s">
        <v>35</v>
      </c>
      <c r="J55" s="20" t="s">
        <v>23</v>
      </c>
      <c r="K55" s="21" t="s">
        <v>32</v>
      </c>
      <c r="L55" s="27" t="s">
        <v>40</v>
      </c>
      <c r="M55" s="24" t="s">
        <v>36</v>
      </c>
      <c r="N55" s="37">
        <v>61.2</v>
      </c>
      <c r="O55" s="37">
        <v>15</v>
      </c>
      <c r="P55" s="28">
        <f t="shared" si="5"/>
        <v>46.2</v>
      </c>
      <c r="Q55" s="29">
        <v>545</v>
      </c>
      <c r="R55" s="30">
        <f t="shared" ref="R55:R84" si="10">Q55*P55</f>
        <v>25179</v>
      </c>
      <c r="S55" s="29"/>
      <c r="T55" s="31"/>
      <c r="V55" s="31" t="s">
        <v>24</v>
      </c>
      <c r="W55" s="29">
        <v>145</v>
      </c>
      <c r="X55" s="32">
        <f t="shared" si="7"/>
        <v>6699</v>
      </c>
      <c r="Y55" s="33">
        <v>260</v>
      </c>
      <c r="Z55" s="31">
        <f t="shared" si="8"/>
        <v>12012</v>
      </c>
      <c r="AA55" s="31">
        <f t="shared" si="9"/>
        <v>43890</v>
      </c>
    </row>
    <row r="56" spans="1:27" s="34" customFormat="1" ht="15.75" x14ac:dyDescent="0.25">
      <c r="A56" s="51">
        <v>53</v>
      </c>
      <c r="B56" s="22">
        <v>45993</v>
      </c>
      <c r="C56" s="22">
        <v>45993</v>
      </c>
      <c r="D56" s="23">
        <v>251202026</v>
      </c>
      <c r="E56" s="24" t="s">
        <v>169</v>
      </c>
      <c r="F56" s="24" t="s">
        <v>170</v>
      </c>
      <c r="G56" s="24">
        <v>38</v>
      </c>
      <c r="H56" s="35">
        <v>115</v>
      </c>
      <c r="I56" s="19" t="s">
        <v>35</v>
      </c>
      <c r="J56" s="20" t="s">
        <v>23</v>
      </c>
      <c r="K56" s="21" t="s">
        <v>32</v>
      </c>
      <c r="L56" s="27" t="s">
        <v>42</v>
      </c>
      <c r="M56" s="24" t="s">
        <v>37</v>
      </c>
      <c r="N56" s="24">
        <v>50.42</v>
      </c>
      <c r="O56" s="37">
        <v>12.12</v>
      </c>
      <c r="P56" s="28">
        <f t="shared" si="5"/>
        <v>38.300000000000004</v>
      </c>
      <c r="Q56" s="29">
        <v>445</v>
      </c>
      <c r="R56" s="30">
        <f t="shared" si="10"/>
        <v>17043.500000000004</v>
      </c>
      <c r="S56" s="29"/>
      <c r="T56" s="31"/>
      <c r="V56" s="31" t="s">
        <v>24</v>
      </c>
      <c r="W56" s="29">
        <v>145</v>
      </c>
      <c r="X56" s="32">
        <f t="shared" si="7"/>
        <v>5553.5000000000009</v>
      </c>
      <c r="Y56" s="33">
        <v>260</v>
      </c>
      <c r="Z56" s="31">
        <f t="shared" si="8"/>
        <v>9958.0000000000018</v>
      </c>
      <c r="AA56" s="31">
        <f t="shared" si="9"/>
        <v>32555.000000000007</v>
      </c>
    </row>
    <row r="57" spans="1:27" s="34" customFormat="1" ht="15.75" x14ac:dyDescent="0.25">
      <c r="A57" s="51">
        <v>54</v>
      </c>
      <c r="B57" s="22">
        <v>45993</v>
      </c>
      <c r="C57" s="22">
        <v>45993</v>
      </c>
      <c r="D57" s="23">
        <v>251202027</v>
      </c>
      <c r="E57" s="24" t="s">
        <v>171</v>
      </c>
      <c r="F57" s="24" t="s">
        <v>172</v>
      </c>
      <c r="G57" s="24">
        <v>46</v>
      </c>
      <c r="H57" s="35">
        <v>115</v>
      </c>
      <c r="I57" s="19" t="s">
        <v>35</v>
      </c>
      <c r="J57" s="20" t="s">
        <v>23</v>
      </c>
      <c r="K57" s="21" t="s">
        <v>32</v>
      </c>
      <c r="L57" s="27" t="s">
        <v>59</v>
      </c>
      <c r="M57" s="24" t="s">
        <v>36</v>
      </c>
      <c r="N57" s="37">
        <v>63.9</v>
      </c>
      <c r="O57" s="37">
        <v>17.54</v>
      </c>
      <c r="P57" s="28">
        <f t="shared" si="5"/>
        <v>46.36</v>
      </c>
      <c r="Q57" s="29">
        <v>545</v>
      </c>
      <c r="R57" s="30">
        <f t="shared" si="10"/>
        <v>25266.2</v>
      </c>
      <c r="S57" s="29"/>
      <c r="T57" s="31"/>
      <c r="V57" s="31" t="s">
        <v>24</v>
      </c>
      <c r="W57" s="29">
        <v>145</v>
      </c>
      <c r="X57" s="32">
        <f t="shared" si="7"/>
        <v>6722.2</v>
      </c>
      <c r="Y57" s="33">
        <v>260</v>
      </c>
      <c r="Z57" s="31">
        <f t="shared" si="8"/>
        <v>12053.6</v>
      </c>
      <c r="AA57" s="31">
        <f t="shared" si="9"/>
        <v>44042</v>
      </c>
    </row>
    <row r="58" spans="1:27" s="38" customFormat="1" ht="15.75" x14ac:dyDescent="0.25">
      <c r="A58" s="51">
        <v>55</v>
      </c>
      <c r="B58" s="22">
        <v>45993</v>
      </c>
      <c r="C58" s="22">
        <v>45993</v>
      </c>
      <c r="D58" s="23">
        <v>251202028</v>
      </c>
      <c r="E58" s="24" t="s">
        <v>173</v>
      </c>
      <c r="F58" s="24" t="s">
        <v>174</v>
      </c>
      <c r="G58" s="24">
        <v>38</v>
      </c>
      <c r="H58" s="35">
        <v>115</v>
      </c>
      <c r="I58" s="19" t="s">
        <v>35</v>
      </c>
      <c r="J58" s="20" t="s">
        <v>23</v>
      </c>
      <c r="K58" s="21" t="s">
        <v>32</v>
      </c>
      <c r="L58" s="24" t="s">
        <v>41</v>
      </c>
      <c r="M58" s="24" t="s">
        <v>37</v>
      </c>
      <c r="N58" s="37">
        <v>50.42</v>
      </c>
      <c r="O58" s="37">
        <v>11.84</v>
      </c>
      <c r="P58" s="28">
        <f t="shared" si="5"/>
        <v>38.58</v>
      </c>
      <c r="Q58" s="29">
        <v>445</v>
      </c>
      <c r="R58" s="30">
        <f t="shared" si="10"/>
        <v>17168.099999999999</v>
      </c>
      <c r="S58" s="29"/>
      <c r="T58" s="31"/>
      <c r="V58" s="31" t="s">
        <v>24</v>
      </c>
      <c r="W58" s="29">
        <v>145</v>
      </c>
      <c r="X58" s="32">
        <f t="shared" si="7"/>
        <v>5594.0999999999995</v>
      </c>
      <c r="Y58" s="33">
        <v>260</v>
      </c>
      <c r="Z58" s="31">
        <f t="shared" si="8"/>
        <v>10030.799999999999</v>
      </c>
      <c r="AA58" s="31">
        <f t="shared" si="9"/>
        <v>32793</v>
      </c>
    </row>
    <row r="59" spans="1:27" s="34" customFormat="1" ht="15.75" x14ac:dyDescent="0.25">
      <c r="A59" s="51">
        <v>56</v>
      </c>
      <c r="B59" s="22">
        <v>45993</v>
      </c>
      <c r="C59" s="22">
        <v>45993</v>
      </c>
      <c r="D59" s="23">
        <v>251202029</v>
      </c>
      <c r="E59" s="24" t="s">
        <v>175</v>
      </c>
      <c r="F59" s="24" t="s">
        <v>176</v>
      </c>
      <c r="G59" s="24">
        <v>44</v>
      </c>
      <c r="H59" s="35">
        <v>115</v>
      </c>
      <c r="I59" s="19" t="s">
        <v>35</v>
      </c>
      <c r="J59" s="20" t="s">
        <v>23</v>
      </c>
      <c r="K59" s="21" t="s">
        <v>32</v>
      </c>
      <c r="L59" s="27" t="s">
        <v>38</v>
      </c>
      <c r="M59" s="24" t="s">
        <v>34</v>
      </c>
      <c r="N59" s="37">
        <v>60.48</v>
      </c>
      <c r="O59" s="37">
        <v>15.78</v>
      </c>
      <c r="P59" s="28">
        <f t="shared" si="5"/>
        <v>44.699999999999996</v>
      </c>
      <c r="Q59" s="29">
        <v>315</v>
      </c>
      <c r="R59" s="30">
        <f t="shared" si="10"/>
        <v>14080.499999999998</v>
      </c>
      <c r="S59" s="29"/>
      <c r="T59" s="31"/>
      <c r="V59" s="31" t="s">
        <v>24</v>
      </c>
      <c r="W59" s="29">
        <v>145</v>
      </c>
      <c r="X59" s="32">
        <f t="shared" si="7"/>
        <v>6481.4999999999991</v>
      </c>
      <c r="Y59" s="33">
        <v>260</v>
      </c>
      <c r="Z59" s="31">
        <f t="shared" si="8"/>
        <v>11621.999999999998</v>
      </c>
      <c r="AA59" s="31">
        <f t="shared" si="9"/>
        <v>32183.999999999993</v>
      </c>
    </row>
    <row r="60" spans="1:27" s="34" customFormat="1" ht="15.75" x14ac:dyDescent="0.25">
      <c r="A60" s="51">
        <v>57</v>
      </c>
      <c r="B60" s="22">
        <v>45993</v>
      </c>
      <c r="C60" s="22">
        <v>45993</v>
      </c>
      <c r="D60" s="23" t="s">
        <v>177</v>
      </c>
      <c r="E60" s="24"/>
      <c r="F60" s="24"/>
      <c r="G60" s="24"/>
      <c r="H60" s="54"/>
      <c r="I60" s="59" t="s">
        <v>178</v>
      </c>
      <c r="J60" s="20" t="s">
        <v>23</v>
      </c>
      <c r="K60" s="60" t="s">
        <v>30</v>
      </c>
      <c r="L60" s="27" t="s">
        <v>179</v>
      </c>
      <c r="M60" s="24" t="s">
        <v>31</v>
      </c>
      <c r="N60" s="24">
        <v>9.9</v>
      </c>
      <c r="O60" s="37">
        <v>3.74</v>
      </c>
      <c r="P60" s="28">
        <f t="shared" si="5"/>
        <v>6.16</v>
      </c>
      <c r="Q60" s="29">
        <v>150</v>
      </c>
      <c r="R60" s="30">
        <f t="shared" si="10"/>
        <v>924</v>
      </c>
      <c r="S60" s="29">
        <v>924</v>
      </c>
      <c r="T60" s="31"/>
      <c r="V60" s="31" t="s">
        <v>24</v>
      </c>
      <c r="W60" s="29"/>
      <c r="X60" s="32">
        <f t="shared" si="7"/>
        <v>0</v>
      </c>
      <c r="Y60" s="33"/>
      <c r="Z60" s="31">
        <f t="shared" si="8"/>
        <v>0</v>
      </c>
      <c r="AA60" s="31">
        <f t="shared" si="9"/>
        <v>924</v>
      </c>
    </row>
    <row r="61" spans="1:27" s="38" customFormat="1" ht="15.75" x14ac:dyDescent="0.25">
      <c r="A61" s="51">
        <v>58</v>
      </c>
      <c r="B61" s="22">
        <v>45993</v>
      </c>
      <c r="C61" s="22">
        <v>45993</v>
      </c>
      <c r="D61" s="23" t="s">
        <v>180</v>
      </c>
      <c r="E61" s="24"/>
      <c r="F61" s="24"/>
      <c r="G61" s="24"/>
      <c r="H61" s="54"/>
      <c r="I61" s="59" t="s">
        <v>181</v>
      </c>
      <c r="J61" s="20" t="s">
        <v>23</v>
      </c>
      <c r="K61" s="60" t="s">
        <v>30</v>
      </c>
      <c r="L61" s="23" t="s">
        <v>182</v>
      </c>
      <c r="M61" s="24" t="s">
        <v>36</v>
      </c>
      <c r="N61" s="37">
        <v>11.38</v>
      </c>
      <c r="O61" s="24">
        <v>3.44</v>
      </c>
      <c r="P61" s="28">
        <f t="shared" si="5"/>
        <v>7.9400000000000013</v>
      </c>
      <c r="Q61" s="29">
        <v>550</v>
      </c>
      <c r="R61" s="30">
        <f t="shared" si="10"/>
        <v>4367.0000000000009</v>
      </c>
      <c r="S61" s="24">
        <v>4370</v>
      </c>
      <c r="T61" s="31"/>
      <c r="V61" s="31" t="s">
        <v>24</v>
      </c>
      <c r="W61" s="29"/>
      <c r="X61" s="32">
        <f t="shared" si="7"/>
        <v>0</v>
      </c>
      <c r="Y61" s="33"/>
      <c r="Z61" s="31">
        <f t="shared" si="8"/>
        <v>0</v>
      </c>
      <c r="AA61" s="31">
        <f t="shared" si="9"/>
        <v>4367.0000000000009</v>
      </c>
    </row>
    <row r="62" spans="1:27" s="38" customFormat="1" ht="15.75" x14ac:dyDescent="0.25">
      <c r="A62" s="51">
        <v>59</v>
      </c>
      <c r="B62" s="22">
        <v>45993</v>
      </c>
      <c r="C62" s="22">
        <v>45994</v>
      </c>
      <c r="D62" s="61" t="s">
        <v>183</v>
      </c>
      <c r="E62" s="24"/>
      <c r="F62" s="24"/>
      <c r="G62" s="24"/>
      <c r="H62" s="54"/>
      <c r="I62" s="59" t="s">
        <v>178</v>
      </c>
      <c r="J62" s="20" t="s">
        <v>23</v>
      </c>
      <c r="K62" s="60" t="s">
        <v>30</v>
      </c>
      <c r="L62" s="27" t="s">
        <v>179</v>
      </c>
      <c r="M62" s="24" t="s">
        <v>31</v>
      </c>
      <c r="N62" s="37">
        <v>10.24</v>
      </c>
      <c r="O62" s="24">
        <v>3.78</v>
      </c>
      <c r="P62" s="28">
        <f t="shared" si="5"/>
        <v>6.4600000000000009</v>
      </c>
      <c r="Q62" s="24">
        <v>150</v>
      </c>
      <c r="R62" s="30">
        <f t="shared" si="10"/>
        <v>969.00000000000011</v>
      </c>
      <c r="S62" s="24">
        <v>970</v>
      </c>
      <c r="T62" s="31">
        <v>30</v>
      </c>
      <c r="V62" s="31" t="s">
        <v>24</v>
      </c>
      <c r="W62" s="29"/>
      <c r="X62" s="32">
        <f t="shared" si="7"/>
        <v>0</v>
      </c>
      <c r="Y62" s="33"/>
      <c r="Z62" s="31">
        <f t="shared" si="8"/>
        <v>0</v>
      </c>
      <c r="AA62" s="31">
        <f t="shared" si="9"/>
        <v>969.00000000000011</v>
      </c>
    </row>
    <row r="63" spans="1:27" s="38" customFormat="1" ht="15.75" x14ac:dyDescent="0.25">
      <c r="A63" s="51">
        <v>60</v>
      </c>
      <c r="B63" s="22">
        <v>45993</v>
      </c>
      <c r="C63" s="22">
        <v>45994</v>
      </c>
      <c r="D63" s="27">
        <v>251203001</v>
      </c>
      <c r="E63" s="24" t="s">
        <v>184</v>
      </c>
      <c r="F63" s="24" t="s">
        <v>185</v>
      </c>
      <c r="G63" s="24">
        <v>21</v>
      </c>
      <c r="H63" s="35">
        <v>108</v>
      </c>
      <c r="I63" s="43" t="s">
        <v>159</v>
      </c>
      <c r="J63" s="58" t="s">
        <v>23</v>
      </c>
      <c r="K63" s="21" t="s">
        <v>32</v>
      </c>
      <c r="L63" s="27" t="s">
        <v>160</v>
      </c>
      <c r="M63" s="24" t="s">
        <v>36</v>
      </c>
      <c r="N63" s="24">
        <v>36.26</v>
      </c>
      <c r="O63" s="37">
        <v>14.36</v>
      </c>
      <c r="P63" s="28">
        <f t="shared" si="5"/>
        <v>21.9</v>
      </c>
      <c r="Q63" s="24">
        <v>620</v>
      </c>
      <c r="R63" s="30">
        <f t="shared" si="10"/>
        <v>13578</v>
      </c>
      <c r="S63" s="24"/>
      <c r="T63" s="31"/>
      <c r="V63" s="31" t="s">
        <v>24</v>
      </c>
      <c r="W63" s="29">
        <v>145</v>
      </c>
      <c r="X63" s="32">
        <f t="shared" si="7"/>
        <v>3175.5</v>
      </c>
      <c r="Y63" s="33"/>
      <c r="Z63" s="31">
        <f t="shared" si="8"/>
        <v>0</v>
      </c>
      <c r="AA63" s="31">
        <f t="shared" si="9"/>
        <v>16753.5</v>
      </c>
    </row>
    <row r="64" spans="1:27" s="38" customFormat="1" ht="15.75" x14ac:dyDescent="0.25">
      <c r="A64" s="51">
        <v>61</v>
      </c>
      <c r="B64" s="22">
        <v>45993</v>
      </c>
      <c r="C64" s="22">
        <v>45994</v>
      </c>
      <c r="D64" s="27">
        <v>251203002</v>
      </c>
      <c r="E64" s="24" t="s">
        <v>186</v>
      </c>
      <c r="F64" s="24" t="s">
        <v>187</v>
      </c>
      <c r="G64" s="24">
        <v>22</v>
      </c>
      <c r="H64" s="35">
        <v>108</v>
      </c>
      <c r="I64" s="43" t="s">
        <v>159</v>
      </c>
      <c r="J64" s="58" t="s">
        <v>23</v>
      </c>
      <c r="K64" s="59" t="s">
        <v>32</v>
      </c>
      <c r="L64" s="36" t="s">
        <v>188</v>
      </c>
      <c r="M64" s="24" t="s">
        <v>34</v>
      </c>
      <c r="N64" s="37">
        <v>36.56</v>
      </c>
      <c r="O64" s="37">
        <v>14.24</v>
      </c>
      <c r="P64" s="28">
        <f t="shared" si="5"/>
        <v>22.32</v>
      </c>
      <c r="Q64" s="24">
        <v>420</v>
      </c>
      <c r="R64" s="30">
        <f t="shared" si="10"/>
        <v>9374.4</v>
      </c>
      <c r="S64" s="24"/>
      <c r="T64" s="31"/>
      <c r="V64" s="31" t="s">
        <v>24</v>
      </c>
      <c r="W64" s="29">
        <v>145</v>
      </c>
      <c r="X64" s="32">
        <f t="shared" si="7"/>
        <v>3236.4</v>
      </c>
      <c r="Y64" s="33"/>
      <c r="Z64" s="31">
        <f t="shared" si="8"/>
        <v>0</v>
      </c>
      <c r="AA64" s="31">
        <f t="shared" si="9"/>
        <v>12610.8</v>
      </c>
    </row>
    <row r="65" spans="1:38" s="38" customFormat="1" ht="15.75" x14ac:dyDescent="0.25">
      <c r="A65" s="51">
        <v>62</v>
      </c>
      <c r="B65" s="22">
        <v>45993</v>
      </c>
      <c r="C65" s="22">
        <v>45994</v>
      </c>
      <c r="D65" s="27">
        <v>251203003</v>
      </c>
      <c r="E65" s="24" t="s">
        <v>189</v>
      </c>
      <c r="F65" s="24" t="s">
        <v>190</v>
      </c>
      <c r="G65" s="24">
        <v>44</v>
      </c>
      <c r="H65" s="35">
        <v>115</v>
      </c>
      <c r="I65" s="19" t="s">
        <v>35</v>
      </c>
      <c r="J65" s="20" t="s">
        <v>23</v>
      </c>
      <c r="K65" s="21" t="s">
        <v>32</v>
      </c>
      <c r="L65" s="27" t="s">
        <v>54</v>
      </c>
      <c r="M65" s="24" t="s">
        <v>34</v>
      </c>
      <c r="N65" s="37">
        <v>59.06</v>
      </c>
      <c r="O65" s="24">
        <v>14.94</v>
      </c>
      <c r="P65" s="28">
        <f t="shared" si="5"/>
        <v>44.120000000000005</v>
      </c>
      <c r="Q65" s="24">
        <v>315</v>
      </c>
      <c r="R65" s="30">
        <f t="shared" si="10"/>
        <v>13897.800000000001</v>
      </c>
      <c r="S65" s="24"/>
      <c r="T65" s="31"/>
      <c r="V65" s="31" t="s">
        <v>24</v>
      </c>
      <c r="W65" s="29">
        <v>145</v>
      </c>
      <c r="X65" s="32">
        <f t="shared" si="7"/>
        <v>6397.4000000000005</v>
      </c>
      <c r="Y65" s="33">
        <v>260</v>
      </c>
      <c r="Z65" s="31">
        <f t="shared" si="8"/>
        <v>11471.2</v>
      </c>
      <c r="AA65" s="31">
        <f t="shared" si="9"/>
        <v>31766.400000000001</v>
      </c>
    </row>
    <row r="66" spans="1:38" s="38" customFormat="1" ht="15.75" x14ac:dyDescent="0.25">
      <c r="A66" s="51">
        <v>63</v>
      </c>
      <c r="B66" s="22">
        <v>45993</v>
      </c>
      <c r="C66" s="22">
        <v>45994</v>
      </c>
      <c r="D66" s="27">
        <v>251203004</v>
      </c>
      <c r="E66" s="24" t="s">
        <v>191</v>
      </c>
      <c r="F66" s="24" t="s">
        <v>192</v>
      </c>
      <c r="G66" s="24">
        <v>60</v>
      </c>
      <c r="H66" s="25">
        <v>42</v>
      </c>
      <c r="I66" s="43" t="s">
        <v>52</v>
      </c>
      <c r="J66" s="18" t="s">
        <v>23</v>
      </c>
      <c r="K66" s="19" t="s">
        <v>32</v>
      </c>
      <c r="L66" s="27" t="s">
        <v>46</v>
      </c>
      <c r="M66" s="24" t="s">
        <v>36</v>
      </c>
      <c r="N66" s="37">
        <v>77.5</v>
      </c>
      <c r="O66" s="24">
        <v>17.3</v>
      </c>
      <c r="P66" s="28">
        <f t="shared" si="5"/>
        <v>60.2</v>
      </c>
      <c r="Q66" s="24">
        <v>525</v>
      </c>
      <c r="R66" s="30">
        <f t="shared" si="10"/>
        <v>31605</v>
      </c>
      <c r="S66" s="24"/>
      <c r="T66" s="31"/>
      <c r="V66" s="31" t="s">
        <v>24</v>
      </c>
      <c r="W66" s="29">
        <v>145</v>
      </c>
      <c r="X66" s="32">
        <f t="shared" si="7"/>
        <v>8729</v>
      </c>
      <c r="Y66" s="33">
        <v>260</v>
      </c>
      <c r="Z66" s="31">
        <f t="shared" si="8"/>
        <v>15652</v>
      </c>
      <c r="AA66" s="31">
        <f t="shared" si="9"/>
        <v>55986</v>
      </c>
    </row>
    <row r="67" spans="1:38" s="34" customFormat="1" ht="15.75" x14ac:dyDescent="0.25">
      <c r="A67" s="51">
        <v>64</v>
      </c>
      <c r="B67" s="22">
        <v>45993</v>
      </c>
      <c r="C67" s="22">
        <v>45994</v>
      </c>
      <c r="D67" s="27">
        <v>251203005</v>
      </c>
      <c r="E67" s="24" t="s">
        <v>193</v>
      </c>
      <c r="F67" s="24" t="s">
        <v>194</v>
      </c>
      <c r="G67" s="24">
        <v>42</v>
      </c>
      <c r="H67" s="25">
        <v>42</v>
      </c>
      <c r="I67" s="43" t="s">
        <v>52</v>
      </c>
      <c r="J67" s="18" t="s">
        <v>23</v>
      </c>
      <c r="K67" s="19" t="s">
        <v>32</v>
      </c>
      <c r="L67" s="24" t="s">
        <v>61</v>
      </c>
      <c r="M67" s="24" t="s">
        <v>34</v>
      </c>
      <c r="N67" s="37">
        <v>58.64</v>
      </c>
      <c r="O67" s="37">
        <v>15.68</v>
      </c>
      <c r="P67" s="28">
        <f t="shared" si="5"/>
        <v>42.96</v>
      </c>
      <c r="Q67" s="29">
        <v>285</v>
      </c>
      <c r="R67" s="30">
        <f t="shared" si="10"/>
        <v>12243.6</v>
      </c>
      <c r="S67" s="29"/>
      <c r="T67" s="31"/>
      <c r="V67" s="31" t="s">
        <v>24</v>
      </c>
      <c r="W67" s="29">
        <v>145</v>
      </c>
      <c r="X67" s="32">
        <f t="shared" si="7"/>
        <v>6229.2</v>
      </c>
      <c r="Y67" s="33">
        <v>260</v>
      </c>
      <c r="Z67" s="31">
        <f t="shared" si="8"/>
        <v>11169.6</v>
      </c>
      <c r="AA67" s="31">
        <f t="shared" si="9"/>
        <v>29642.400000000001</v>
      </c>
    </row>
    <row r="68" spans="1:38" s="34" customFormat="1" ht="15.75" x14ac:dyDescent="0.25">
      <c r="A68" s="51">
        <v>65</v>
      </c>
      <c r="B68" s="22">
        <v>45993</v>
      </c>
      <c r="C68" s="22">
        <v>45994</v>
      </c>
      <c r="D68" s="27">
        <v>251203006</v>
      </c>
      <c r="E68" s="24" t="s">
        <v>195</v>
      </c>
      <c r="F68" s="24" t="s">
        <v>196</v>
      </c>
      <c r="G68" s="24">
        <v>35</v>
      </c>
      <c r="H68" s="35">
        <v>117</v>
      </c>
      <c r="I68" s="44" t="s">
        <v>55</v>
      </c>
      <c r="J68" s="20" t="s">
        <v>23</v>
      </c>
      <c r="K68" s="19" t="s">
        <v>32</v>
      </c>
      <c r="L68" s="27" t="s">
        <v>47</v>
      </c>
      <c r="M68" s="24" t="s">
        <v>36</v>
      </c>
      <c r="N68" s="37">
        <v>46.54</v>
      </c>
      <c r="O68" s="24">
        <v>11.38</v>
      </c>
      <c r="P68" s="28">
        <f t="shared" si="5"/>
        <v>35.159999999999997</v>
      </c>
      <c r="Q68" s="29">
        <v>555</v>
      </c>
      <c r="R68" s="30">
        <f t="shared" si="10"/>
        <v>19513.8</v>
      </c>
      <c r="S68" s="29"/>
      <c r="T68" s="31"/>
      <c r="V68" s="31" t="s">
        <v>24</v>
      </c>
      <c r="W68" s="29">
        <v>145</v>
      </c>
      <c r="X68" s="32">
        <f t="shared" si="7"/>
        <v>5098.2</v>
      </c>
      <c r="Y68" s="33">
        <v>230</v>
      </c>
      <c r="Z68" s="31">
        <f t="shared" si="8"/>
        <v>8086.7999999999993</v>
      </c>
      <c r="AA68" s="31">
        <f t="shared" si="9"/>
        <v>32698.799999999999</v>
      </c>
    </row>
    <row r="69" spans="1:38" s="38" customFormat="1" ht="15.75" x14ac:dyDescent="0.25">
      <c r="A69" s="51">
        <v>66</v>
      </c>
      <c r="B69" s="22">
        <v>45993</v>
      </c>
      <c r="C69" s="22">
        <v>45994</v>
      </c>
      <c r="D69" s="27">
        <v>251203007</v>
      </c>
      <c r="E69" s="24" t="s">
        <v>197</v>
      </c>
      <c r="F69" s="24" t="s">
        <v>198</v>
      </c>
      <c r="G69" s="24">
        <v>45</v>
      </c>
      <c r="H69" s="25">
        <v>24</v>
      </c>
      <c r="I69" s="43" t="s">
        <v>199</v>
      </c>
      <c r="J69" s="18" t="s">
        <v>23</v>
      </c>
      <c r="K69" s="19" t="s">
        <v>32</v>
      </c>
      <c r="L69" s="27" t="s">
        <v>40</v>
      </c>
      <c r="M69" s="24" t="s">
        <v>34</v>
      </c>
      <c r="N69" s="37">
        <v>60.5</v>
      </c>
      <c r="O69" s="37">
        <v>15.12</v>
      </c>
      <c r="P69" s="28">
        <f t="shared" si="5"/>
        <v>45.38</v>
      </c>
      <c r="Q69" s="29">
        <v>335</v>
      </c>
      <c r="R69" s="30">
        <f t="shared" si="10"/>
        <v>15202.300000000001</v>
      </c>
      <c r="S69" s="29"/>
      <c r="T69" s="31"/>
      <c r="V69" s="31" t="s">
        <v>24</v>
      </c>
      <c r="W69" s="29">
        <v>145</v>
      </c>
      <c r="X69" s="32">
        <f t="shared" si="7"/>
        <v>6580.1</v>
      </c>
      <c r="Y69" s="33">
        <v>260</v>
      </c>
      <c r="Z69" s="33">
        <f t="shared" si="8"/>
        <v>11798.800000000001</v>
      </c>
      <c r="AA69" s="31">
        <f t="shared" si="9"/>
        <v>33581.200000000004</v>
      </c>
    </row>
    <row r="70" spans="1:38" s="34" customFormat="1" ht="15.75" x14ac:dyDescent="0.25">
      <c r="A70" s="51">
        <v>67</v>
      </c>
      <c r="B70" s="22">
        <v>45993</v>
      </c>
      <c r="C70" s="22">
        <v>45994</v>
      </c>
      <c r="D70" s="27">
        <v>251203008</v>
      </c>
      <c r="E70" s="24" t="s">
        <v>200</v>
      </c>
      <c r="F70" s="24" t="s">
        <v>201</v>
      </c>
      <c r="G70" s="24">
        <v>36</v>
      </c>
      <c r="H70" s="25">
        <v>24</v>
      </c>
      <c r="I70" s="43" t="s">
        <v>199</v>
      </c>
      <c r="J70" s="18" t="s">
        <v>23</v>
      </c>
      <c r="K70" s="19" t="s">
        <v>32</v>
      </c>
      <c r="L70" s="27" t="s">
        <v>202</v>
      </c>
      <c r="M70" s="24" t="s">
        <v>34</v>
      </c>
      <c r="N70" s="24">
        <v>47.44</v>
      </c>
      <c r="O70" s="37">
        <v>11.34</v>
      </c>
      <c r="P70" s="28">
        <f t="shared" si="5"/>
        <v>36.099999999999994</v>
      </c>
      <c r="Q70" s="29">
        <v>335</v>
      </c>
      <c r="R70" s="30">
        <f t="shared" si="10"/>
        <v>12093.499999999998</v>
      </c>
      <c r="S70" s="29"/>
      <c r="T70" s="31"/>
      <c r="V70" s="31" t="s">
        <v>24</v>
      </c>
      <c r="W70" s="29">
        <v>145</v>
      </c>
      <c r="X70" s="32">
        <f t="shared" si="7"/>
        <v>5234.4999999999991</v>
      </c>
      <c r="Y70" s="33">
        <v>260</v>
      </c>
      <c r="Z70" s="33">
        <f t="shared" si="8"/>
        <v>9385.9999999999982</v>
      </c>
      <c r="AA70" s="31">
        <f t="shared" si="9"/>
        <v>26713.999999999993</v>
      </c>
    </row>
    <row r="71" spans="1:38" s="34" customFormat="1" ht="15.75" x14ac:dyDescent="0.25">
      <c r="A71" s="51">
        <v>68</v>
      </c>
      <c r="B71" s="22">
        <v>45994</v>
      </c>
      <c r="C71" s="22">
        <v>45994</v>
      </c>
      <c r="D71" s="62" t="s">
        <v>203</v>
      </c>
      <c r="E71" s="24"/>
      <c r="F71" s="24"/>
      <c r="G71" s="24"/>
      <c r="H71" s="46">
        <v>364</v>
      </c>
      <c r="I71" s="63" t="s">
        <v>204</v>
      </c>
      <c r="J71" s="20" t="s">
        <v>23</v>
      </c>
      <c r="K71" s="19" t="s">
        <v>32</v>
      </c>
      <c r="L71" s="27" t="s">
        <v>205</v>
      </c>
      <c r="M71" s="24" t="s">
        <v>31</v>
      </c>
      <c r="N71" s="24">
        <v>19.36</v>
      </c>
      <c r="O71" s="24">
        <v>7.36</v>
      </c>
      <c r="P71" s="28">
        <f t="shared" si="5"/>
        <v>12</v>
      </c>
      <c r="Q71" s="29">
        <v>130</v>
      </c>
      <c r="R71" s="30">
        <f t="shared" si="10"/>
        <v>1560</v>
      </c>
      <c r="S71" s="29"/>
      <c r="T71" s="31"/>
      <c r="V71" s="31" t="s">
        <v>53</v>
      </c>
      <c r="W71" s="29"/>
      <c r="X71" s="32">
        <f t="shared" ref="X71:X90" si="11">W71*P71</f>
        <v>0</v>
      </c>
      <c r="Y71" s="33"/>
      <c r="Z71" s="31">
        <f t="shared" ref="Z71:Z90" si="12">Y71*P71</f>
        <v>0</v>
      </c>
      <c r="AA71" s="31">
        <f t="shared" ref="AA71:AA90" si="13">R71+X71+Z71</f>
        <v>1560</v>
      </c>
    </row>
    <row r="72" spans="1:38" s="34" customFormat="1" ht="15.75" x14ac:dyDescent="0.25">
      <c r="A72" s="51">
        <v>69</v>
      </c>
      <c r="B72" s="22">
        <v>45994</v>
      </c>
      <c r="C72" s="22">
        <v>45994</v>
      </c>
      <c r="D72" s="23">
        <v>251203009</v>
      </c>
      <c r="E72" s="24" t="s">
        <v>206</v>
      </c>
      <c r="F72" s="24" t="s">
        <v>207</v>
      </c>
      <c r="G72" s="24">
        <v>22</v>
      </c>
      <c r="H72" s="35">
        <v>108</v>
      </c>
      <c r="I72" s="43" t="s">
        <v>159</v>
      </c>
      <c r="J72" s="58" t="s">
        <v>23</v>
      </c>
      <c r="K72" s="21" t="s">
        <v>32</v>
      </c>
      <c r="L72" s="27" t="s">
        <v>160</v>
      </c>
      <c r="M72" s="24" t="s">
        <v>36</v>
      </c>
      <c r="N72" s="24">
        <v>36.82</v>
      </c>
      <c r="O72" s="24">
        <v>14.34</v>
      </c>
      <c r="P72" s="28">
        <f t="shared" si="5"/>
        <v>22.48</v>
      </c>
      <c r="Q72" s="29">
        <v>620</v>
      </c>
      <c r="R72" s="30">
        <f t="shared" si="10"/>
        <v>13937.6</v>
      </c>
      <c r="S72" s="29"/>
      <c r="T72" s="31"/>
      <c r="V72" s="31" t="s">
        <v>24</v>
      </c>
      <c r="W72" s="29">
        <v>145</v>
      </c>
      <c r="X72" s="32">
        <f t="shared" si="11"/>
        <v>3259.6</v>
      </c>
      <c r="Y72" s="33"/>
      <c r="Z72" s="33">
        <f t="shared" si="12"/>
        <v>0</v>
      </c>
      <c r="AA72" s="31">
        <f t="shared" si="13"/>
        <v>17197.2</v>
      </c>
    </row>
    <row r="73" spans="1:38" s="34" customFormat="1" ht="15.75" x14ac:dyDescent="0.25">
      <c r="A73" s="51">
        <v>70</v>
      </c>
      <c r="B73" s="22">
        <v>45994</v>
      </c>
      <c r="C73" s="22">
        <v>45994</v>
      </c>
      <c r="D73" s="23">
        <v>251203010</v>
      </c>
      <c r="E73" s="24" t="s">
        <v>208</v>
      </c>
      <c r="F73" s="24" t="s">
        <v>209</v>
      </c>
      <c r="G73" s="24">
        <v>22</v>
      </c>
      <c r="H73" s="35">
        <v>108</v>
      </c>
      <c r="I73" s="43" t="s">
        <v>159</v>
      </c>
      <c r="J73" s="58" t="s">
        <v>23</v>
      </c>
      <c r="K73" s="21" t="s">
        <v>32</v>
      </c>
      <c r="L73" s="27" t="s">
        <v>188</v>
      </c>
      <c r="M73" s="24" t="s">
        <v>36</v>
      </c>
      <c r="N73" s="24">
        <v>36.9</v>
      </c>
      <c r="O73" s="24">
        <v>14.4</v>
      </c>
      <c r="P73" s="28">
        <f t="shared" si="5"/>
        <v>22.5</v>
      </c>
      <c r="Q73" s="29">
        <v>620</v>
      </c>
      <c r="R73" s="30">
        <f t="shared" si="10"/>
        <v>13950</v>
      </c>
      <c r="S73" s="29"/>
      <c r="T73" s="31"/>
      <c r="V73" s="31" t="s">
        <v>24</v>
      </c>
      <c r="W73" s="29">
        <v>145</v>
      </c>
      <c r="X73" s="32">
        <f t="shared" si="11"/>
        <v>3262.5</v>
      </c>
      <c r="Y73" s="33"/>
      <c r="Z73" s="33">
        <f t="shared" si="12"/>
        <v>0</v>
      </c>
      <c r="AA73" s="31">
        <f t="shared" si="13"/>
        <v>17212.5</v>
      </c>
    </row>
    <row r="74" spans="1:38" s="34" customFormat="1" ht="15.75" x14ac:dyDescent="0.25">
      <c r="A74" s="51">
        <v>71</v>
      </c>
      <c r="B74" s="22">
        <v>45994</v>
      </c>
      <c r="C74" s="22">
        <v>45994</v>
      </c>
      <c r="D74" s="23">
        <v>251203011</v>
      </c>
      <c r="E74" s="24" t="s">
        <v>210</v>
      </c>
      <c r="F74" s="24" t="s">
        <v>211</v>
      </c>
      <c r="G74" s="24">
        <v>38</v>
      </c>
      <c r="H74" s="35">
        <v>115</v>
      </c>
      <c r="I74" s="19" t="s">
        <v>35</v>
      </c>
      <c r="J74" s="20" t="s">
        <v>23</v>
      </c>
      <c r="K74" s="21" t="s">
        <v>32</v>
      </c>
      <c r="L74" s="27" t="s">
        <v>44</v>
      </c>
      <c r="M74" s="24" t="s">
        <v>37</v>
      </c>
      <c r="N74" s="24">
        <v>50.76</v>
      </c>
      <c r="O74" s="24">
        <v>11.76</v>
      </c>
      <c r="P74" s="28">
        <f t="shared" si="5"/>
        <v>39</v>
      </c>
      <c r="Q74" s="29">
        <v>445</v>
      </c>
      <c r="R74" s="30">
        <f t="shared" si="10"/>
        <v>17355</v>
      </c>
      <c r="S74" s="29"/>
      <c r="T74" s="31"/>
      <c r="V74" s="31" t="s">
        <v>24</v>
      </c>
      <c r="W74" s="29">
        <v>145</v>
      </c>
      <c r="X74" s="32">
        <f t="shared" si="11"/>
        <v>5655</v>
      </c>
      <c r="Y74" s="33">
        <v>260</v>
      </c>
      <c r="Z74" s="33">
        <f t="shared" si="12"/>
        <v>10140</v>
      </c>
      <c r="AA74" s="31">
        <f t="shared" si="13"/>
        <v>33150</v>
      </c>
    </row>
    <row r="75" spans="1:38" s="34" customFormat="1" ht="15.75" x14ac:dyDescent="0.25">
      <c r="A75" s="51">
        <v>72</v>
      </c>
      <c r="B75" s="22">
        <v>45994</v>
      </c>
      <c r="C75" s="22">
        <v>45994</v>
      </c>
      <c r="D75" s="23">
        <v>251203012</v>
      </c>
      <c r="E75" s="24" t="s">
        <v>212</v>
      </c>
      <c r="F75" s="24" t="s">
        <v>213</v>
      </c>
      <c r="G75" s="24">
        <v>38</v>
      </c>
      <c r="H75" s="35">
        <v>115</v>
      </c>
      <c r="I75" s="19" t="s">
        <v>35</v>
      </c>
      <c r="J75" s="20" t="s">
        <v>23</v>
      </c>
      <c r="K75" s="21" t="s">
        <v>32</v>
      </c>
      <c r="L75" s="27" t="s">
        <v>42</v>
      </c>
      <c r="M75" s="24" t="s">
        <v>37</v>
      </c>
      <c r="N75" s="37">
        <v>50.7</v>
      </c>
      <c r="O75" s="24">
        <v>12.16</v>
      </c>
      <c r="P75" s="28">
        <f t="shared" si="5"/>
        <v>38.540000000000006</v>
      </c>
      <c r="Q75" s="29">
        <v>445</v>
      </c>
      <c r="R75" s="30">
        <f t="shared" si="10"/>
        <v>17150.300000000003</v>
      </c>
      <c r="S75" s="29"/>
      <c r="T75" s="31"/>
      <c r="V75" s="31" t="s">
        <v>24</v>
      </c>
      <c r="W75" s="29">
        <v>145</v>
      </c>
      <c r="X75" s="32">
        <f t="shared" si="11"/>
        <v>5588.3000000000011</v>
      </c>
      <c r="Y75" s="33">
        <v>260</v>
      </c>
      <c r="Z75" s="33">
        <f t="shared" si="12"/>
        <v>10020.400000000001</v>
      </c>
      <c r="AA75" s="31">
        <f t="shared" si="13"/>
        <v>32759.000000000007</v>
      </c>
    </row>
    <row r="76" spans="1:38" s="38" customFormat="1" ht="15.75" x14ac:dyDescent="0.25">
      <c r="A76" s="51">
        <v>73</v>
      </c>
      <c r="B76" s="22">
        <v>45994</v>
      </c>
      <c r="C76" s="22">
        <v>45994</v>
      </c>
      <c r="D76" s="23">
        <v>251203013</v>
      </c>
      <c r="E76" s="24" t="s">
        <v>214</v>
      </c>
      <c r="F76" s="24" t="s">
        <v>215</v>
      </c>
      <c r="G76" s="24">
        <v>39</v>
      </c>
      <c r="H76" s="35">
        <v>115</v>
      </c>
      <c r="I76" s="19" t="s">
        <v>35</v>
      </c>
      <c r="J76" s="20" t="s">
        <v>23</v>
      </c>
      <c r="K76" s="21" t="s">
        <v>32</v>
      </c>
      <c r="L76" s="27" t="s">
        <v>41</v>
      </c>
      <c r="M76" s="24" t="s">
        <v>37</v>
      </c>
      <c r="N76" s="37">
        <v>51.16</v>
      </c>
      <c r="O76" s="24">
        <v>11.82</v>
      </c>
      <c r="P76" s="28">
        <f t="shared" si="5"/>
        <v>39.339999999999996</v>
      </c>
      <c r="Q76" s="29">
        <v>445</v>
      </c>
      <c r="R76" s="30">
        <f t="shared" si="10"/>
        <v>17506.3</v>
      </c>
      <c r="S76" s="29"/>
      <c r="T76" s="31"/>
      <c r="V76" s="31" t="s">
        <v>24</v>
      </c>
      <c r="W76" s="29">
        <v>145</v>
      </c>
      <c r="X76" s="32">
        <f t="shared" si="11"/>
        <v>5704.2999999999993</v>
      </c>
      <c r="Y76" s="33">
        <v>260</v>
      </c>
      <c r="Z76" s="33">
        <f t="shared" si="12"/>
        <v>10228.4</v>
      </c>
      <c r="AA76" s="31">
        <f t="shared" si="13"/>
        <v>33439</v>
      </c>
    </row>
    <row r="77" spans="1:38" s="34" customFormat="1" ht="15.75" x14ac:dyDescent="0.25">
      <c r="A77" s="51">
        <v>74</v>
      </c>
      <c r="B77" s="22">
        <v>45994</v>
      </c>
      <c r="C77" s="22">
        <v>45994</v>
      </c>
      <c r="D77" s="23">
        <v>251203014</v>
      </c>
      <c r="E77" s="24" t="s">
        <v>216</v>
      </c>
      <c r="F77" s="24" t="s">
        <v>217</v>
      </c>
      <c r="G77" s="24">
        <v>45</v>
      </c>
      <c r="H77" s="35">
        <v>115</v>
      </c>
      <c r="I77" s="19" t="s">
        <v>35</v>
      </c>
      <c r="J77" s="20" t="s">
        <v>23</v>
      </c>
      <c r="K77" s="21" t="s">
        <v>32</v>
      </c>
      <c r="L77" s="27" t="s">
        <v>59</v>
      </c>
      <c r="M77" s="24" t="s">
        <v>36</v>
      </c>
      <c r="N77" s="37">
        <v>62.98</v>
      </c>
      <c r="O77" s="37">
        <v>17.52</v>
      </c>
      <c r="P77" s="28">
        <f t="shared" si="5"/>
        <v>45.459999999999994</v>
      </c>
      <c r="Q77" s="29">
        <v>545</v>
      </c>
      <c r="R77" s="30">
        <f t="shared" si="10"/>
        <v>24775.699999999997</v>
      </c>
      <c r="S77" s="29"/>
      <c r="T77" s="31"/>
      <c r="V77" s="31" t="s">
        <v>24</v>
      </c>
      <c r="W77" s="29">
        <v>145</v>
      </c>
      <c r="X77" s="32">
        <f t="shared" si="11"/>
        <v>6591.6999999999989</v>
      </c>
      <c r="Y77" s="33">
        <v>260</v>
      </c>
      <c r="Z77" s="31">
        <f t="shared" si="12"/>
        <v>11819.599999999999</v>
      </c>
      <c r="AA77" s="31">
        <f t="shared" si="13"/>
        <v>43186.999999999993</v>
      </c>
    </row>
    <row r="78" spans="1:38" s="34" customFormat="1" ht="15.75" x14ac:dyDescent="0.25">
      <c r="A78" s="51">
        <v>75</v>
      </c>
      <c r="B78" s="22">
        <v>45994</v>
      </c>
      <c r="C78" s="22">
        <v>45994</v>
      </c>
      <c r="D78" s="23">
        <v>251203015</v>
      </c>
      <c r="E78" s="24" t="s">
        <v>218</v>
      </c>
      <c r="F78" s="24" t="s">
        <v>219</v>
      </c>
      <c r="G78" s="24">
        <v>46</v>
      </c>
      <c r="H78" s="35">
        <v>115</v>
      </c>
      <c r="I78" s="19" t="s">
        <v>35</v>
      </c>
      <c r="J78" s="20" t="s">
        <v>23</v>
      </c>
      <c r="K78" s="21" t="s">
        <v>32</v>
      </c>
      <c r="L78" s="27" t="s">
        <v>54</v>
      </c>
      <c r="M78" s="24" t="s">
        <v>36</v>
      </c>
      <c r="N78" s="37">
        <v>61.2</v>
      </c>
      <c r="O78" s="37">
        <v>14.84</v>
      </c>
      <c r="P78" s="28">
        <f t="shared" si="5"/>
        <v>46.36</v>
      </c>
      <c r="Q78" s="29">
        <v>545</v>
      </c>
      <c r="R78" s="30">
        <f t="shared" si="10"/>
        <v>25266.2</v>
      </c>
      <c r="S78" s="29"/>
      <c r="T78" s="31"/>
      <c r="V78" s="31" t="s">
        <v>24</v>
      </c>
      <c r="W78" s="29">
        <v>145</v>
      </c>
      <c r="X78" s="32">
        <f t="shared" si="11"/>
        <v>6722.2</v>
      </c>
      <c r="Y78" s="33">
        <v>260</v>
      </c>
      <c r="Z78" s="33">
        <f t="shared" si="12"/>
        <v>12053.6</v>
      </c>
      <c r="AA78" s="31">
        <f t="shared" si="13"/>
        <v>44042</v>
      </c>
    </row>
    <row r="79" spans="1:38" s="34" customFormat="1" ht="15.75" x14ac:dyDescent="0.25">
      <c r="A79" s="51">
        <v>76</v>
      </c>
      <c r="B79" s="22">
        <v>45994</v>
      </c>
      <c r="C79" s="22">
        <v>45994</v>
      </c>
      <c r="D79" s="23">
        <v>251203016</v>
      </c>
      <c r="E79" s="24" t="s">
        <v>220</v>
      </c>
      <c r="F79" s="24" t="s">
        <v>221</v>
      </c>
      <c r="G79" s="24">
        <v>46</v>
      </c>
      <c r="H79" s="35">
        <v>115</v>
      </c>
      <c r="I79" s="19" t="s">
        <v>35</v>
      </c>
      <c r="J79" s="20" t="s">
        <v>23</v>
      </c>
      <c r="K79" s="21" t="s">
        <v>32</v>
      </c>
      <c r="L79" s="27" t="s">
        <v>222</v>
      </c>
      <c r="M79" s="24" t="s">
        <v>36</v>
      </c>
      <c r="N79" s="24">
        <v>61.8</v>
      </c>
      <c r="O79" s="37">
        <v>15.64</v>
      </c>
      <c r="P79" s="28">
        <f t="shared" si="5"/>
        <v>46.16</v>
      </c>
      <c r="Q79" s="29">
        <v>545</v>
      </c>
      <c r="R79" s="30">
        <f t="shared" si="10"/>
        <v>25157.199999999997</v>
      </c>
      <c r="S79" s="29"/>
      <c r="T79" s="31"/>
      <c r="V79" s="31" t="s">
        <v>24</v>
      </c>
      <c r="W79" s="29">
        <v>145</v>
      </c>
      <c r="X79" s="32">
        <f t="shared" si="11"/>
        <v>6693.2</v>
      </c>
      <c r="Y79" s="33">
        <v>260</v>
      </c>
      <c r="Z79" s="33">
        <f t="shared" si="12"/>
        <v>12001.599999999999</v>
      </c>
      <c r="AA79" s="31">
        <f t="shared" si="13"/>
        <v>43852</v>
      </c>
    </row>
    <row r="80" spans="1:38" s="34" customFormat="1" ht="17.100000000000001" customHeight="1" x14ac:dyDescent="0.25">
      <c r="A80" s="51">
        <v>77</v>
      </c>
      <c r="B80" s="22">
        <v>45994</v>
      </c>
      <c r="C80" s="22">
        <v>45994</v>
      </c>
      <c r="D80" s="23">
        <v>251203017</v>
      </c>
      <c r="E80" s="24" t="s">
        <v>223</v>
      </c>
      <c r="F80" s="24" t="s">
        <v>224</v>
      </c>
      <c r="G80" s="24">
        <v>47</v>
      </c>
      <c r="H80" s="35">
        <v>115</v>
      </c>
      <c r="I80" s="19" t="s">
        <v>35</v>
      </c>
      <c r="J80" s="20" t="s">
        <v>23</v>
      </c>
      <c r="K80" s="21" t="s">
        <v>32</v>
      </c>
      <c r="L80" s="27" t="s">
        <v>40</v>
      </c>
      <c r="M80" s="24" t="s">
        <v>36</v>
      </c>
      <c r="N80" s="37">
        <v>62.52</v>
      </c>
      <c r="O80" s="24">
        <v>15.06</v>
      </c>
      <c r="P80" s="28">
        <f t="shared" si="5"/>
        <v>47.46</v>
      </c>
      <c r="Q80" s="29">
        <v>545</v>
      </c>
      <c r="R80" s="30">
        <f t="shared" si="10"/>
        <v>25865.7</v>
      </c>
      <c r="S80" s="29"/>
      <c r="T80" s="31"/>
      <c r="V80" s="31" t="s">
        <v>24</v>
      </c>
      <c r="W80" s="29">
        <v>145</v>
      </c>
      <c r="X80" s="32">
        <f t="shared" si="11"/>
        <v>6881.7</v>
      </c>
      <c r="Y80" s="33">
        <v>260</v>
      </c>
      <c r="Z80" s="33">
        <f t="shared" si="12"/>
        <v>12339.6</v>
      </c>
      <c r="AA80" s="31">
        <f t="shared" si="13"/>
        <v>45087</v>
      </c>
      <c r="AB80" s="40"/>
      <c r="AC80" s="39"/>
      <c r="AD80" s="41"/>
      <c r="AE80" s="42"/>
      <c r="AF80" s="39"/>
      <c r="AG80" s="42"/>
      <c r="AH80" s="39"/>
      <c r="AI80" s="41"/>
      <c r="AJ80" s="39"/>
      <c r="AK80" s="41"/>
      <c r="AL80" s="41"/>
    </row>
    <row r="81" spans="1:27" s="34" customFormat="1" ht="15.75" x14ac:dyDescent="0.25">
      <c r="A81" s="51">
        <v>78</v>
      </c>
      <c r="B81" s="22">
        <v>45994</v>
      </c>
      <c r="C81" s="22">
        <v>45994</v>
      </c>
      <c r="D81" s="23">
        <v>251203018</v>
      </c>
      <c r="E81" s="24" t="s">
        <v>225</v>
      </c>
      <c r="F81" s="24" t="s">
        <v>226</v>
      </c>
      <c r="G81" s="24">
        <v>45</v>
      </c>
      <c r="H81" s="35">
        <v>115</v>
      </c>
      <c r="I81" s="19" t="s">
        <v>35</v>
      </c>
      <c r="J81" s="20" t="s">
        <v>23</v>
      </c>
      <c r="K81" s="21" t="s">
        <v>32</v>
      </c>
      <c r="L81" s="27" t="s">
        <v>38</v>
      </c>
      <c r="M81" s="24" t="s">
        <v>36</v>
      </c>
      <c r="N81" s="37">
        <v>61.1</v>
      </c>
      <c r="O81" s="37">
        <v>15.88</v>
      </c>
      <c r="P81" s="28">
        <f t="shared" si="5"/>
        <v>45.22</v>
      </c>
      <c r="Q81" s="29">
        <v>545</v>
      </c>
      <c r="R81" s="30">
        <f t="shared" si="10"/>
        <v>24644.899999999998</v>
      </c>
      <c r="S81" s="29"/>
      <c r="T81" s="31"/>
      <c r="V81" s="31" t="s">
        <v>24</v>
      </c>
      <c r="W81" s="29">
        <v>145</v>
      </c>
      <c r="X81" s="32">
        <f t="shared" si="11"/>
        <v>6556.9</v>
      </c>
      <c r="Y81" s="33">
        <v>260</v>
      </c>
      <c r="Z81" s="33">
        <f t="shared" si="12"/>
        <v>11757.199999999999</v>
      </c>
      <c r="AA81" s="31">
        <f t="shared" si="13"/>
        <v>42958.999999999993</v>
      </c>
    </row>
    <row r="82" spans="1:27" s="34" customFormat="1" ht="15.75" x14ac:dyDescent="0.25">
      <c r="A82" s="51">
        <v>79</v>
      </c>
      <c r="B82" s="22">
        <v>45994</v>
      </c>
      <c r="C82" s="22">
        <v>45994</v>
      </c>
      <c r="D82" s="62" t="s">
        <v>227</v>
      </c>
      <c r="E82" s="24"/>
      <c r="F82" s="24"/>
      <c r="G82" s="24"/>
      <c r="H82" s="54"/>
      <c r="I82" s="59" t="s">
        <v>228</v>
      </c>
      <c r="J82" s="56" t="s">
        <v>23</v>
      </c>
      <c r="K82" s="60" t="s">
        <v>30</v>
      </c>
      <c r="L82" s="23" t="s">
        <v>68</v>
      </c>
      <c r="M82" s="24" t="s">
        <v>31</v>
      </c>
      <c r="N82" s="37">
        <v>8.36</v>
      </c>
      <c r="O82" s="37">
        <v>3.6</v>
      </c>
      <c r="P82" s="28">
        <f t="shared" si="5"/>
        <v>4.76</v>
      </c>
      <c r="Q82" s="29">
        <v>150</v>
      </c>
      <c r="R82" s="30">
        <f t="shared" si="10"/>
        <v>714</v>
      </c>
      <c r="S82" s="29">
        <v>714</v>
      </c>
      <c r="T82" s="31"/>
      <c r="V82" s="31" t="s">
        <v>24</v>
      </c>
      <c r="W82" s="29"/>
      <c r="X82" s="32">
        <f t="shared" si="11"/>
        <v>0</v>
      </c>
      <c r="Y82" s="33"/>
      <c r="Z82" s="33">
        <f t="shared" si="12"/>
        <v>0</v>
      </c>
      <c r="AA82" s="31">
        <f t="shared" si="13"/>
        <v>714</v>
      </c>
    </row>
    <row r="83" spans="1:27" s="34" customFormat="1" ht="15.75" x14ac:dyDescent="0.25">
      <c r="A83" s="51">
        <v>80</v>
      </c>
      <c r="B83" s="22">
        <v>45994</v>
      </c>
      <c r="C83" s="22">
        <v>45994</v>
      </c>
      <c r="D83" s="23">
        <v>251203019</v>
      </c>
      <c r="E83" s="24" t="s">
        <v>229</v>
      </c>
      <c r="F83" s="24" t="s">
        <v>230</v>
      </c>
      <c r="G83" s="24">
        <v>47</v>
      </c>
      <c r="H83" s="35">
        <v>115</v>
      </c>
      <c r="I83" s="19" t="s">
        <v>35</v>
      </c>
      <c r="J83" s="20" t="s">
        <v>23</v>
      </c>
      <c r="K83" s="21" t="s">
        <v>32</v>
      </c>
      <c r="L83" s="27" t="s">
        <v>75</v>
      </c>
      <c r="M83" s="24" t="s">
        <v>34</v>
      </c>
      <c r="N83" s="37">
        <v>64.22</v>
      </c>
      <c r="O83" s="37">
        <v>16.600000000000001</v>
      </c>
      <c r="P83" s="28">
        <f t="shared" ref="P83:P112" si="14">N83-O83</f>
        <v>47.62</v>
      </c>
      <c r="Q83" s="29">
        <v>315</v>
      </c>
      <c r="R83" s="30">
        <f t="shared" si="10"/>
        <v>15000.3</v>
      </c>
      <c r="S83" s="29"/>
      <c r="T83" s="31"/>
      <c r="V83" s="31" t="s">
        <v>24</v>
      </c>
      <c r="W83" s="29">
        <v>145</v>
      </c>
      <c r="X83" s="32">
        <f t="shared" si="11"/>
        <v>6904.9</v>
      </c>
      <c r="Y83" s="33">
        <v>260</v>
      </c>
      <c r="Z83" s="33">
        <f t="shared" si="12"/>
        <v>12381.199999999999</v>
      </c>
      <c r="AA83" s="31">
        <f t="shared" si="13"/>
        <v>34286.399999999994</v>
      </c>
    </row>
    <row r="84" spans="1:27" s="34" customFormat="1" ht="15.75" x14ac:dyDescent="0.25">
      <c r="A84" s="51">
        <v>81</v>
      </c>
      <c r="B84" s="22">
        <v>45994</v>
      </c>
      <c r="C84" s="22">
        <v>45994</v>
      </c>
      <c r="D84" s="23">
        <v>251203020</v>
      </c>
      <c r="E84" s="24" t="s">
        <v>231</v>
      </c>
      <c r="F84" s="24" t="s">
        <v>232</v>
      </c>
      <c r="G84" s="24">
        <v>61</v>
      </c>
      <c r="H84" s="35">
        <v>115</v>
      </c>
      <c r="I84" s="19" t="s">
        <v>35</v>
      </c>
      <c r="J84" s="20" t="s">
        <v>23</v>
      </c>
      <c r="K84" s="21" t="s">
        <v>32</v>
      </c>
      <c r="L84" s="27" t="s">
        <v>46</v>
      </c>
      <c r="M84" s="24" t="s">
        <v>34</v>
      </c>
      <c r="N84" s="37">
        <v>78.44</v>
      </c>
      <c r="O84" s="37">
        <v>17.22</v>
      </c>
      <c r="P84" s="28">
        <f t="shared" si="14"/>
        <v>61.22</v>
      </c>
      <c r="Q84" s="29">
        <v>315</v>
      </c>
      <c r="R84" s="30">
        <f t="shared" si="10"/>
        <v>19284.3</v>
      </c>
      <c r="S84" s="29"/>
      <c r="T84" s="31"/>
      <c r="V84" s="31" t="s">
        <v>24</v>
      </c>
      <c r="W84" s="29">
        <v>145</v>
      </c>
      <c r="X84" s="32">
        <f t="shared" si="11"/>
        <v>8876.9</v>
      </c>
      <c r="Y84" s="33">
        <v>260</v>
      </c>
      <c r="Z84" s="33">
        <f t="shared" si="12"/>
        <v>15917.199999999999</v>
      </c>
      <c r="AA84" s="31">
        <f t="shared" si="13"/>
        <v>44078.399999999994</v>
      </c>
    </row>
    <row r="85" spans="1:27" s="38" customFormat="1" ht="15.75" x14ac:dyDescent="0.25">
      <c r="A85" s="51">
        <v>82</v>
      </c>
      <c r="B85" s="22">
        <v>45994</v>
      </c>
      <c r="C85" s="22">
        <v>45995</v>
      </c>
      <c r="D85" s="47">
        <v>251204001</v>
      </c>
      <c r="E85" s="24" t="s">
        <v>233</v>
      </c>
      <c r="F85" s="24" t="s">
        <v>234</v>
      </c>
      <c r="G85" s="24">
        <v>36</v>
      </c>
      <c r="H85" s="46">
        <v>461</v>
      </c>
      <c r="I85" s="45" t="s">
        <v>235</v>
      </c>
      <c r="J85" s="20" t="s">
        <v>23</v>
      </c>
      <c r="K85" s="19" t="s">
        <v>32</v>
      </c>
      <c r="L85" s="27" t="s">
        <v>202</v>
      </c>
      <c r="M85" s="24" t="s">
        <v>36</v>
      </c>
      <c r="N85" s="37">
        <v>48.3</v>
      </c>
      <c r="O85" s="24">
        <v>11.34</v>
      </c>
      <c r="P85" s="28">
        <f t="shared" si="14"/>
        <v>36.959999999999994</v>
      </c>
      <c r="Q85" s="29">
        <v>565</v>
      </c>
      <c r="R85" s="30">
        <f>Q85*P85</f>
        <v>20882.399999999998</v>
      </c>
      <c r="S85" s="29"/>
      <c r="T85" s="31"/>
      <c r="V85" s="31" t="s">
        <v>24</v>
      </c>
      <c r="W85" s="29">
        <v>145</v>
      </c>
      <c r="X85" s="32">
        <f t="shared" si="11"/>
        <v>5359.1999999999989</v>
      </c>
      <c r="Y85" s="33"/>
      <c r="Z85" s="31">
        <f t="shared" si="12"/>
        <v>0</v>
      </c>
      <c r="AA85" s="31">
        <f t="shared" si="13"/>
        <v>26241.599999999999</v>
      </c>
    </row>
    <row r="86" spans="1:27" s="34" customFormat="1" ht="15.75" x14ac:dyDescent="0.25">
      <c r="A86" s="51">
        <v>83</v>
      </c>
      <c r="B86" s="22">
        <v>45994</v>
      </c>
      <c r="C86" s="22">
        <v>45995</v>
      </c>
      <c r="D86" s="23">
        <v>251204002</v>
      </c>
      <c r="E86" s="24" t="s">
        <v>236</v>
      </c>
      <c r="F86" s="24" t="s">
        <v>237</v>
      </c>
      <c r="G86" s="24">
        <v>43</v>
      </c>
      <c r="H86" s="35">
        <v>115</v>
      </c>
      <c r="I86" s="19" t="s">
        <v>35</v>
      </c>
      <c r="J86" s="20" t="s">
        <v>23</v>
      </c>
      <c r="K86" s="21" t="s">
        <v>32</v>
      </c>
      <c r="L86" s="27" t="s">
        <v>38</v>
      </c>
      <c r="M86" s="24" t="s">
        <v>34</v>
      </c>
      <c r="N86" s="37">
        <v>59.82</v>
      </c>
      <c r="O86" s="24">
        <v>15.84</v>
      </c>
      <c r="P86" s="28">
        <f t="shared" si="14"/>
        <v>43.980000000000004</v>
      </c>
      <c r="Q86" s="29">
        <v>315</v>
      </c>
      <c r="R86" s="30">
        <f>Q86*P86</f>
        <v>13853.7</v>
      </c>
      <c r="S86" s="29"/>
      <c r="T86" s="31"/>
      <c r="V86" s="31" t="s">
        <v>24</v>
      </c>
      <c r="W86" s="29">
        <v>145</v>
      </c>
      <c r="X86" s="32">
        <f t="shared" si="11"/>
        <v>6377.1</v>
      </c>
      <c r="Y86" s="33">
        <v>260</v>
      </c>
      <c r="Z86" s="31">
        <f t="shared" si="12"/>
        <v>11434.800000000001</v>
      </c>
      <c r="AA86" s="31">
        <f t="shared" si="13"/>
        <v>31665.600000000006</v>
      </c>
    </row>
    <row r="87" spans="1:27" s="34" customFormat="1" ht="15.75" x14ac:dyDescent="0.25">
      <c r="A87" s="51">
        <v>84</v>
      </c>
      <c r="B87" s="22">
        <v>45994</v>
      </c>
      <c r="C87" s="22">
        <v>45995</v>
      </c>
      <c r="D87" s="23">
        <v>251204003</v>
      </c>
      <c r="E87" s="24" t="s">
        <v>238</v>
      </c>
      <c r="F87" s="24" t="s">
        <v>239</v>
      </c>
      <c r="G87" s="24">
        <v>34</v>
      </c>
      <c r="H87" s="35">
        <v>117</v>
      </c>
      <c r="I87" s="44" t="s">
        <v>55</v>
      </c>
      <c r="J87" s="20" t="s">
        <v>23</v>
      </c>
      <c r="K87" s="19" t="s">
        <v>32</v>
      </c>
      <c r="L87" s="27" t="s">
        <v>240</v>
      </c>
      <c r="M87" s="24" t="s">
        <v>34</v>
      </c>
      <c r="N87" s="37">
        <v>45.9</v>
      </c>
      <c r="O87" s="37">
        <v>11.52</v>
      </c>
      <c r="P87" s="28">
        <f t="shared" si="14"/>
        <v>34.379999999999995</v>
      </c>
      <c r="Q87" s="29">
        <v>335</v>
      </c>
      <c r="R87" s="30">
        <f>Q87*P87</f>
        <v>11517.3</v>
      </c>
      <c r="S87" s="29"/>
      <c r="T87" s="31"/>
      <c r="V87" s="31" t="s">
        <v>24</v>
      </c>
      <c r="W87" s="29">
        <v>145</v>
      </c>
      <c r="X87" s="32">
        <f t="shared" si="11"/>
        <v>4985.0999999999995</v>
      </c>
      <c r="Y87" s="33">
        <v>230</v>
      </c>
      <c r="Z87" s="31">
        <f t="shared" si="12"/>
        <v>7907.3999999999987</v>
      </c>
      <c r="AA87" s="31">
        <f t="shared" si="13"/>
        <v>24409.799999999996</v>
      </c>
    </row>
    <row r="88" spans="1:27" s="34" customFormat="1" ht="15.75" x14ac:dyDescent="0.25">
      <c r="A88" s="51">
        <v>85</v>
      </c>
      <c r="B88" s="22">
        <v>45994</v>
      </c>
      <c r="C88" s="22">
        <v>45995</v>
      </c>
      <c r="D88" s="23">
        <v>251204004</v>
      </c>
      <c r="E88" s="24" t="s">
        <v>241</v>
      </c>
      <c r="F88" s="24" t="s">
        <v>242</v>
      </c>
      <c r="G88" s="24">
        <v>45</v>
      </c>
      <c r="H88" s="35">
        <v>117</v>
      </c>
      <c r="I88" s="44" t="s">
        <v>55</v>
      </c>
      <c r="J88" s="20" t="s">
        <v>23</v>
      </c>
      <c r="K88" s="19" t="s">
        <v>32</v>
      </c>
      <c r="L88" s="52" t="s">
        <v>243</v>
      </c>
      <c r="M88" s="24" t="s">
        <v>36</v>
      </c>
      <c r="N88" s="37">
        <v>61.68</v>
      </c>
      <c r="O88" s="37">
        <v>15.94</v>
      </c>
      <c r="P88" s="28">
        <f t="shared" si="14"/>
        <v>45.74</v>
      </c>
      <c r="Q88" s="29">
        <v>555</v>
      </c>
      <c r="R88" s="30">
        <f>Q88*P88</f>
        <v>25385.7</v>
      </c>
      <c r="S88" s="29"/>
      <c r="T88" s="31"/>
      <c r="V88" s="31" t="s">
        <v>24</v>
      </c>
      <c r="W88" s="29">
        <v>145</v>
      </c>
      <c r="X88" s="32">
        <f t="shared" si="11"/>
        <v>6632.3</v>
      </c>
      <c r="Y88" s="33">
        <v>230</v>
      </c>
      <c r="Z88" s="31">
        <f t="shared" si="12"/>
        <v>10520.2</v>
      </c>
      <c r="AA88" s="31">
        <f t="shared" si="13"/>
        <v>42538.2</v>
      </c>
    </row>
    <row r="89" spans="1:27" s="38" customFormat="1" ht="15.75" x14ac:dyDescent="0.25">
      <c r="A89" s="51">
        <v>86</v>
      </c>
      <c r="B89" s="22">
        <v>45994</v>
      </c>
      <c r="C89" s="22">
        <v>45995</v>
      </c>
      <c r="D89" s="23">
        <v>251204005</v>
      </c>
      <c r="E89" s="24" t="s">
        <v>244</v>
      </c>
      <c r="F89" s="24" t="s">
        <v>245</v>
      </c>
      <c r="G89" s="24">
        <v>35</v>
      </c>
      <c r="H89" s="35">
        <v>117</v>
      </c>
      <c r="I89" s="44" t="s">
        <v>55</v>
      </c>
      <c r="J89" s="20" t="s">
        <v>23</v>
      </c>
      <c r="K89" s="19" t="s">
        <v>32</v>
      </c>
      <c r="L89" s="27" t="s">
        <v>246</v>
      </c>
      <c r="M89" s="24" t="s">
        <v>36</v>
      </c>
      <c r="N89" s="37">
        <v>46.88</v>
      </c>
      <c r="O89" s="37">
        <v>11.58</v>
      </c>
      <c r="P89" s="28">
        <f t="shared" si="14"/>
        <v>35.300000000000004</v>
      </c>
      <c r="Q89" s="29">
        <v>555</v>
      </c>
      <c r="R89" s="30">
        <f>Q89*P89</f>
        <v>19591.500000000004</v>
      </c>
      <c r="S89" s="29"/>
      <c r="T89" s="31"/>
      <c r="V89" s="31" t="s">
        <v>24</v>
      </c>
      <c r="W89" s="29">
        <v>145</v>
      </c>
      <c r="X89" s="32">
        <f t="shared" si="11"/>
        <v>5118.5000000000009</v>
      </c>
      <c r="Y89" s="33">
        <v>230</v>
      </c>
      <c r="Z89" s="31">
        <f t="shared" si="12"/>
        <v>8119.0000000000009</v>
      </c>
      <c r="AA89" s="31">
        <f t="shared" si="13"/>
        <v>32829.000000000007</v>
      </c>
    </row>
    <row r="90" spans="1:27" s="38" customFormat="1" ht="15.75" x14ac:dyDescent="0.25">
      <c r="A90" s="51">
        <v>87</v>
      </c>
      <c r="B90" s="22">
        <v>45994</v>
      </c>
      <c r="C90" s="22">
        <v>45995</v>
      </c>
      <c r="D90" s="23">
        <v>251204006</v>
      </c>
      <c r="E90" s="24" t="s">
        <v>247</v>
      </c>
      <c r="F90" s="24" t="s">
        <v>248</v>
      </c>
      <c r="G90" s="24">
        <v>35</v>
      </c>
      <c r="H90" s="64">
        <v>127</v>
      </c>
      <c r="I90" s="19" t="s">
        <v>249</v>
      </c>
      <c r="J90" s="20" t="s">
        <v>23</v>
      </c>
      <c r="K90" s="19" t="s">
        <v>32</v>
      </c>
      <c r="L90" s="27" t="s">
        <v>250</v>
      </c>
      <c r="M90" s="24" t="s">
        <v>58</v>
      </c>
      <c r="N90" s="37">
        <v>19.48</v>
      </c>
      <c r="O90" s="37">
        <v>7.32</v>
      </c>
      <c r="P90" s="28">
        <f t="shared" si="14"/>
        <v>12.16</v>
      </c>
      <c r="Q90" s="29">
        <v>285</v>
      </c>
      <c r="R90" s="30">
        <f t="shared" ref="R90:R142" si="15">Q90*P90</f>
        <v>3465.6</v>
      </c>
      <c r="S90" s="29"/>
      <c r="T90" s="31"/>
      <c r="V90" s="31" t="s">
        <v>24</v>
      </c>
      <c r="W90" s="29">
        <v>145</v>
      </c>
      <c r="X90" s="32">
        <f t="shared" si="11"/>
        <v>1763.2</v>
      </c>
      <c r="Y90" s="33"/>
      <c r="Z90" s="31">
        <f t="shared" si="12"/>
        <v>0</v>
      </c>
      <c r="AA90" s="31">
        <f t="shared" si="13"/>
        <v>5228.8</v>
      </c>
    </row>
    <row r="91" spans="1:27" s="77" customFormat="1" ht="15.75" x14ac:dyDescent="0.25">
      <c r="A91" s="51">
        <v>88</v>
      </c>
      <c r="B91" s="65">
        <v>45995</v>
      </c>
      <c r="C91" s="65">
        <v>45995</v>
      </c>
      <c r="D91" s="66" t="s">
        <v>251</v>
      </c>
      <c r="E91" s="67"/>
      <c r="F91" s="67"/>
      <c r="G91" s="67"/>
      <c r="H91" s="68"/>
      <c r="I91" s="60" t="s">
        <v>48</v>
      </c>
      <c r="J91" s="56" t="s">
        <v>23</v>
      </c>
      <c r="K91" s="59" t="s">
        <v>32</v>
      </c>
      <c r="L91" s="70" t="s">
        <v>129</v>
      </c>
      <c r="M91" s="67" t="s">
        <v>49</v>
      </c>
      <c r="N91" s="67">
        <v>26.12</v>
      </c>
      <c r="O91" s="67">
        <v>14.28</v>
      </c>
      <c r="P91" s="71">
        <f t="shared" si="14"/>
        <v>11.840000000000002</v>
      </c>
      <c r="Q91" s="72">
        <v>0</v>
      </c>
      <c r="R91" s="73">
        <f t="shared" si="15"/>
        <v>0</v>
      </c>
      <c r="S91" s="72"/>
      <c r="T91" s="74"/>
      <c r="V91" s="74" t="s">
        <v>24</v>
      </c>
      <c r="W91" s="72"/>
      <c r="X91" s="75">
        <f t="shared" ref="X91:X122" si="16">W91*P91</f>
        <v>0</v>
      </c>
      <c r="Y91" s="76"/>
      <c r="Z91" s="74">
        <f t="shared" ref="Z91:Z122" si="17">Y91*P91</f>
        <v>0</v>
      </c>
      <c r="AA91" s="74">
        <f t="shared" ref="AA91:AA122" si="18">R91+X91+Z91</f>
        <v>0</v>
      </c>
    </row>
    <row r="92" spans="1:27" s="77" customFormat="1" ht="15.75" x14ac:dyDescent="0.25">
      <c r="A92" s="51">
        <v>89</v>
      </c>
      <c r="B92" s="65">
        <v>45995</v>
      </c>
      <c r="C92" s="65">
        <v>45995</v>
      </c>
      <c r="D92" s="66" t="s">
        <v>252</v>
      </c>
      <c r="E92" s="67"/>
      <c r="F92" s="67"/>
      <c r="G92" s="67"/>
      <c r="H92" s="68"/>
      <c r="I92" s="60" t="s">
        <v>48</v>
      </c>
      <c r="J92" s="56" t="s">
        <v>23</v>
      </c>
      <c r="K92" s="59" t="s">
        <v>32</v>
      </c>
      <c r="L92" s="70" t="s">
        <v>253</v>
      </c>
      <c r="M92" s="67" t="s">
        <v>49</v>
      </c>
      <c r="N92" s="67">
        <v>23.96</v>
      </c>
      <c r="O92" s="67">
        <v>14.28</v>
      </c>
      <c r="P92" s="71">
        <f t="shared" si="14"/>
        <v>9.6800000000000015</v>
      </c>
      <c r="Q92" s="72">
        <v>0</v>
      </c>
      <c r="R92" s="73">
        <f t="shared" si="15"/>
        <v>0</v>
      </c>
      <c r="S92" s="72"/>
      <c r="T92" s="74"/>
      <c r="V92" s="74" t="s">
        <v>24</v>
      </c>
      <c r="W92" s="72"/>
      <c r="X92" s="75">
        <f t="shared" si="16"/>
        <v>0</v>
      </c>
      <c r="Y92" s="76"/>
      <c r="Z92" s="76">
        <f t="shared" si="17"/>
        <v>0</v>
      </c>
      <c r="AA92" s="74">
        <f t="shared" si="18"/>
        <v>0</v>
      </c>
    </row>
    <row r="93" spans="1:27" s="77" customFormat="1" ht="15.75" x14ac:dyDescent="0.25">
      <c r="A93" s="51">
        <v>90</v>
      </c>
      <c r="B93" s="65">
        <v>45995</v>
      </c>
      <c r="C93" s="65">
        <v>45995</v>
      </c>
      <c r="D93" s="78">
        <v>251204007</v>
      </c>
      <c r="E93" s="67" t="s">
        <v>254</v>
      </c>
      <c r="F93" s="67" t="s">
        <v>255</v>
      </c>
      <c r="G93" s="67">
        <v>39</v>
      </c>
      <c r="H93" s="79">
        <v>115</v>
      </c>
      <c r="I93" s="19" t="s">
        <v>35</v>
      </c>
      <c r="J93" s="20" t="s">
        <v>23</v>
      </c>
      <c r="K93" s="21" t="s">
        <v>32</v>
      </c>
      <c r="L93" s="70" t="s">
        <v>47</v>
      </c>
      <c r="M93" s="67" t="s">
        <v>37</v>
      </c>
      <c r="N93" s="67">
        <v>51.42</v>
      </c>
      <c r="O93" s="67">
        <v>11.58</v>
      </c>
      <c r="P93" s="71">
        <f t="shared" si="14"/>
        <v>39.840000000000003</v>
      </c>
      <c r="Q93" s="72">
        <v>445</v>
      </c>
      <c r="R93" s="73">
        <f t="shared" si="15"/>
        <v>17728.800000000003</v>
      </c>
      <c r="S93" s="72"/>
      <c r="T93" s="74"/>
      <c r="V93" s="74" t="s">
        <v>24</v>
      </c>
      <c r="W93" s="72">
        <v>145</v>
      </c>
      <c r="X93" s="75">
        <f t="shared" si="16"/>
        <v>5776.8</v>
      </c>
      <c r="Y93" s="76">
        <v>260</v>
      </c>
      <c r="Z93" s="76">
        <f t="shared" si="17"/>
        <v>10358.400000000001</v>
      </c>
      <c r="AA93" s="74">
        <f t="shared" si="18"/>
        <v>33864</v>
      </c>
    </row>
    <row r="94" spans="1:27" s="77" customFormat="1" ht="15.75" x14ac:dyDescent="0.25">
      <c r="A94" s="51">
        <v>91</v>
      </c>
      <c r="B94" s="65">
        <v>45995</v>
      </c>
      <c r="C94" s="65">
        <v>45995</v>
      </c>
      <c r="D94" s="78">
        <v>251204008</v>
      </c>
      <c r="E94" s="67" t="s">
        <v>256</v>
      </c>
      <c r="F94" s="67" t="s">
        <v>257</v>
      </c>
      <c r="G94" s="67">
        <v>38</v>
      </c>
      <c r="H94" s="79">
        <v>115</v>
      </c>
      <c r="I94" s="19" t="s">
        <v>35</v>
      </c>
      <c r="J94" s="20" t="s">
        <v>23</v>
      </c>
      <c r="K94" s="21" t="s">
        <v>32</v>
      </c>
      <c r="L94" s="70" t="s">
        <v>42</v>
      </c>
      <c r="M94" s="67" t="s">
        <v>37</v>
      </c>
      <c r="N94" s="67">
        <v>50.06</v>
      </c>
      <c r="O94" s="67">
        <v>11.8</v>
      </c>
      <c r="P94" s="71">
        <f t="shared" si="14"/>
        <v>38.260000000000005</v>
      </c>
      <c r="Q94" s="72">
        <v>445</v>
      </c>
      <c r="R94" s="73">
        <f t="shared" si="15"/>
        <v>17025.7</v>
      </c>
      <c r="S94" s="72"/>
      <c r="T94" s="74"/>
      <c r="V94" s="74" t="s">
        <v>24</v>
      </c>
      <c r="W94" s="72">
        <v>145</v>
      </c>
      <c r="X94" s="75">
        <f t="shared" si="16"/>
        <v>5547.7000000000007</v>
      </c>
      <c r="Y94" s="76">
        <v>260</v>
      </c>
      <c r="Z94" s="76">
        <f t="shared" si="17"/>
        <v>9947.6000000000022</v>
      </c>
      <c r="AA94" s="74">
        <f t="shared" si="18"/>
        <v>32521.000000000004</v>
      </c>
    </row>
    <row r="95" spans="1:27" s="77" customFormat="1" ht="15.75" x14ac:dyDescent="0.25">
      <c r="A95" s="51">
        <v>92</v>
      </c>
      <c r="B95" s="65">
        <v>45995</v>
      </c>
      <c r="C95" s="65">
        <v>45995</v>
      </c>
      <c r="D95" s="78">
        <v>251204009</v>
      </c>
      <c r="E95" s="67" t="s">
        <v>258</v>
      </c>
      <c r="F95" s="67" t="s">
        <v>259</v>
      </c>
      <c r="G95" s="67">
        <v>38</v>
      </c>
      <c r="H95" s="79">
        <v>115</v>
      </c>
      <c r="I95" s="19" t="s">
        <v>35</v>
      </c>
      <c r="J95" s="20" t="s">
        <v>23</v>
      </c>
      <c r="K95" s="21" t="s">
        <v>32</v>
      </c>
      <c r="L95" s="70" t="s">
        <v>44</v>
      </c>
      <c r="M95" s="67" t="s">
        <v>37</v>
      </c>
      <c r="N95" s="67">
        <v>50.32</v>
      </c>
      <c r="O95" s="67">
        <v>11.94</v>
      </c>
      <c r="P95" s="71">
        <f t="shared" si="14"/>
        <v>38.380000000000003</v>
      </c>
      <c r="Q95" s="72">
        <v>445</v>
      </c>
      <c r="R95" s="73">
        <f t="shared" si="15"/>
        <v>17079.100000000002</v>
      </c>
      <c r="S95" s="72"/>
      <c r="T95" s="74"/>
      <c r="V95" s="74" t="s">
        <v>24</v>
      </c>
      <c r="W95" s="72">
        <v>145</v>
      </c>
      <c r="X95" s="75">
        <f t="shared" si="16"/>
        <v>5565.1</v>
      </c>
      <c r="Y95" s="76">
        <v>260</v>
      </c>
      <c r="Z95" s="76">
        <f t="shared" si="17"/>
        <v>9978.8000000000011</v>
      </c>
      <c r="AA95" s="74">
        <f t="shared" si="18"/>
        <v>32623.000000000007</v>
      </c>
    </row>
    <row r="96" spans="1:27" s="81" customFormat="1" ht="15.75" x14ac:dyDescent="0.25">
      <c r="A96" s="51">
        <v>93</v>
      </c>
      <c r="B96" s="65">
        <v>45995</v>
      </c>
      <c r="C96" s="65">
        <v>45995</v>
      </c>
      <c r="D96" s="78">
        <v>251204010</v>
      </c>
      <c r="E96" s="67" t="s">
        <v>260</v>
      </c>
      <c r="F96" s="67" t="s">
        <v>261</v>
      </c>
      <c r="G96" s="67">
        <v>46</v>
      </c>
      <c r="H96" s="79">
        <v>115</v>
      </c>
      <c r="I96" s="19" t="s">
        <v>35</v>
      </c>
      <c r="J96" s="20" t="s">
        <v>23</v>
      </c>
      <c r="K96" s="21" t="s">
        <v>32</v>
      </c>
      <c r="L96" s="70" t="s">
        <v>59</v>
      </c>
      <c r="M96" s="67" t="s">
        <v>36</v>
      </c>
      <c r="N96" s="80">
        <v>64.48</v>
      </c>
      <c r="O96" s="67">
        <v>17.68</v>
      </c>
      <c r="P96" s="71">
        <f t="shared" si="14"/>
        <v>46.800000000000004</v>
      </c>
      <c r="Q96" s="72">
        <v>545</v>
      </c>
      <c r="R96" s="73">
        <f t="shared" si="15"/>
        <v>25506.000000000004</v>
      </c>
      <c r="S96" s="72"/>
      <c r="T96" s="74"/>
      <c r="V96" s="74" t="s">
        <v>24</v>
      </c>
      <c r="W96" s="72">
        <v>145</v>
      </c>
      <c r="X96" s="75">
        <f t="shared" si="16"/>
        <v>6786.0000000000009</v>
      </c>
      <c r="Y96" s="76">
        <v>260</v>
      </c>
      <c r="Z96" s="76">
        <f t="shared" si="17"/>
        <v>12168.000000000002</v>
      </c>
      <c r="AA96" s="74">
        <f t="shared" si="18"/>
        <v>44460.000000000007</v>
      </c>
    </row>
    <row r="97" spans="1:38" s="77" customFormat="1" ht="15.75" x14ac:dyDescent="0.25">
      <c r="A97" s="51">
        <v>94</v>
      </c>
      <c r="B97" s="65">
        <v>45995</v>
      </c>
      <c r="C97" s="65">
        <v>45995</v>
      </c>
      <c r="D97" s="78">
        <v>251204011</v>
      </c>
      <c r="E97" s="67" t="s">
        <v>262</v>
      </c>
      <c r="F97" s="67" t="s">
        <v>263</v>
      </c>
      <c r="G97" s="67">
        <v>38</v>
      </c>
      <c r="H97" s="79">
        <v>115</v>
      </c>
      <c r="I97" s="19" t="s">
        <v>35</v>
      </c>
      <c r="J97" s="20" t="s">
        <v>23</v>
      </c>
      <c r="K97" s="21" t="s">
        <v>32</v>
      </c>
      <c r="L97" s="70" t="s">
        <v>41</v>
      </c>
      <c r="M97" s="67" t="s">
        <v>37</v>
      </c>
      <c r="N97" s="80">
        <v>50.66</v>
      </c>
      <c r="O97" s="67">
        <v>11.96</v>
      </c>
      <c r="P97" s="71">
        <f t="shared" si="14"/>
        <v>38.699999999999996</v>
      </c>
      <c r="Q97" s="72">
        <v>445</v>
      </c>
      <c r="R97" s="73">
        <f t="shared" si="15"/>
        <v>17221.499999999996</v>
      </c>
      <c r="S97" s="72"/>
      <c r="T97" s="74"/>
      <c r="V97" s="74" t="s">
        <v>24</v>
      </c>
      <c r="W97" s="72">
        <v>145</v>
      </c>
      <c r="X97" s="75">
        <f t="shared" si="16"/>
        <v>5611.4999999999991</v>
      </c>
      <c r="Y97" s="76">
        <v>260</v>
      </c>
      <c r="Z97" s="74">
        <f t="shared" si="17"/>
        <v>10061.999999999998</v>
      </c>
      <c r="AA97" s="74">
        <f t="shared" si="18"/>
        <v>32894.999999999993</v>
      </c>
    </row>
    <row r="98" spans="1:38" s="77" customFormat="1" ht="15.75" x14ac:dyDescent="0.25">
      <c r="A98" s="51">
        <v>95</v>
      </c>
      <c r="B98" s="65">
        <v>45995</v>
      </c>
      <c r="C98" s="65">
        <v>45995</v>
      </c>
      <c r="D98" s="78">
        <v>251204012</v>
      </c>
      <c r="E98" s="67" t="s">
        <v>264</v>
      </c>
      <c r="F98" s="67" t="s">
        <v>265</v>
      </c>
      <c r="G98" s="67">
        <v>43</v>
      </c>
      <c r="H98" s="79">
        <v>115</v>
      </c>
      <c r="I98" s="19" t="s">
        <v>35</v>
      </c>
      <c r="J98" s="20" t="s">
        <v>23</v>
      </c>
      <c r="K98" s="21" t="s">
        <v>32</v>
      </c>
      <c r="L98" s="70" t="s">
        <v>266</v>
      </c>
      <c r="M98" s="67" t="s">
        <v>34</v>
      </c>
      <c r="N98" s="80">
        <v>58.76</v>
      </c>
      <c r="O98" s="80">
        <v>15.02</v>
      </c>
      <c r="P98" s="71">
        <f t="shared" si="14"/>
        <v>43.739999999999995</v>
      </c>
      <c r="Q98" s="72">
        <v>315</v>
      </c>
      <c r="R98" s="73">
        <f t="shared" si="15"/>
        <v>13778.099999999999</v>
      </c>
      <c r="S98" s="72"/>
      <c r="T98" s="74"/>
      <c r="V98" s="74" t="s">
        <v>24</v>
      </c>
      <c r="W98" s="72">
        <v>145</v>
      </c>
      <c r="X98" s="75">
        <f t="shared" si="16"/>
        <v>6342.2999999999993</v>
      </c>
      <c r="Y98" s="76">
        <v>260</v>
      </c>
      <c r="Z98" s="76">
        <f t="shared" si="17"/>
        <v>11372.399999999998</v>
      </c>
      <c r="AA98" s="74">
        <f t="shared" si="18"/>
        <v>31492.799999999996</v>
      </c>
    </row>
    <row r="99" spans="1:38" s="77" customFormat="1" ht="15.75" x14ac:dyDescent="0.25">
      <c r="A99" s="51">
        <v>96</v>
      </c>
      <c r="B99" s="65">
        <v>45995</v>
      </c>
      <c r="C99" s="65">
        <v>45995</v>
      </c>
      <c r="D99" s="78">
        <v>251204013</v>
      </c>
      <c r="E99" s="67" t="s">
        <v>267</v>
      </c>
      <c r="F99" s="67" t="s">
        <v>268</v>
      </c>
      <c r="G99" s="67">
        <v>43</v>
      </c>
      <c r="H99" s="79">
        <v>115</v>
      </c>
      <c r="I99" s="19" t="s">
        <v>35</v>
      </c>
      <c r="J99" s="20" t="s">
        <v>23</v>
      </c>
      <c r="K99" s="21" t="s">
        <v>32</v>
      </c>
      <c r="L99" s="70" t="s">
        <v>39</v>
      </c>
      <c r="M99" s="67" t="s">
        <v>34</v>
      </c>
      <c r="N99" s="67">
        <v>59.04</v>
      </c>
      <c r="O99" s="80">
        <v>15.86</v>
      </c>
      <c r="P99" s="71">
        <f t="shared" si="14"/>
        <v>43.18</v>
      </c>
      <c r="Q99" s="72">
        <v>315</v>
      </c>
      <c r="R99" s="73">
        <f t="shared" si="15"/>
        <v>13601.7</v>
      </c>
      <c r="S99" s="72"/>
      <c r="T99" s="74"/>
      <c r="V99" s="74" t="s">
        <v>24</v>
      </c>
      <c r="W99" s="72">
        <v>145</v>
      </c>
      <c r="X99" s="75">
        <f t="shared" si="16"/>
        <v>6261.1</v>
      </c>
      <c r="Y99" s="76">
        <v>260</v>
      </c>
      <c r="Z99" s="76">
        <f t="shared" si="17"/>
        <v>11226.8</v>
      </c>
      <c r="AA99" s="74">
        <f t="shared" si="18"/>
        <v>31089.600000000002</v>
      </c>
    </row>
    <row r="100" spans="1:38" s="77" customFormat="1" ht="17.100000000000001" customHeight="1" x14ac:dyDescent="0.25">
      <c r="A100" s="51">
        <v>97</v>
      </c>
      <c r="B100" s="65">
        <v>45995</v>
      </c>
      <c r="C100" s="65">
        <v>45995</v>
      </c>
      <c r="D100" s="66" t="s">
        <v>269</v>
      </c>
      <c r="E100" s="67"/>
      <c r="F100" s="67"/>
      <c r="G100" s="67"/>
      <c r="H100" s="68"/>
      <c r="I100" s="69" t="s">
        <v>48</v>
      </c>
      <c r="J100" s="56" t="s">
        <v>23</v>
      </c>
      <c r="K100" s="59" t="s">
        <v>32</v>
      </c>
      <c r="L100" s="70" t="s">
        <v>60</v>
      </c>
      <c r="M100" s="67" t="s">
        <v>31</v>
      </c>
      <c r="N100" s="80">
        <v>26.86</v>
      </c>
      <c r="O100" s="67">
        <v>15.08</v>
      </c>
      <c r="P100" s="71">
        <f t="shared" si="14"/>
        <v>11.78</v>
      </c>
      <c r="Q100" s="72">
        <v>0</v>
      </c>
      <c r="R100" s="73">
        <f t="shared" si="15"/>
        <v>0</v>
      </c>
      <c r="S100" s="72"/>
      <c r="T100" s="74"/>
      <c r="V100" s="74" t="s">
        <v>24</v>
      </c>
      <c r="W100" s="72"/>
      <c r="X100" s="75">
        <f t="shared" si="16"/>
        <v>0</v>
      </c>
      <c r="Y100" s="76"/>
      <c r="Z100" s="76">
        <f t="shared" si="17"/>
        <v>0</v>
      </c>
      <c r="AA100" s="74">
        <f t="shared" si="18"/>
        <v>0</v>
      </c>
      <c r="AB100" s="83"/>
      <c r="AC100" s="82"/>
      <c r="AD100" s="84"/>
      <c r="AE100" s="85"/>
      <c r="AF100" s="82"/>
      <c r="AG100" s="85"/>
      <c r="AH100" s="82"/>
      <c r="AI100" s="84"/>
      <c r="AJ100" s="82"/>
      <c r="AK100" s="84"/>
      <c r="AL100" s="84"/>
    </row>
    <row r="101" spans="1:38" s="77" customFormat="1" ht="15.75" x14ac:dyDescent="0.25">
      <c r="A101" s="51">
        <v>98</v>
      </c>
      <c r="B101" s="65">
        <v>45995</v>
      </c>
      <c r="C101" s="65">
        <v>45995</v>
      </c>
      <c r="D101" s="66" t="s">
        <v>270</v>
      </c>
      <c r="E101" s="67"/>
      <c r="F101" s="67"/>
      <c r="G101" s="67"/>
      <c r="H101" s="68"/>
      <c r="I101" s="69" t="s">
        <v>48</v>
      </c>
      <c r="J101" s="56" t="s">
        <v>23</v>
      </c>
      <c r="K101" s="59" t="s">
        <v>32</v>
      </c>
      <c r="L101" s="70" t="s">
        <v>93</v>
      </c>
      <c r="M101" s="67" t="s">
        <v>31</v>
      </c>
      <c r="N101" s="80">
        <v>28.6</v>
      </c>
      <c r="O101" s="80">
        <v>15.58</v>
      </c>
      <c r="P101" s="71">
        <f t="shared" si="14"/>
        <v>13.020000000000001</v>
      </c>
      <c r="Q101" s="72">
        <v>0</v>
      </c>
      <c r="R101" s="73">
        <f t="shared" si="15"/>
        <v>0</v>
      </c>
      <c r="S101" s="72"/>
      <c r="T101" s="74"/>
      <c r="V101" s="74" t="s">
        <v>24</v>
      </c>
      <c r="W101" s="72"/>
      <c r="X101" s="75">
        <f t="shared" si="16"/>
        <v>0</v>
      </c>
      <c r="Y101" s="76"/>
      <c r="Z101" s="76">
        <f t="shared" si="17"/>
        <v>0</v>
      </c>
      <c r="AA101" s="74">
        <f t="shared" si="18"/>
        <v>0</v>
      </c>
    </row>
    <row r="102" spans="1:38" s="77" customFormat="1" ht="15.75" x14ac:dyDescent="0.25">
      <c r="A102" s="51">
        <v>99</v>
      </c>
      <c r="B102" s="65">
        <v>45995</v>
      </c>
      <c r="C102" s="65">
        <v>45995</v>
      </c>
      <c r="D102" s="78">
        <v>251204014</v>
      </c>
      <c r="E102" s="67" t="s">
        <v>271</v>
      </c>
      <c r="F102" s="67" t="s">
        <v>272</v>
      </c>
      <c r="G102" s="67">
        <v>33</v>
      </c>
      <c r="H102" s="79">
        <v>117</v>
      </c>
      <c r="I102" s="86" t="s">
        <v>55</v>
      </c>
      <c r="J102" s="20" t="s">
        <v>23</v>
      </c>
      <c r="K102" s="19" t="s">
        <v>32</v>
      </c>
      <c r="L102" s="78" t="s">
        <v>240</v>
      </c>
      <c r="M102" s="67" t="s">
        <v>34</v>
      </c>
      <c r="N102" s="80">
        <v>44.92</v>
      </c>
      <c r="O102" s="80">
        <v>11.42</v>
      </c>
      <c r="P102" s="71">
        <f t="shared" si="14"/>
        <v>33.5</v>
      </c>
      <c r="Q102" s="72">
        <v>335</v>
      </c>
      <c r="R102" s="73">
        <f t="shared" si="15"/>
        <v>11222.5</v>
      </c>
      <c r="S102" s="72"/>
      <c r="T102" s="74"/>
      <c r="V102" s="74" t="s">
        <v>24</v>
      </c>
      <c r="W102" s="72">
        <v>145</v>
      </c>
      <c r="X102" s="75">
        <f t="shared" si="16"/>
        <v>4857.5</v>
      </c>
      <c r="Y102" s="76">
        <v>230</v>
      </c>
      <c r="Z102" s="76">
        <f t="shared" si="17"/>
        <v>7705</v>
      </c>
      <c r="AA102" s="74">
        <f t="shared" si="18"/>
        <v>23785</v>
      </c>
    </row>
    <row r="103" spans="1:38" s="77" customFormat="1" ht="15.75" x14ac:dyDescent="0.25">
      <c r="A103" s="51">
        <v>100</v>
      </c>
      <c r="B103" s="65">
        <v>45995</v>
      </c>
      <c r="C103" s="65">
        <v>45995</v>
      </c>
      <c r="D103" s="78">
        <v>251204015</v>
      </c>
      <c r="E103" s="67" t="s">
        <v>273</v>
      </c>
      <c r="F103" s="67" t="s">
        <v>274</v>
      </c>
      <c r="G103" s="67">
        <v>34</v>
      </c>
      <c r="H103" s="79">
        <v>117</v>
      </c>
      <c r="I103" s="86" t="s">
        <v>55</v>
      </c>
      <c r="J103" s="20" t="s">
        <v>23</v>
      </c>
      <c r="K103" s="19" t="s">
        <v>32</v>
      </c>
      <c r="L103" s="70" t="s">
        <v>246</v>
      </c>
      <c r="M103" s="67" t="s">
        <v>36</v>
      </c>
      <c r="N103" s="80">
        <v>45.64</v>
      </c>
      <c r="O103" s="80">
        <v>11.5</v>
      </c>
      <c r="P103" s="71">
        <f t="shared" si="14"/>
        <v>34.14</v>
      </c>
      <c r="Q103" s="72">
        <v>555</v>
      </c>
      <c r="R103" s="73">
        <f t="shared" si="15"/>
        <v>18947.7</v>
      </c>
      <c r="S103" s="72"/>
      <c r="T103" s="74"/>
      <c r="V103" s="74" t="s">
        <v>24</v>
      </c>
      <c r="W103" s="72">
        <v>145</v>
      </c>
      <c r="X103" s="75">
        <f t="shared" si="16"/>
        <v>4950.3</v>
      </c>
      <c r="Y103" s="76">
        <v>230</v>
      </c>
      <c r="Z103" s="76">
        <f t="shared" si="17"/>
        <v>7852.2</v>
      </c>
      <c r="AA103" s="74">
        <f t="shared" si="18"/>
        <v>31750.2</v>
      </c>
    </row>
    <row r="104" spans="1:38" s="77" customFormat="1" ht="15.75" x14ac:dyDescent="0.25">
      <c r="A104" s="51">
        <v>101</v>
      </c>
      <c r="B104" s="65">
        <v>45995</v>
      </c>
      <c r="C104" s="65">
        <v>45995</v>
      </c>
      <c r="D104" s="78">
        <v>251204016</v>
      </c>
      <c r="E104" s="67" t="s">
        <v>275</v>
      </c>
      <c r="F104" s="67" t="s">
        <v>276</v>
      </c>
      <c r="G104" s="67">
        <v>42</v>
      </c>
      <c r="H104" s="79">
        <v>115</v>
      </c>
      <c r="I104" s="19" t="s">
        <v>35</v>
      </c>
      <c r="J104" s="20" t="s">
        <v>23</v>
      </c>
      <c r="K104" s="21" t="s">
        <v>32</v>
      </c>
      <c r="L104" s="70" t="s">
        <v>61</v>
      </c>
      <c r="M104" s="67" t="s">
        <v>34</v>
      </c>
      <c r="N104" s="80">
        <v>58.48</v>
      </c>
      <c r="O104" s="80">
        <v>15.8</v>
      </c>
      <c r="P104" s="71">
        <f t="shared" si="14"/>
        <v>42.679999999999993</v>
      </c>
      <c r="Q104" s="72">
        <v>315</v>
      </c>
      <c r="R104" s="73">
        <f t="shared" si="15"/>
        <v>13444.199999999997</v>
      </c>
      <c r="S104" s="72"/>
      <c r="T104" s="74"/>
      <c r="V104" s="74" t="s">
        <v>24</v>
      </c>
      <c r="W104" s="72">
        <v>145</v>
      </c>
      <c r="X104" s="75">
        <f t="shared" si="16"/>
        <v>6188.5999999999985</v>
      </c>
      <c r="Y104" s="76">
        <v>260</v>
      </c>
      <c r="Z104" s="76">
        <f t="shared" si="17"/>
        <v>11096.799999999997</v>
      </c>
      <c r="AA104" s="74">
        <f t="shared" si="18"/>
        <v>30729.599999999991</v>
      </c>
    </row>
    <row r="105" spans="1:38" s="81" customFormat="1" ht="15.75" x14ac:dyDescent="0.25">
      <c r="A105" s="51">
        <v>102</v>
      </c>
      <c r="B105" s="65">
        <v>45995</v>
      </c>
      <c r="C105" s="65">
        <v>45995</v>
      </c>
      <c r="D105" s="78">
        <v>251204017</v>
      </c>
      <c r="E105" s="67" t="s">
        <v>277</v>
      </c>
      <c r="F105" s="67" t="s">
        <v>278</v>
      </c>
      <c r="G105" s="67">
        <v>22</v>
      </c>
      <c r="H105" s="79">
        <v>108</v>
      </c>
      <c r="I105" s="87" t="s">
        <v>159</v>
      </c>
      <c r="J105" s="58" t="s">
        <v>23</v>
      </c>
      <c r="K105" s="21" t="s">
        <v>32</v>
      </c>
      <c r="L105" s="70" t="s">
        <v>160</v>
      </c>
      <c r="M105" s="67" t="s">
        <v>34</v>
      </c>
      <c r="N105" s="80">
        <v>36.44</v>
      </c>
      <c r="O105" s="80">
        <v>14.4</v>
      </c>
      <c r="P105" s="71">
        <f t="shared" si="14"/>
        <v>22.04</v>
      </c>
      <c r="Q105" s="72">
        <v>420</v>
      </c>
      <c r="R105" s="73">
        <f t="shared" si="15"/>
        <v>9256.7999999999993</v>
      </c>
      <c r="S105" s="72"/>
      <c r="T105" s="74"/>
      <c r="V105" s="74" t="s">
        <v>24</v>
      </c>
      <c r="W105" s="72">
        <v>145</v>
      </c>
      <c r="X105" s="75">
        <f t="shared" si="16"/>
        <v>3195.7999999999997</v>
      </c>
      <c r="Y105" s="76"/>
      <c r="Z105" s="74">
        <f t="shared" si="17"/>
        <v>0</v>
      </c>
      <c r="AA105" s="74">
        <f t="shared" si="18"/>
        <v>12452.599999999999</v>
      </c>
    </row>
    <row r="106" spans="1:38" s="77" customFormat="1" ht="15.75" x14ac:dyDescent="0.25">
      <c r="A106" s="51">
        <v>103</v>
      </c>
      <c r="B106" s="65">
        <v>45995</v>
      </c>
      <c r="C106" s="65">
        <v>45995</v>
      </c>
      <c r="D106" s="78">
        <v>251204018</v>
      </c>
      <c r="E106" s="67" t="s">
        <v>279</v>
      </c>
      <c r="F106" s="67" t="s">
        <v>280</v>
      </c>
      <c r="G106" s="67">
        <v>22</v>
      </c>
      <c r="H106" s="79">
        <v>108</v>
      </c>
      <c r="I106" s="87" t="s">
        <v>159</v>
      </c>
      <c r="J106" s="58" t="s">
        <v>23</v>
      </c>
      <c r="K106" s="21" t="s">
        <v>32</v>
      </c>
      <c r="L106" s="70" t="s">
        <v>188</v>
      </c>
      <c r="M106" s="67" t="s">
        <v>36</v>
      </c>
      <c r="N106" s="80">
        <v>36.4</v>
      </c>
      <c r="O106" s="67">
        <v>14.28</v>
      </c>
      <c r="P106" s="71">
        <f t="shared" si="14"/>
        <v>22.119999999999997</v>
      </c>
      <c r="Q106" s="72">
        <v>620</v>
      </c>
      <c r="R106" s="73">
        <f t="shared" si="15"/>
        <v>13714.399999999998</v>
      </c>
      <c r="S106" s="72"/>
      <c r="T106" s="74"/>
      <c r="V106" s="74" t="s">
        <v>24</v>
      </c>
      <c r="W106" s="72">
        <v>145</v>
      </c>
      <c r="X106" s="75">
        <f t="shared" si="16"/>
        <v>3207.3999999999996</v>
      </c>
      <c r="Y106" s="76"/>
      <c r="Z106" s="74">
        <f t="shared" si="17"/>
        <v>0</v>
      </c>
      <c r="AA106" s="74">
        <f t="shared" si="18"/>
        <v>16921.799999999996</v>
      </c>
    </row>
    <row r="107" spans="1:38" s="77" customFormat="1" ht="15.75" x14ac:dyDescent="0.25">
      <c r="A107" s="51">
        <v>104</v>
      </c>
      <c r="B107" s="65">
        <v>45995</v>
      </c>
      <c r="C107" s="65">
        <v>45995</v>
      </c>
      <c r="D107" s="78" t="s">
        <v>281</v>
      </c>
      <c r="E107" s="67"/>
      <c r="F107" s="67"/>
      <c r="G107" s="67"/>
      <c r="H107" s="88"/>
      <c r="I107" s="89" t="s">
        <v>282</v>
      </c>
      <c r="J107" s="56" t="s">
        <v>23</v>
      </c>
      <c r="K107" s="59" t="s">
        <v>30</v>
      </c>
      <c r="L107" s="70" t="s">
        <v>68</v>
      </c>
      <c r="M107" s="67" t="s">
        <v>31</v>
      </c>
      <c r="N107" s="80">
        <v>8.0399999999999991</v>
      </c>
      <c r="O107" s="80">
        <v>3.58</v>
      </c>
      <c r="P107" s="71">
        <f t="shared" si="14"/>
        <v>4.4599999999999991</v>
      </c>
      <c r="Q107" s="72">
        <v>150</v>
      </c>
      <c r="R107" s="73">
        <f t="shared" si="15"/>
        <v>668.99999999999989</v>
      </c>
      <c r="S107" s="72">
        <v>669</v>
      </c>
      <c r="T107" s="74"/>
      <c r="V107" s="74" t="s">
        <v>24</v>
      </c>
      <c r="W107" s="72"/>
      <c r="X107" s="75">
        <f t="shared" si="16"/>
        <v>0</v>
      </c>
      <c r="Y107" s="76"/>
      <c r="Z107" s="74">
        <f t="shared" si="17"/>
        <v>0</v>
      </c>
      <c r="AA107" s="74">
        <f t="shared" si="18"/>
        <v>668.99999999999989</v>
      </c>
    </row>
    <row r="108" spans="1:38" s="77" customFormat="1" ht="15.75" x14ac:dyDescent="0.25">
      <c r="A108" s="51">
        <v>105</v>
      </c>
      <c r="B108" s="65">
        <v>45995</v>
      </c>
      <c r="C108" s="65">
        <v>45995</v>
      </c>
      <c r="D108" s="78" t="s">
        <v>283</v>
      </c>
      <c r="E108" s="67"/>
      <c r="F108" s="67"/>
      <c r="G108" s="67"/>
      <c r="H108" s="79"/>
      <c r="I108" s="19" t="s">
        <v>228</v>
      </c>
      <c r="J108" s="56" t="s">
        <v>23</v>
      </c>
      <c r="K108" s="59" t="s">
        <v>30</v>
      </c>
      <c r="L108" s="70" t="s">
        <v>89</v>
      </c>
      <c r="M108" s="67" t="s">
        <v>31</v>
      </c>
      <c r="N108" s="80">
        <v>8.68</v>
      </c>
      <c r="O108" s="80">
        <v>3.46</v>
      </c>
      <c r="P108" s="71">
        <f t="shared" si="14"/>
        <v>5.22</v>
      </c>
      <c r="Q108" s="72">
        <v>150</v>
      </c>
      <c r="R108" s="73">
        <f t="shared" si="15"/>
        <v>783</v>
      </c>
      <c r="S108" s="72">
        <v>783</v>
      </c>
      <c r="T108" s="74"/>
      <c r="V108" s="74" t="s">
        <v>24</v>
      </c>
      <c r="W108" s="72"/>
      <c r="X108" s="75">
        <f t="shared" si="16"/>
        <v>0</v>
      </c>
      <c r="Y108" s="76"/>
      <c r="Z108" s="74">
        <f t="shared" si="17"/>
        <v>0</v>
      </c>
      <c r="AA108" s="74">
        <f t="shared" si="18"/>
        <v>783</v>
      </c>
    </row>
    <row r="109" spans="1:38" s="81" customFormat="1" ht="15.75" x14ac:dyDescent="0.25">
      <c r="A109" s="51">
        <v>106</v>
      </c>
      <c r="B109" s="65">
        <v>45995</v>
      </c>
      <c r="C109" s="65">
        <v>45995</v>
      </c>
      <c r="D109" s="78">
        <v>251204060</v>
      </c>
      <c r="E109" s="67" t="s">
        <v>284</v>
      </c>
      <c r="F109" s="67" t="s">
        <v>285</v>
      </c>
      <c r="G109" s="67">
        <v>34</v>
      </c>
      <c r="H109" s="79">
        <v>115</v>
      </c>
      <c r="I109" s="19" t="s">
        <v>35</v>
      </c>
      <c r="J109" s="20" t="s">
        <v>23</v>
      </c>
      <c r="K109" s="21" t="s">
        <v>32</v>
      </c>
      <c r="L109" s="90" t="s">
        <v>286</v>
      </c>
      <c r="M109" s="67" t="s">
        <v>36</v>
      </c>
      <c r="N109" s="80">
        <v>46.16</v>
      </c>
      <c r="O109" s="80">
        <v>11.5</v>
      </c>
      <c r="P109" s="71">
        <f t="shared" si="14"/>
        <v>34.659999999999997</v>
      </c>
      <c r="Q109" s="72">
        <v>545</v>
      </c>
      <c r="R109" s="73">
        <f t="shared" si="15"/>
        <v>18889.699999999997</v>
      </c>
      <c r="S109" s="72"/>
      <c r="T109" s="74"/>
      <c r="V109" s="74" t="s">
        <v>24</v>
      </c>
      <c r="W109" s="72">
        <v>145</v>
      </c>
      <c r="X109" s="75">
        <f t="shared" si="16"/>
        <v>5025.7</v>
      </c>
      <c r="Y109" s="76">
        <v>260</v>
      </c>
      <c r="Z109" s="74">
        <f t="shared" si="17"/>
        <v>9011.5999999999985</v>
      </c>
      <c r="AA109" s="74">
        <f t="shared" si="18"/>
        <v>32927</v>
      </c>
    </row>
    <row r="110" spans="1:38" s="81" customFormat="1" ht="15.75" x14ac:dyDescent="0.25">
      <c r="A110" s="51">
        <v>107</v>
      </c>
      <c r="B110" s="65">
        <v>45995</v>
      </c>
      <c r="C110" s="65">
        <v>45995</v>
      </c>
      <c r="D110" s="78">
        <v>251204061</v>
      </c>
      <c r="E110" s="67" t="s">
        <v>287</v>
      </c>
      <c r="F110" s="67" t="s">
        <v>288</v>
      </c>
      <c r="G110" s="67">
        <v>44</v>
      </c>
      <c r="H110" s="79">
        <v>115</v>
      </c>
      <c r="I110" s="19" t="s">
        <v>35</v>
      </c>
      <c r="J110" s="20" t="s">
        <v>23</v>
      </c>
      <c r="K110" s="21" t="s">
        <v>32</v>
      </c>
      <c r="L110" s="70" t="s">
        <v>38</v>
      </c>
      <c r="M110" s="67" t="s">
        <v>34</v>
      </c>
      <c r="N110" s="80">
        <v>60.18</v>
      </c>
      <c r="O110" s="80">
        <v>15.8</v>
      </c>
      <c r="P110" s="71">
        <f t="shared" si="14"/>
        <v>44.379999999999995</v>
      </c>
      <c r="Q110" s="72">
        <v>315</v>
      </c>
      <c r="R110" s="73">
        <f t="shared" si="15"/>
        <v>13979.699999999999</v>
      </c>
      <c r="S110" s="72"/>
      <c r="T110" s="74"/>
      <c r="V110" s="74" t="s">
        <v>24</v>
      </c>
      <c r="W110" s="72">
        <v>145</v>
      </c>
      <c r="X110" s="75">
        <f t="shared" si="16"/>
        <v>6435.0999999999995</v>
      </c>
      <c r="Y110" s="76">
        <v>260</v>
      </c>
      <c r="Z110" s="74">
        <f t="shared" si="17"/>
        <v>11538.8</v>
      </c>
      <c r="AA110" s="74">
        <f t="shared" si="18"/>
        <v>31953.599999999999</v>
      </c>
    </row>
    <row r="111" spans="1:38" s="77" customFormat="1" ht="15.75" x14ac:dyDescent="0.25">
      <c r="A111" s="51">
        <v>108</v>
      </c>
      <c r="B111" s="65">
        <v>45995</v>
      </c>
      <c r="C111" s="65">
        <v>45995</v>
      </c>
      <c r="D111" s="78">
        <v>251204062</v>
      </c>
      <c r="E111" s="67" t="s">
        <v>289</v>
      </c>
      <c r="F111" s="67" t="s">
        <v>290</v>
      </c>
      <c r="G111" s="67">
        <v>21</v>
      </c>
      <c r="H111" s="79">
        <v>108</v>
      </c>
      <c r="I111" s="87" t="s">
        <v>159</v>
      </c>
      <c r="J111" s="58" t="s">
        <v>23</v>
      </c>
      <c r="K111" s="21" t="s">
        <v>32</v>
      </c>
      <c r="L111" s="70" t="s">
        <v>160</v>
      </c>
      <c r="M111" s="67" t="s">
        <v>36</v>
      </c>
      <c r="N111" s="67">
        <v>36.28</v>
      </c>
      <c r="O111" s="80">
        <v>14.38</v>
      </c>
      <c r="P111" s="71">
        <f t="shared" si="14"/>
        <v>21.9</v>
      </c>
      <c r="Q111" s="72">
        <v>620</v>
      </c>
      <c r="R111" s="73">
        <f t="shared" si="15"/>
        <v>13578</v>
      </c>
      <c r="S111" s="72"/>
      <c r="T111" s="74"/>
      <c r="V111" s="74" t="s">
        <v>24</v>
      </c>
      <c r="W111" s="72">
        <v>145</v>
      </c>
      <c r="X111" s="75">
        <f t="shared" si="16"/>
        <v>3175.5</v>
      </c>
      <c r="Y111" s="76"/>
      <c r="Z111" s="74">
        <f t="shared" si="17"/>
        <v>0</v>
      </c>
      <c r="AA111" s="74">
        <f t="shared" si="18"/>
        <v>16753.5</v>
      </c>
    </row>
    <row r="112" spans="1:38" s="77" customFormat="1" ht="15.75" x14ac:dyDescent="0.25">
      <c r="A112" s="51">
        <v>109</v>
      </c>
      <c r="B112" s="65">
        <v>45995</v>
      </c>
      <c r="C112" s="65">
        <v>45995</v>
      </c>
      <c r="D112" s="78">
        <v>251204063</v>
      </c>
      <c r="E112" s="67" t="s">
        <v>291</v>
      </c>
      <c r="F112" s="67" t="s">
        <v>292</v>
      </c>
      <c r="G112" s="67">
        <v>21</v>
      </c>
      <c r="H112" s="79">
        <v>108</v>
      </c>
      <c r="I112" s="87" t="s">
        <v>159</v>
      </c>
      <c r="J112" s="58" t="s">
        <v>23</v>
      </c>
      <c r="K112" s="21" t="s">
        <v>32</v>
      </c>
      <c r="L112" s="70" t="s">
        <v>188</v>
      </c>
      <c r="M112" s="67" t="s">
        <v>34</v>
      </c>
      <c r="N112" s="80">
        <v>36.14</v>
      </c>
      <c r="O112" s="80">
        <v>14.26</v>
      </c>
      <c r="P112" s="71">
        <f t="shared" si="14"/>
        <v>21.880000000000003</v>
      </c>
      <c r="Q112" s="72">
        <v>420</v>
      </c>
      <c r="R112" s="73">
        <f t="shared" si="15"/>
        <v>9189.6</v>
      </c>
      <c r="S112" s="72"/>
      <c r="T112" s="74"/>
      <c r="V112" s="74" t="s">
        <v>24</v>
      </c>
      <c r="W112" s="72">
        <v>145</v>
      </c>
      <c r="X112" s="75">
        <f t="shared" si="16"/>
        <v>3172.6000000000004</v>
      </c>
      <c r="Y112" s="76"/>
      <c r="Z112" s="74">
        <f t="shared" si="17"/>
        <v>0</v>
      </c>
      <c r="AA112" s="74">
        <f t="shared" si="18"/>
        <v>12362.2</v>
      </c>
    </row>
    <row r="113" spans="1:27" s="81" customFormat="1" ht="15.75" x14ac:dyDescent="0.25">
      <c r="A113" s="51">
        <v>110</v>
      </c>
      <c r="B113" s="65">
        <v>45995</v>
      </c>
      <c r="C113" s="65">
        <v>45995</v>
      </c>
      <c r="D113" s="91" t="s">
        <v>293</v>
      </c>
      <c r="E113" s="67"/>
      <c r="F113" s="67"/>
      <c r="G113" s="67"/>
      <c r="H113" s="88"/>
      <c r="I113" s="59" t="s">
        <v>294</v>
      </c>
      <c r="J113" s="58" t="s">
        <v>23</v>
      </c>
      <c r="K113" s="60" t="s">
        <v>30</v>
      </c>
      <c r="L113" s="67" t="s">
        <v>295</v>
      </c>
      <c r="M113" s="67" t="s">
        <v>36</v>
      </c>
      <c r="N113" s="80">
        <v>8.14</v>
      </c>
      <c r="O113" s="80">
        <v>5.54</v>
      </c>
      <c r="P113" s="71">
        <f>N113-O113</f>
        <v>2.6000000000000005</v>
      </c>
      <c r="Q113" s="72">
        <v>550</v>
      </c>
      <c r="R113" s="73">
        <f t="shared" si="15"/>
        <v>1430.0000000000002</v>
      </c>
      <c r="S113" s="72">
        <v>1430</v>
      </c>
      <c r="T113" s="74"/>
      <c r="V113" s="74" t="s">
        <v>24</v>
      </c>
      <c r="W113" s="72"/>
      <c r="X113" s="75">
        <f t="shared" si="16"/>
        <v>0</v>
      </c>
      <c r="Y113" s="76"/>
      <c r="Z113" s="74">
        <f t="shared" si="17"/>
        <v>0</v>
      </c>
      <c r="AA113" s="74">
        <f t="shared" si="18"/>
        <v>1430.0000000000002</v>
      </c>
    </row>
    <row r="114" spans="1:27" s="77" customFormat="1" ht="15.75" x14ac:dyDescent="0.25">
      <c r="A114" s="51">
        <v>111</v>
      </c>
      <c r="B114" s="65">
        <v>45995</v>
      </c>
      <c r="C114" s="65">
        <v>45996</v>
      </c>
      <c r="D114" s="92">
        <v>251205001</v>
      </c>
      <c r="E114" s="67" t="s">
        <v>296</v>
      </c>
      <c r="F114" s="67" t="s">
        <v>297</v>
      </c>
      <c r="G114" s="67">
        <v>38</v>
      </c>
      <c r="H114" s="79">
        <v>115</v>
      </c>
      <c r="I114" s="19" t="s">
        <v>35</v>
      </c>
      <c r="J114" s="20" t="s">
        <v>23</v>
      </c>
      <c r="K114" s="21" t="s">
        <v>32</v>
      </c>
      <c r="L114" s="70" t="s">
        <v>41</v>
      </c>
      <c r="M114" s="67" t="s">
        <v>37</v>
      </c>
      <c r="N114" s="80">
        <v>50.3</v>
      </c>
      <c r="O114" s="80">
        <v>11.88</v>
      </c>
      <c r="P114" s="71">
        <f>N114-O114</f>
        <v>38.419999999999995</v>
      </c>
      <c r="Q114" s="72">
        <v>445</v>
      </c>
      <c r="R114" s="73">
        <f t="shared" si="15"/>
        <v>17096.899999999998</v>
      </c>
      <c r="S114" s="72"/>
      <c r="T114" s="74"/>
      <c r="V114" s="74" t="s">
        <v>24</v>
      </c>
      <c r="W114" s="72">
        <v>145</v>
      </c>
      <c r="X114" s="75">
        <f t="shared" si="16"/>
        <v>5570.9</v>
      </c>
      <c r="Y114" s="76">
        <v>260</v>
      </c>
      <c r="Z114" s="74">
        <f t="shared" si="17"/>
        <v>9989.1999999999989</v>
      </c>
      <c r="AA114" s="74">
        <f t="shared" si="18"/>
        <v>32656.999999999993</v>
      </c>
    </row>
    <row r="115" spans="1:27" s="77" customFormat="1" ht="15.75" x14ac:dyDescent="0.25">
      <c r="A115" s="51">
        <v>112</v>
      </c>
      <c r="B115" s="65">
        <v>45995</v>
      </c>
      <c r="C115" s="65">
        <v>45996</v>
      </c>
      <c r="D115" s="92">
        <v>251205002</v>
      </c>
      <c r="E115" s="67" t="s">
        <v>298</v>
      </c>
      <c r="F115" s="67" t="s">
        <v>299</v>
      </c>
      <c r="G115" s="67">
        <v>33</v>
      </c>
      <c r="H115" s="79">
        <v>115</v>
      </c>
      <c r="I115" s="19" t="s">
        <v>35</v>
      </c>
      <c r="J115" s="20" t="s">
        <v>23</v>
      </c>
      <c r="K115" s="21" t="s">
        <v>32</v>
      </c>
      <c r="L115" s="70" t="s">
        <v>44</v>
      </c>
      <c r="M115" s="67" t="s">
        <v>36</v>
      </c>
      <c r="N115" s="67">
        <v>45.5</v>
      </c>
      <c r="O115" s="80">
        <v>11.72</v>
      </c>
      <c r="P115" s="71">
        <f t="shared" ref="P115:P142" si="19">N115-O115</f>
        <v>33.78</v>
      </c>
      <c r="Q115" s="72">
        <v>545</v>
      </c>
      <c r="R115" s="73">
        <f t="shared" si="15"/>
        <v>18410.100000000002</v>
      </c>
      <c r="S115" s="72"/>
      <c r="T115" s="74"/>
      <c r="V115" s="74" t="s">
        <v>24</v>
      </c>
      <c r="W115" s="72">
        <v>145</v>
      </c>
      <c r="X115" s="75">
        <f t="shared" si="16"/>
        <v>4898.1000000000004</v>
      </c>
      <c r="Y115" s="76">
        <v>260</v>
      </c>
      <c r="Z115" s="74">
        <f t="shared" si="17"/>
        <v>8782.8000000000011</v>
      </c>
      <c r="AA115" s="74">
        <f t="shared" si="18"/>
        <v>32091.000000000007</v>
      </c>
    </row>
    <row r="116" spans="1:27" s="81" customFormat="1" ht="15.75" x14ac:dyDescent="0.25">
      <c r="A116" s="51">
        <v>113</v>
      </c>
      <c r="B116" s="65">
        <v>45995</v>
      </c>
      <c r="C116" s="65">
        <v>45996</v>
      </c>
      <c r="D116" s="92">
        <v>251205003</v>
      </c>
      <c r="E116" s="67" t="s">
        <v>300</v>
      </c>
      <c r="F116" s="67" t="s">
        <v>301</v>
      </c>
      <c r="G116" s="67">
        <v>43</v>
      </c>
      <c r="H116" s="79">
        <v>115</v>
      </c>
      <c r="I116" s="19" t="s">
        <v>35</v>
      </c>
      <c r="J116" s="20" t="s">
        <v>23</v>
      </c>
      <c r="K116" s="21" t="s">
        <v>32</v>
      </c>
      <c r="L116" s="78" t="s">
        <v>54</v>
      </c>
      <c r="M116" s="67" t="s">
        <v>34</v>
      </c>
      <c r="N116" s="80">
        <v>58.22</v>
      </c>
      <c r="O116" s="67">
        <v>14.94</v>
      </c>
      <c r="P116" s="93">
        <f>N116-O116</f>
        <v>43.28</v>
      </c>
      <c r="Q116" s="72">
        <v>315</v>
      </c>
      <c r="R116" s="73">
        <f t="shared" si="15"/>
        <v>13633.2</v>
      </c>
      <c r="S116" s="67"/>
      <c r="T116" s="74"/>
      <c r="V116" s="74" t="s">
        <v>24</v>
      </c>
      <c r="W116" s="72">
        <v>145</v>
      </c>
      <c r="X116" s="75">
        <f t="shared" si="16"/>
        <v>6275.6</v>
      </c>
      <c r="Y116" s="76">
        <v>260</v>
      </c>
      <c r="Z116" s="74">
        <f t="shared" si="17"/>
        <v>11252.800000000001</v>
      </c>
      <c r="AA116" s="74">
        <f t="shared" si="18"/>
        <v>31161.600000000006</v>
      </c>
    </row>
    <row r="117" spans="1:27" s="81" customFormat="1" ht="15.75" x14ac:dyDescent="0.25">
      <c r="A117" s="51">
        <v>114</v>
      </c>
      <c r="B117" s="65">
        <v>45995</v>
      </c>
      <c r="C117" s="65">
        <v>45996</v>
      </c>
      <c r="D117" s="92">
        <v>251205004</v>
      </c>
      <c r="E117" s="67" t="s">
        <v>302</v>
      </c>
      <c r="F117" s="67" t="s">
        <v>303</v>
      </c>
      <c r="G117" s="67">
        <v>43</v>
      </c>
      <c r="H117" s="79">
        <v>115</v>
      </c>
      <c r="I117" s="19" t="s">
        <v>35</v>
      </c>
      <c r="J117" s="20" t="s">
        <v>23</v>
      </c>
      <c r="K117" s="21" t="s">
        <v>32</v>
      </c>
      <c r="L117" s="70" t="s">
        <v>40</v>
      </c>
      <c r="M117" s="67" t="s">
        <v>36</v>
      </c>
      <c r="N117" s="80">
        <v>58.3</v>
      </c>
      <c r="O117" s="80">
        <v>15.04</v>
      </c>
      <c r="P117" s="71">
        <f t="shared" si="19"/>
        <v>43.26</v>
      </c>
      <c r="Q117" s="67">
        <v>545</v>
      </c>
      <c r="R117" s="73">
        <f t="shared" si="15"/>
        <v>23576.7</v>
      </c>
      <c r="S117" s="67"/>
      <c r="T117" s="74"/>
      <c r="V117" s="74" t="s">
        <v>24</v>
      </c>
      <c r="W117" s="72">
        <v>145</v>
      </c>
      <c r="X117" s="75">
        <f t="shared" si="16"/>
        <v>6272.7</v>
      </c>
      <c r="Y117" s="76">
        <v>260</v>
      </c>
      <c r="Z117" s="74">
        <f t="shared" si="17"/>
        <v>11247.6</v>
      </c>
      <c r="AA117" s="74">
        <f t="shared" si="18"/>
        <v>41097</v>
      </c>
    </row>
    <row r="118" spans="1:27" s="81" customFormat="1" ht="15.75" x14ac:dyDescent="0.25">
      <c r="A118" s="51">
        <v>115</v>
      </c>
      <c r="B118" s="65">
        <v>45995</v>
      </c>
      <c r="C118" s="65">
        <v>45996</v>
      </c>
      <c r="D118" s="92" t="s">
        <v>304</v>
      </c>
      <c r="E118" s="67"/>
      <c r="F118" s="67"/>
      <c r="G118" s="67"/>
      <c r="H118" s="94">
        <v>285</v>
      </c>
      <c r="I118" s="95" t="s">
        <v>166</v>
      </c>
      <c r="J118" s="20" t="s">
        <v>23</v>
      </c>
      <c r="K118" s="19" t="s">
        <v>32</v>
      </c>
      <c r="L118" s="70" t="s">
        <v>305</v>
      </c>
      <c r="M118" s="67" t="s">
        <v>306</v>
      </c>
      <c r="N118" s="67">
        <v>43.5</v>
      </c>
      <c r="O118" s="80">
        <v>11.66</v>
      </c>
      <c r="P118" s="71">
        <f t="shared" si="19"/>
        <v>31.84</v>
      </c>
      <c r="Q118" s="67">
        <v>425</v>
      </c>
      <c r="R118" s="73">
        <f t="shared" si="15"/>
        <v>13532</v>
      </c>
      <c r="S118" s="67"/>
      <c r="T118" s="74"/>
      <c r="V118" s="74" t="s">
        <v>53</v>
      </c>
      <c r="W118" s="72"/>
      <c r="X118" s="75">
        <f t="shared" si="16"/>
        <v>0</v>
      </c>
      <c r="Y118" s="76"/>
      <c r="Z118" s="74">
        <f t="shared" si="17"/>
        <v>0</v>
      </c>
      <c r="AA118" s="74">
        <f t="shared" si="18"/>
        <v>13532</v>
      </c>
    </row>
    <row r="119" spans="1:27" s="81" customFormat="1" ht="15.75" x14ac:dyDescent="0.25">
      <c r="A119" s="51">
        <v>116</v>
      </c>
      <c r="B119" s="65">
        <v>45995</v>
      </c>
      <c r="C119" s="65">
        <v>45996</v>
      </c>
      <c r="D119" s="92">
        <v>251205005</v>
      </c>
      <c r="E119" s="67" t="s">
        <v>307</v>
      </c>
      <c r="F119" s="67" t="s">
        <v>308</v>
      </c>
      <c r="G119" s="67">
        <v>44</v>
      </c>
      <c r="H119" s="79">
        <v>115</v>
      </c>
      <c r="I119" s="19" t="s">
        <v>35</v>
      </c>
      <c r="J119" s="20" t="s">
        <v>23</v>
      </c>
      <c r="K119" s="21" t="s">
        <v>32</v>
      </c>
      <c r="L119" s="96" t="s">
        <v>38</v>
      </c>
      <c r="M119" s="67" t="s">
        <v>36</v>
      </c>
      <c r="N119" s="80">
        <v>60.5</v>
      </c>
      <c r="O119" s="80">
        <v>15.74</v>
      </c>
      <c r="P119" s="71">
        <f t="shared" si="19"/>
        <v>44.76</v>
      </c>
      <c r="Q119" s="67">
        <v>545</v>
      </c>
      <c r="R119" s="73">
        <f t="shared" si="15"/>
        <v>24394.2</v>
      </c>
      <c r="S119" s="67"/>
      <c r="T119" s="74"/>
      <c r="V119" s="74" t="s">
        <v>24</v>
      </c>
      <c r="W119" s="72">
        <v>145</v>
      </c>
      <c r="X119" s="75">
        <f t="shared" si="16"/>
        <v>6490.2</v>
      </c>
      <c r="Y119" s="76">
        <v>260</v>
      </c>
      <c r="Z119" s="74">
        <f t="shared" si="17"/>
        <v>11637.6</v>
      </c>
      <c r="AA119" s="74">
        <f t="shared" si="18"/>
        <v>42522</v>
      </c>
    </row>
    <row r="120" spans="1:27" s="81" customFormat="1" ht="15.75" x14ac:dyDescent="0.25">
      <c r="A120" s="51">
        <v>117</v>
      </c>
      <c r="B120" s="65">
        <v>45995</v>
      </c>
      <c r="C120" s="65">
        <v>45996</v>
      </c>
      <c r="D120" s="92">
        <v>251205006</v>
      </c>
      <c r="E120" s="67" t="s">
        <v>309</v>
      </c>
      <c r="F120" s="67" t="s">
        <v>310</v>
      </c>
      <c r="G120" s="67">
        <v>45</v>
      </c>
      <c r="H120" s="79">
        <v>115</v>
      </c>
      <c r="I120" s="19" t="s">
        <v>35</v>
      </c>
      <c r="J120" s="20" t="s">
        <v>23</v>
      </c>
      <c r="K120" s="21" t="s">
        <v>32</v>
      </c>
      <c r="L120" s="70" t="s">
        <v>59</v>
      </c>
      <c r="M120" s="67" t="s">
        <v>36</v>
      </c>
      <c r="N120" s="80">
        <v>62.58</v>
      </c>
      <c r="O120" s="67">
        <v>17.559999999999999</v>
      </c>
      <c r="P120" s="71">
        <f t="shared" si="19"/>
        <v>45.019999999999996</v>
      </c>
      <c r="Q120" s="67">
        <v>545</v>
      </c>
      <c r="R120" s="73">
        <f t="shared" si="15"/>
        <v>24535.899999999998</v>
      </c>
      <c r="S120" s="67"/>
      <c r="T120" s="74"/>
      <c r="V120" s="74" t="s">
        <v>24</v>
      </c>
      <c r="W120" s="72">
        <v>145</v>
      </c>
      <c r="X120" s="75">
        <f t="shared" si="16"/>
        <v>6527.9</v>
      </c>
      <c r="Y120" s="76">
        <v>260</v>
      </c>
      <c r="Z120" s="74">
        <f t="shared" si="17"/>
        <v>11705.199999999999</v>
      </c>
      <c r="AA120" s="74">
        <f t="shared" si="18"/>
        <v>42768.999999999993</v>
      </c>
    </row>
    <row r="121" spans="1:27" s="81" customFormat="1" ht="15.75" x14ac:dyDescent="0.25">
      <c r="A121" s="51">
        <v>118</v>
      </c>
      <c r="B121" s="65">
        <v>45995</v>
      </c>
      <c r="C121" s="65">
        <v>45996</v>
      </c>
      <c r="D121" s="92">
        <v>251205007</v>
      </c>
      <c r="E121" s="67" t="s">
        <v>311</v>
      </c>
      <c r="F121" s="67" t="s">
        <v>312</v>
      </c>
      <c r="G121" s="67">
        <v>33</v>
      </c>
      <c r="H121" s="97">
        <v>24</v>
      </c>
      <c r="I121" s="87" t="s">
        <v>199</v>
      </c>
      <c r="J121" s="18" t="s">
        <v>23</v>
      </c>
      <c r="K121" s="19" t="s">
        <v>32</v>
      </c>
      <c r="L121" s="70" t="s">
        <v>57</v>
      </c>
      <c r="M121" s="67" t="s">
        <v>34</v>
      </c>
      <c r="N121" s="80">
        <v>45.4</v>
      </c>
      <c r="O121" s="67">
        <v>11.46</v>
      </c>
      <c r="P121" s="71">
        <f t="shared" si="19"/>
        <v>33.94</v>
      </c>
      <c r="Q121" s="67">
        <v>335</v>
      </c>
      <c r="R121" s="73">
        <f t="shared" si="15"/>
        <v>11369.9</v>
      </c>
      <c r="S121" s="67"/>
      <c r="T121" s="74"/>
      <c r="V121" s="74" t="s">
        <v>24</v>
      </c>
      <c r="W121" s="72">
        <v>145</v>
      </c>
      <c r="X121" s="75">
        <f t="shared" si="16"/>
        <v>4921.2999999999993</v>
      </c>
      <c r="Y121" s="76">
        <v>260</v>
      </c>
      <c r="Z121" s="74">
        <f t="shared" si="17"/>
        <v>8824.4</v>
      </c>
      <c r="AA121" s="74">
        <f t="shared" si="18"/>
        <v>25115.599999999999</v>
      </c>
    </row>
    <row r="122" spans="1:27" s="77" customFormat="1" ht="15.75" x14ac:dyDescent="0.25">
      <c r="A122" s="51">
        <v>119</v>
      </c>
      <c r="B122" s="65">
        <v>45995</v>
      </c>
      <c r="C122" s="65">
        <v>45996</v>
      </c>
      <c r="D122" s="92">
        <v>251205008</v>
      </c>
      <c r="E122" s="67" t="s">
        <v>313</v>
      </c>
      <c r="F122" s="67" t="s">
        <v>314</v>
      </c>
      <c r="G122" s="67">
        <v>47</v>
      </c>
      <c r="H122" s="97">
        <v>24</v>
      </c>
      <c r="I122" s="87" t="s">
        <v>199</v>
      </c>
      <c r="J122" s="18" t="s">
        <v>23</v>
      </c>
      <c r="K122" s="19" t="s">
        <v>32</v>
      </c>
      <c r="L122" s="67" t="s">
        <v>75</v>
      </c>
      <c r="M122" s="67" t="s">
        <v>34</v>
      </c>
      <c r="N122" s="80">
        <v>64.38</v>
      </c>
      <c r="O122" s="80">
        <v>16.54</v>
      </c>
      <c r="P122" s="71">
        <f t="shared" si="19"/>
        <v>47.839999999999996</v>
      </c>
      <c r="Q122" s="72">
        <v>335</v>
      </c>
      <c r="R122" s="73">
        <f t="shared" si="15"/>
        <v>16026.4</v>
      </c>
      <c r="S122" s="72"/>
      <c r="T122" s="74"/>
      <c r="V122" s="74" t="s">
        <v>24</v>
      </c>
      <c r="W122" s="72">
        <v>145</v>
      </c>
      <c r="X122" s="75">
        <f t="shared" si="16"/>
        <v>6936.7999999999993</v>
      </c>
      <c r="Y122" s="76">
        <v>260</v>
      </c>
      <c r="Z122" s="74">
        <f t="shared" si="17"/>
        <v>12438.4</v>
      </c>
      <c r="AA122" s="74">
        <f t="shared" si="18"/>
        <v>35401.599999999999</v>
      </c>
    </row>
    <row r="123" spans="1:27" s="77" customFormat="1" ht="15.75" x14ac:dyDescent="0.25">
      <c r="A123" s="51">
        <v>120</v>
      </c>
      <c r="B123" s="65">
        <v>45996</v>
      </c>
      <c r="C123" s="65">
        <v>45996</v>
      </c>
      <c r="D123" s="78">
        <v>251205009</v>
      </c>
      <c r="E123" s="67" t="s">
        <v>315</v>
      </c>
      <c r="F123" s="67" t="s">
        <v>316</v>
      </c>
      <c r="G123" s="67">
        <v>34</v>
      </c>
      <c r="H123" s="79">
        <v>117</v>
      </c>
      <c r="I123" s="86" t="s">
        <v>55</v>
      </c>
      <c r="J123" s="20" t="s">
        <v>23</v>
      </c>
      <c r="K123" s="19" t="s">
        <v>32</v>
      </c>
      <c r="L123" s="70" t="s">
        <v>45</v>
      </c>
      <c r="M123" s="67" t="s">
        <v>34</v>
      </c>
      <c r="N123" s="67">
        <v>46.6</v>
      </c>
      <c r="O123" s="67">
        <v>11.86</v>
      </c>
      <c r="P123" s="71">
        <f t="shared" si="19"/>
        <v>34.74</v>
      </c>
      <c r="Q123" s="72">
        <v>335</v>
      </c>
      <c r="R123" s="73">
        <f t="shared" si="15"/>
        <v>11637.900000000001</v>
      </c>
      <c r="S123" s="72"/>
      <c r="T123" s="74"/>
      <c r="V123" s="74" t="s">
        <v>24</v>
      </c>
      <c r="W123" s="72">
        <v>145</v>
      </c>
      <c r="X123" s="75">
        <f t="shared" ref="X123:X155" si="20">W123*P123</f>
        <v>5037.3</v>
      </c>
      <c r="Y123" s="76">
        <v>230</v>
      </c>
      <c r="Z123" s="74">
        <f t="shared" ref="Z123:Z155" si="21">Y123*P123</f>
        <v>7990.2000000000007</v>
      </c>
      <c r="AA123" s="74">
        <f t="shared" ref="AA123:AA155" si="22">R123+X123+Z123</f>
        <v>24665.4</v>
      </c>
    </row>
    <row r="124" spans="1:27" s="77" customFormat="1" ht="15.75" x14ac:dyDescent="0.25">
      <c r="A124" s="51">
        <v>121</v>
      </c>
      <c r="B124" s="65">
        <v>45996</v>
      </c>
      <c r="C124" s="65">
        <v>45996</v>
      </c>
      <c r="D124" s="78">
        <v>251205010</v>
      </c>
      <c r="E124" s="67" t="s">
        <v>317</v>
      </c>
      <c r="F124" s="67" t="s">
        <v>318</v>
      </c>
      <c r="G124" s="67">
        <v>31</v>
      </c>
      <c r="H124" s="79">
        <v>117</v>
      </c>
      <c r="I124" s="86" t="s">
        <v>55</v>
      </c>
      <c r="J124" s="20" t="s">
        <v>23</v>
      </c>
      <c r="K124" s="19" t="s">
        <v>32</v>
      </c>
      <c r="L124" s="70" t="s">
        <v>56</v>
      </c>
      <c r="M124" s="67" t="s">
        <v>34</v>
      </c>
      <c r="N124" s="67">
        <v>43.32</v>
      </c>
      <c r="O124" s="67">
        <v>11.72</v>
      </c>
      <c r="P124" s="71">
        <f t="shared" si="19"/>
        <v>31.6</v>
      </c>
      <c r="Q124" s="72">
        <v>335</v>
      </c>
      <c r="R124" s="73">
        <f t="shared" si="15"/>
        <v>10586</v>
      </c>
      <c r="S124" s="72"/>
      <c r="T124" s="74"/>
      <c r="V124" s="74" t="s">
        <v>24</v>
      </c>
      <c r="W124" s="72">
        <v>145</v>
      </c>
      <c r="X124" s="75">
        <f t="shared" si="20"/>
        <v>4582</v>
      </c>
      <c r="Y124" s="76">
        <v>230</v>
      </c>
      <c r="Z124" s="76">
        <f t="shared" si="21"/>
        <v>7268</v>
      </c>
      <c r="AA124" s="74">
        <f t="shared" si="22"/>
        <v>22436</v>
      </c>
    </row>
    <row r="125" spans="1:27" s="77" customFormat="1" ht="15.75" x14ac:dyDescent="0.25">
      <c r="A125" s="51">
        <v>122</v>
      </c>
      <c r="B125" s="65">
        <v>45996</v>
      </c>
      <c r="C125" s="65">
        <v>45996</v>
      </c>
      <c r="D125" s="78">
        <v>251205011</v>
      </c>
      <c r="E125" s="67" t="s">
        <v>319</v>
      </c>
      <c r="F125" s="67" t="s">
        <v>320</v>
      </c>
      <c r="G125" s="67">
        <v>35</v>
      </c>
      <c r="H125" s="79">
        <v>115</v>
      </c>
      <c r="I125" s="19" t="s">
        <v>35</v>
      </c>
      <c r="J125" s="20" t="s">
        <v>23</v>
      </c>
      <c r="K125" s="21" t="s">
        <v>32</v>
      </c>
      <c r="L125" s="70" t="s">
        <v>42</v>
      </c>
      <c r="M125" s="67" t="s">
        <v>36</v>
      </c>
      <c r="N125" s="67">
        <v>46.86</v>
      </c>
      <c r="O125" s="67">
        <v>11.64</v>
      </c>
      <c r="P125" s="71">
        <f t="shared" si="19"/>
        <v>35.22</v>
      </c>
      <c r="Q125" s="72">
        <v>545</v>
      </c>
      <c r="R125" s="73">
        <f t="shared" si="15"/>
        <v>19194.899999999998</v>
      </c>
      <c r="S125" s="72"/>
      <c r="T125" s="74"/>
      <c r="V125" s="74" t="s">
        <v>24</v>
      </c>
      <c r="W125" s="72">
        <v>145</v>
      </c>
      <c r="X125" s="75">
        <f t="shared" si="20"/>
        <v>5106.8999999999996</v>
      </c>
      <c r="Y125" s="76">
        <v>260</v>
      </c>
      <c r="Z125" s="76">
        <f t="shared" si="21"/>
        <v>9157.1999999999989</v>
      </c>
      <c r="AA125" s="74">
        <f t="shared" si="22"/>
        <v>33458.999999999993</v>
      </c>
    </row>
    <row r="126" spans="1:27" s="77" customFormat="1" ht="15.75" x14ac:dyDescent="0.25">
      <c r="A126" s="51">
        <v>123</v>
      </c>
      <c r="B126" s="65">
        <v>45996</v>
      </c>
      <c r="C126" s="65">
        <v>45996</v>
      </c>
      <c r="D126" s="78">
        <v>251205012</v>
      </c>
      <c r="E126" s="67" t="s">
        <v>321</v>
      </c>
      <c r="F126" s="67" t="s">
        <v>322</v>
      </c>
      <c r="G126" s="67">
        <v>46</v>
      </c>
      <c r="H126" s="79">
        <v>117</v>
      </c>
      <c r="I126" s="86" t="s">
        <v>55</v>
      </c>
      <c r="J126" s="20" t="s">
        <v>23</v>
      </c>
      <c r="K126" s="19" t="s">
        <v>32</v>
      </c>
      <c r="L126" s="70" t="s">
        <v>323</v>
      </c>
      <c r="M126" s="67" t="s">
        <v>36</v>
      </c>
      <c r="N126" s="67">
        <v>62.34</v>
      </c>
      <c r="O126" s="67">
        <v>15.34</v>
      </c>
      <c r="P126" s="71">
        <f t="shared" si="19"/>
        <v>47</v>
      </c>
      <c r="Q126" s="72">
        <v>555</v>
      </c>
      <c r="R126" s="73">
        <f t="shared" si="15"/>
        <v>26085</v>
      </c>
      <c r="S126" s="72"/>
      <c r="T126" s="74"/>
      <c r="V126" s="74" t="s">
        <v>24</v>
      </c>
      <c r="W126" s="72">
        <v>145</v>
      </c>
      <c r="X126" s="75">
        <f t="shared" si="20"/>
        <v>6815</v>
      </c>
      <c r="Y126" s="76">
        <v>230</v>
      </c>
      <c r="Z126" s="76">
        <f t="shared" si="21"/>
        <v>10810</v>
      </c>
      <c r="AA126" s="74">
        <f t="shared" si="22"/>
        <v>43710</v>
      </c>
    </row>
    <row r="127" spans="1:27" s="77" customFormat="1" ht="15.75" x14ac:dyDescent="0.25">
      <c r="A127" s="51">
        <v>124</v>
      </c>
      <c r="B127" s="65">
        <v>45996</v>
      </c>
      <c r="C127" s="65">
        <v>45996</v>
      </c>
      <c r="D127" s="78">
        <v>251205013</v>
      </c>
      <c r="E127" s="67" t="s">
        <v>324</v>
      </c>
      <c r="F127" s="67" t="s">
        <v>325</v>
      </c>
      <c r="G127" s="67">
        <v>42</v>
      </c>
      <c r="H127" s="97">
        <v>42</v>
      </c>
      <c r="I127" s="87" t="s">
        <v>52</v>
      </c>
      <c r="J127" s="18" t="s">
        <v>23</v>
      </c>
      <c r="K127" s="19" t="s">
        <v>32</v>
      </c>
      <c r="L127" s="70" t="s">
        <v>39</v>
      </c>
      <c r="M127" s="67" t="s">
        <v>34</v>
      </c>
      <c r="N127" s="67">
        <v>58.58</v>
      </c>
      <c r="O127" s="67">
        <v>15.8</v>
      </c>
      <c r="P127" s="71">
        <f t="shared" si="19"/>
        <v>42.78</v>
      </c>
      <c r="Q127" s="72">
        <v>285</v>
      </c>
      <c r="R127" s="73">
        <f t="shared" si="15"/>
        <v>12192.300000000001</v>
      </c>
      <c r="S127" s="72"/>
      <c r="T127" s="74"/>
      <c r="V127" s="74" t="s">
        <v>24</v>
      </c>
      <c r="W127" s="72">
        <v>145</v>
      </c>
      <c r="X127" s="75">
        <f t="shared" si="20"/>
        <v>6203.1</v>
      </c>
      <c r="Y127" s="76">
        <v>260</v>
      </c>
      <c r="Z127" s="76">
        <f t="shared" si="21"/>
        <v>11122.800000000001</v>
      </c>
      <c r="AA127" s="74">
        <f t="shared" si="22"/>
        <v>29518.200000000004</v>
      </c>
    </row>
    <row r="128" spans="1:27" s="81" customFormat="1" ht="15.75" x14ac:dyDescent="0.25">
      <c r="A128" s="51">
        <v>125</v>
      </c>
      <c r="B128" s="65">
        <v>45996</v>
      </c>
      <c r="C128" s="65">
        <v>45996</v>
      </c>
      <c r="D128" s="78">
        <v>251205014</v>
      </c>
      <c r="E128" s="67" t="s">
        <v>326</v>
      </c>
      <c r="F128" s="67" t="s">
        <v>327</v>
      </c>
      <c r="G128" s="67">
        <v>48</v>
      </c>
      <c r="H128" s="79">
        <v>117</v>
      </c>
      <c r="I128" s="86" t="s">
        <v>55</v>
      </c>
      <c r="J128" s="20" t="s">
        <v>23</v>
      </c>
      <c r="K128" s="19" t="s">
        <v>32</v>
      </c>
      <c r="L128" s="70" t="s">
        <v>328</v>
      </c>
      <c r="M128" s="67" t="s">
        <v>36</v>
      </c>
      <c r="N128" s="80">
        <v>64.14</v>
      </c>
      <c r="O128" s="67">
        <v>15.46</v>
      </c>
      <c r="P128" s="71">
        <f t="shared" si="19"/>
        <v>48.68</v>
      </c>
      <c r="Q128" s="72">
        <v>555</v>
      </c>
      <c r="R128" s="73">
        <f t="shared" si="15"/>
        <v>27017.4</v>
      </c>
      <c r="S128" s="72"/>
      <c r="T128" s="74"/>
      <c r="V128" s="74" t="s">
        <v>24</v>
      </c>
      <c r="W128" s="72">
        <v>145</v>
      </c>
      <c r="X128" s="75">
        <f t="shared" si="20"/>
        <v>7058.6</v>
      </c>
      <c r="Y128" s="76">
        <v>230</v>
      </c>
      <c r="Z128" s="76">
        <f t="shared" si="21"/>
        <v>11196.4</v>
      </c>
      <c r="AA128" s="74">
        <f t="shared" si="22"/>
        <v>45272.4</v>
      </c>
    </row>
    <row r="129" spans="1:38" s="77" customFormat="1" ht="15.75" x14ac:dyDescent="0.25">
      <c r="A129" s="51">
        <v>126</v>
      </c>
      <c r="B129" s="65">
        <v>45996</v>
      </c>
      <c r="C129" s="65">
        <v>45996</v>
      </c>
      <c r="D129" s="78">
        <v>251205015</v>
      </c>
      <c r="E129" s="67" t="s">
        <v>329</v>
      </c>
      <c r="F129" s="67" t="s">
        <v>330</v>
      </c>
      <c r="G129" s="67">
        <v>33</v>
      </c>
      <c r="H129" s="79">
        <v>117</v>
      </c>
      <c r="I129" s="86" t="s">
        <v>55</v>
      </c>
      <c r="J129" s="20" t="s">
        <v>23</v>
      </c>
      <c r="K129" s="19" t="s">
        <v>32</v>
      </c>
      <c r="L129" s="70" t="s">
        <v>331</v>
      </c>
      <c r="M129" s="67" t="s">
        <v>34</v>
      </c>
      <c r="N129" s="80">
        <v>45.5</v>
      </c>
      <c r="O129" s="67">
        <v>11.48</v>
      </c>
      <c r="P129" s="71">
        <f t="shared" si="19"/>
        <v>34.019999999999996</v>
      </c>
      <c r="Q129" s="72">
        <v>335</v>
      </c>
      <c r="R129" s="73">
        <f t="shared" si="15"/>
        <v>11396.699999999999</v>
      </c>
      <c r="S129" s="72"/>
      <c r="T129" s="74"/>
      <c r="V129" s="74" t="s">
        <v>24</v>
      </c>
      <c r="W129" s="72">
        <v>145</v>
      </c>
      <c r="X129" s="75">
        <f t="shared" si="20"/>
        <v>4932.8999999999996</v>
      </c>
      <c r="Y129" s="76">
        <v>230</v>
      </c>
      <c r="Z129" s="74">
        <f t="shared" si="21"/>
        <v>7824.5999999999995</v>
      </c>
      <c r="AA129" s="74">
        <f t="shared" si="22"/>
        <v>24154.199999999997</v>
      </c>
    </row>
    <row r="130" spans="1:38" s="77" customFormat="1" ht="15.75" x14ac:dyDescent="0.25">
      <c r="A130" s="51">
        <v>127</v>
      </c>
      <c r="B130" s="65">
        <v>45996</v>
      </c>
      <c r="C130" s="65">
        <v>45996</v>
      </c>
      <c r="D130" s="78">
        <v>251205016</v>
      </c>
      <c r="E130" s="67" t="s">
        <v>332</v>
      </c>
      <c r="F130" s="67" t="s">
        <v>333</v>
      </c>
      <c r="G130" s="67">
        <v>38</v>
      </c>
      <c r="H130" s="79">
        <v>115</v>
      </c>
      <c r="I130" s="19" t="s">
        <v>35</v>
      </c>
      <c r="J130" s="20" t="s">
        <v>23</v>
      </c>
      <c r="K130" s="21" t="s">
        <v>32</v>
      </c>
      <c r="L130" s="70" t="s">
        <v>286</v>
      </c>
      <c r="M130" s="67" t="s">
        <v>37</v>
      </c>
      <c r="N130" s="80">
        <v>50.22</v>
      </c>
      <c r="O130" s="80">
        <v>11.44</v>
      </c>
      <c r="P130" s="71">
        <f t="shared" si="19"/>
        <v>38.78</v>
      </c>
      <c r="Q130" s="72">
        <v>445</v>
      </c>
      <c r="R130" s="73">
        <f t="shared" si="15"/>
        <v>17257.100000000002</v>
      </c>
      <c r="S130" s="72"/>
      <c r="T130" s="74"/>
      <c r="V130" s="74" t="s">
        <v>24</v>
      </c>
      <c r="W130" s="72">
        <v>145</v>
      </c>
      <c r="X130" s="75">
        <f t="shared" si="20"/>
        <v>5623.1</v>
      </c>
      <c r="Y130" s="76">
        <v>260</v>
      </c>
      <c r="Z130" s="76">
        <f t="shared" si="21"/>
        <v>10082.800000000001</v>
      </c>
      <c r="AA130" s="74">
        <f t="shared" si="22"/>
        <v>32963.000000000007</v>
      </c>
    </row>
    <row r="131" spans="1:38" s="77" customFormat="1" ht="15.75" x14ac:dyDescent="0.25">
      <c r="A131" s="51">
        <v>128</v>
      </c>
      <c r="B131" s="65">
        <v>45996</v>
      </c>
      <c r="C131" s="65">
        <v>45996</v>
      </c>
      <c r="D131" s="78">
        <v>251205017</v>
      </c>
      <c r="E131" s="67" t="s">
        <v>334</v>
      </c>
      <c r="F131" s="67" t="s">
        <v>335</v>
      </c>
      <c r="G131" s="67">
        <v>33</v>
      </c>
      <c r="H131" s="79">
        <v>117</v>
      </c>
      <c r="I131" s="86" t="s">
        <v>55</v>
      </c>
      <c r="J131" s="20" t="s">
        <v>23</v>
      </c>
      <c r="K131" s="19" t="s">
        <v>32</v>
      </c>
      <c r="L131" s="70" t="s">
        <v>246</v>
      </c>
      <c r="M131" s="67" t="s">
        <v>34</v>
      </c>
      <c r="N131" s="67">
        <v>44.56</v>
      </c>
      <c r="O131" s="80">
        <v>11.46</v>
      </c>
      <c r="P131" s="71">
        <f t="shared" si="19"/>
        <v>33.1</v>
      </c>
      <c r="Q131" s="72">
        <v>335</v>
      </c>
      <c r="R131" s="73">
        <f t="shared" si="15"/>
        <v>11088.5</v>
      </c>
      <c r="S131" s="72"/>
      <c r="T131" s="74"/>
      <c r="V131" s="74" t="s">
        <v>24</v>
      </c>
      <c r="W131" s="72">
        <v>145</v>
      </c>
      <c r="X131" s="75">
        <f t="shared" si="20"/>
        <v>4799.5</v>
      </c>
      <c r="Y131" s="76">
        <v>230</v>
      </c>
      <c r="Z131" s="76">
        <f t="shared" si="21"/>
        <v>7613</v>
      </c>
      <c r="AA131" s="74">
        <f t="shared" si="22"/>
        <v>23501</v>
      </c>
    </row>
    <row r="132" spans="1:38" s="77" customFormat="1" ht="17.100000000000001" customHeight="1" x14ac:dyDescent="0.25">
      <c r="A132" s="51">
        <v>129</v>
      </c>
      <c r="B132" s="65">
        <v>45996</v>
      </c>
      <c r="C132" s="65">
        <v>45996</v>
      </c>
      <c r="D132" s="78">
        <v>251205018</v>
      </c>
      <c r="E132" s="67" t="s">
        <v>336</v>
      </c>
      <c r="F132" s="67" t="s">
        <v>337</v>
      </c>
      <c r="G132" s="67">
        <v>34</v>
      </c>
      <c r="H132" s="79">
        <v>117</v>
      </c>
      <c r="I132" s="86" t="s">
        <v>55</v>
      </c>
      <c r="J132" s="20" t="s">
        <v>23</v>
      </c>
      <c r="K132" s="19" t="s">
        <v>32</v>
      </c>
      <c r="L132" s="70" t="s">
        <v>240</v>
      </c>
      <c r="M132" s="67" t="s">
        <v>34</v>
      </c>
      <c r="N132" s="80">
        <v>46.32</v>
      </c>
      <c r="O132" s="67">
        <v>11.38</v>
      </c>
      <c r="P132" s="71">
        <f t="shared" si="19"/>
        <v>34.94</v>
      </c>
      <c r="Q132" s="72">
        <v>335</v>
      </c>
      <c r="R132" s="73">
        <f t="shared" si="15"/>
        <v>11704.9</v>
      </c>
      <c r="S132" s="72"/>
      <c r="T132" s="74"/>
      <c r="V132" s="74" t="s">
        <v>24</v>
      </c>
      <c r="W132" s="72">
        <v>145</v>
      </c>
      <c r="X132" s="75">
        <f t="shared" si="20"/>
        <v>5066.2999999999993</v>
      </c>
      <c r="Y132" s="76">
        <v>230</v>
      </c>
      <c r="Z132" s="76">
        <f t="shared" si="21"/>
        <v>8036.2</v>
      </c>
      <c r="AA132" s="74">
        <f t="shared" si="22"/>
        <v>24807.399999999998</v>
      </c>
      <c r="AB132" s="83"/>
      <c r="AC132" s="82"/>
      <c r="AD132" s="84"/>
      <c r="AE132" s="85"/>
      <c r="AF132" s="82"/>
      <c r="AG132" s="85"/>
      <c r="AH132" s="82"/>
      <c r="AI132" s="84"/>
      <c r="AJ132" s="82"/>
      <c r="AK132" s="84"/>
      <c r="AL132" s="84"/>
    </row>
    <row r="133" spans="1:38" s="77" customFormat="1" ht="15.75" x14ac:dyDescent="0.25">
      <c r="A133" s="51">
        <v>130</v>
      </c>
      <c r="B133" s="65">
        <v>45996</v>
      </c>
      <c r="C133" s="65">
        <v>45996</v>
      </c>
      <c r="D133" s="66" t="s">
        <v>338</v>
      </c>
      <c r="E133" s="67"/>
      <c r="F133" s="67"/>
      <c r="G133" s="67"/>
      <c r="H133" s="98">
        <v>20</v>
      </c>
      <c r="I133" s="87" t="s">
        <v>62</v>
      </c>
      <c r="J133" s="20" t="s">
        <v>23</v>
      </c>
      <c r="K133" s="21" t="s">
        <v>32</v>
      </c>
      <c r="L133" s="70" t="s">
        <v>339</v>
      </c>
      <c r="M133" s="67" t="s">
        <v>31</v>
      </c>
      <c r="N133" s="80">
        <v>44.34</v>
      </c>
      <c r="O133" s="80">
        <v>12.1</v>
      </c>
      <c r="P133" s="71">
        <f t="shared" si="19"/>
        <v>32.24</v>
      </c>
      <c r="Q133" s="72">
        <v>140</v>
      </c>
      <c r="R133" s="73">
        <f t="shared" si="15"/>
        <v>4513.6000000000004</v>
      </c>
      <c r="S133" s="72"/>
      <c r="T133" s="74"/>
      <c r="V133" s="74" t="s">
        <v>53</v>
      </c>
      <c r="W133" s="72"/>
      <c r="X133" s="75">
        <f t="shared" si="20"/>
        <v>0</v>
      </c>
      <c r="Y133" s="76"/>
      <c r="Z133" s="76">
        <f t="shared" si="21"/>
        <v>0</v>
      </c>
      <c r="AA133" s="74">
        <f t="shared" si="22"/>
        <v>4513.6000000000004</v>
      </c>
    </row>
    <row r="134" spans="1:38" s="77" customFormat="1" ht="15.75" x14ac:dyDescent="0.25">
      <c r="A134" s="51">
        <v>131</v>
      </c>
      <c r="B134" s="65">
        <v>45996</v>
      </c>
      <c r="C134" s="65">
        <v>45996</v>
      </c>
      <c r="D134" s="66" t="s">
        <v>340</v>
      </c>
      <c r="E134" s="67"/>
      <c r="F134" s="67"/>
      <c r="G134" s="67"/>
      <c r="H134" s="98">
        <v>20</v>
      </c>
      <c r="I134" s="87" t="s">
        <v>62</v>
      </c>
      <c r="J134" s="20" t="s">
        <v>23</v>
      </c>
      <c r="K134" s="21" t="s">
        <v>32</v>
      </c>
      <c r="L134" s="78" t="s">
        <v>67</v>
      </c>
      <c r="M134" s="67" t="s">
        <v>31</v>
      </c>
      <c r="N134" s="80">
        <v>44.28</v>
      </c>
      <c r="O134" s="80">
        <v>12.24</v>
      </c>
      <c r="P134" s="71">
        <f t="shared" si="19"/>
        <v>32.04</v>
      </c>
      <c r="Q134" s="72">
        <v>140</v>
      </c>
      <c r="R134" s="73">
        <f t="shared" si="15"/>
        <v>4485.5999999999995</v>
      </c>
      <c r="S134" s="72"/>
      <c r="T134" s="74"/>
      <c r="V134" s="74" t="s">
        <v>53</v>
      </c>
      <c r="W134" s="72"/>
      <c r="X134" s="75">
        <f t="shared" si="20"/>
        <v>0</v>
      </c>
      <c r="Y134" s="76"/>
      <c r="Z134" s="76">
        <f t="shared" si="21"/>
        <v>0</v>
      </c>
      <c r="AA134" s="74">
        <f t="shared" si="22"/>
        <v>4485.5999999999995</v>
      </c>
    </row>
    <row r="135" spans="1:38" s="77" customFormat="1" ht="15.75" x14ac:dyDescent="0.25">
      <c r="A135" s="51">
        <v>132</v>
      </c>
      <c r="B135" s="65">
        <v>45996</v>
      </c>
      <c r="C135" s="65">
        <v>45996</v>
      </c>
      <c r="D135" s="78">
        <v>251205019</v>
      </c>
      <c r="E135" s="67" t="s">
        <v>341</v>
      </c>
      <c r="F135" s="67" t="s">
        <v>342</v>
      </c>
      <c r="G135" s="67">
        <v>44</v>
      </c>
      <c r="H135" s="97">
        <v>42</v>
      </c>
      <c r="I135" s="87" t="s">
        <v>52</v>
      </c>
      <c r="J135" s="18" t="s">
        <v>23</v>
      </c>
      <c r="K135" s="19" t="s">
        <v>32</v>
      </c>
      <c r="L135" s="78" t="s">
        <v>54</v>
      </c>
      <c r="M135" s="67" t="s">
        <v>36</v>
      </c>
      <c r="N135" s="80">
        <v>59.68</v>
      </c>
      <c r="O135" s="80">
        <v>14.82</v>
      </c>
      <c r="P135" s="71">
        <f t="shared" si="19"/>
        <v>44.86</v>
      </c>
      <c r="Q135" s="72">
        <v>525</v>
      </c>
      <c r="R135" s="73">
        <f t="shared" si="15"/>
        <v>23551.5</v>
      </c>
      <c r="S135" s="72"/>
      <c r="T135" s="74"/>
      <c r="V135" s="74" t="s">
        <v>24</v>
      </c>
      <c r="W135" s="72">
        <v>145</v>
      </c>
      <c r="X135" s="75">
        <f t="shared" si="20"/>
        <v>6504.7</v>
      </c>
      <c r="Y135" s="76">
        <v>260</v>
      </c>
      <c r="Z135" s="76">
        <f t="shared" si="21"/>
        <v>11663.6</v>
      </c>
      <c r="AA135" s="74">
        <f t="shared" si="22"/>
        <v>41719.800000000003</v>
      </c>
    </row>
    <row r="136" spans="1:38" s="77" customFormat="1" ht="15.75" x14ac:dyDescent="0.25">
      <c r="A136" s="51">
        <v>133</v>
      </c>
      <c r="B136" s="65">
        <v>45996</v>
      </c>
      <c r="C136" s="65">
        <v>45996</v>
      </c>
      <c r="D136" s="78">
        <v>251205020</v>
      </c>
      <c r="E136" s="67" t="s">
        <v>343</v>
      </c>
      <c r="F136" s="67" t="s">
        <v>344</v>
      </c>
      <c r="G136" s="67">
        <v>45</v>
      </c>
      <c r="H136" s="79">
        <v>115</v>
      </c>
      <c r="I136" s="19" t="s">
        <v>35</v>
      </c>
      <c r="J136" s="20" t="s">
        <v>23</v>
      </c>
      <c r="K136" s="21" t="s">
        <v>32</v>
      </c>
      <c r="L136" s="70" t="s">
        <v>40</v>
      </c>
      <c r="M136" s="67" t="s">
        <v>36</v>
      </c>
      <c r="N136" s="80">
        <v>60.82</v>
      </c>
      <c r="O136" s="80">
        <v>14.96</v>
      </c>
      <c r="P136" s="71">
        <f t="shared" si="19"/>
        <v>45.86</v>
      </c>
      <c r="Q136" s="72">
        <v>545</v>
      </c>
      <c r="R136" s="73">
        <f t="shared" si="15"/>
        <v>24993.7</v>
      </c>
      <c r="S136" s="72"/>
      <c r="T136" s="74"/>
      <c r="V136" s="74" t="s">
        <v>24</v>
      </c>
      <c r="W136" s="72">
        <v>145</v>
      </c>
      <c r="X136" s="75">
        <f t="shared" si="20"/>
        <v>6649.7</v>
      </c>
      <c r="Y136" s="76">
        <v>260</v>
      </c>
      <c r="Z136" s="76">
        <f t="shared" si="21"/>
        <v>11923.6</v>
      </c>
      <c r="AA136" s="74">
        <f t="shared" si="22"/>
        <v>43567</v>
      </c>
    </row>
    <row r="137" spans="1:38" s="81" customFormat="1" ht="15.75" x14ac:dyDescent="0.25">
      <c r="A137" s="51">
        <v>134</v>
      </c>
      <c r="B137" s="65">
        <v>45996</v>
      </c>
      <c r="C137" s="65">
        <v>45996</v>
      </c>
      <c r="D137" s="78">
        <v>251205021</v>
      </c>
      <c r="E137" s="67" t="s">
        <v>345</v>
      </c>
      <c r="F137" s="67" t="s">
        <v>346</v>
      </c>
      <c r="G137" s="67">
        <v>36</v>
      </c>
      <c r="H137" s="79">
        <v>117</v>
      </c>
      <c r="I137" s="86" t="s">
        <v>55</v>
      </c>
      <c r="J137" s="20" t="s">
        <v>23</v>
      </c>
      <c r="K137" s="19" t="s">
        <v>32</v>
      </c>
      <c r="L137" s="70" t="s">
        <v>47</v>
      </c>
      <c r="M137" s="67" t="s">
        <v>36</v>
      </c>
      <c r="N137" s="80">
        <v>47.82</v>
      </c>
      <c r="O137" s="80">
        <v>11.46</v>
      </c>
      <c r="P137" s="71">
        <f t="shared" si="19"/>
        <v>36.36</v>
      </c>
      <c r="Q137" s="72">
        <v>555</v>
      </c>
      <c r="R137" s="73">
        <f t="shared" si="15"/>
        <v>20179.8</v>
      </c>
      <c r="S137" s="72"/>
      <c r="T137" s="74"/>
      <c r="V137" s="74" t="s">
        <v>24</v>
      </c>
      <c r="W137" s="72">
        <v>145</v>
      </c>
      <c r="X137" s="75">
        <f t="shared" si="20"/>
        <v>5272.2</v>
      </c>
      <c r="Y137" s="76">
        <v>230</v>
      </c>
      <c r="Z137" s="74">
        <f t="shared" si="21"/>
        <v>8362.7999999999993</v>
      </c>
      <c r="AA137" s="74">
        <f t="shared" si="22"/>
        <v>33814.800000000003</v>
      </c>
    </row>
    <row r="138" spans="1:38" s="77" customFormat="1" ht="15.75" x14ac:dyDescent="0.25">
      <c r="A138" s="51">
        <v>135</v>
      </c>
      <c r="B138" s="65">
        <v>45996</v>
      </c>
      <c r="C138" s="65">
        <v>45996</v>
      </c>
      <c r="D138" s="66" t="s">
        <v>347</v>
      </c>
      <c r="E138" s="67"/>
      <c r="F138" s="67"/>
      <c r="G138" s="67"/>
      <c r="H138" s="98">
        <v>20</v>
      </c>
      <c r="I138" s="87" t="s">
        <v>62</v>
      </c>
      <c r="J138" s="20" t="s">
        <v>23</v>
      </c>
      <c r="K138" s="21" t="s">
        <v>32</v>
      </c>
      <c r="L138" s="78" t="s">
        <v>65</v>
      </c>
      <c r="M138" s="67" t="s">
        <v>31</v>
      </c>
      <c r="N138" s="80">
        <v>49.62</v>
      </c>
      <c r="O138" s="67">
        <v>12.42</v>
      </c>
      <c r="P138" s="71">
        <f t="shared" si="19"/>
        <v>37.199999999999996</v>
      </c>
      <c r="Q138" s="72">
        <v>140</v>
      </c>
      <c r="R138" s="73">
        <f t="shared" si="15"/>
        <v>5207.9999999999991</v>
      </c>
      <c r="S138" s="72"/>
      <c r="T138" s="74"/>
      <c r="V138" s="74" t="s">
        <v>53</v>
      </c>
      <c r="W138" s="72"/>
      <c r="X138" s="75">
        <f t="shared" si="20"/>
        <v>0</v>
      </c>
      <c r="Y138" s="76"/>
      <c r="Z138" s="74">
        <f t="shared" si="21"/>
        <v>0</v>
      </c>
      <c r="AA138" s="74">
        <f t="shared" si="22"/>
        <v>5207.9999999999991</v>
      </c>
    </row>
    <row r="139" spans="1:38" s="77" customFormat="1" ht="15.75" x14ac:dyDescent="0.25">
      <c r="A139" s="51">
        <v>136</v>
      </c>
      <c r="B139" s="65">
        <v>45996</v>
      </c>
      <c r="C139" s="65">
        <v>45996</v>
      </c>
      <c r="D139" s="66" t="s">
        <v>348</v>
      </c>
      <c r="E139" s="67"/>
      <c r="F139" s="67"/>
      <c r="G139" s="67"/>
      <c r="H139" s="88"/>
      <c r="I139" s="89" t="s">
        <v>349</v>
      </c>
      <c r="J139" s="20" t="s">
        <v>23</v>
      </c>
      <c r="K139" s="21" t="s">
        <v>32</v>
      </c>
      <c r="L139" s="99" t="s">
        <v>350</v>
      </c>
      <c r="M139" s="67" t="s">
        <v>31</v>
      </c>
      <c r="N139" s="80">
        <v>8.3800000000000008</v>
      </c>
      <c r="O139" s="80">
        <v>3.36</v>
      </c>
      <c r="P139" s="71">
        <f t="shared" si="19"/>
        <v>5.0200000000000014</v>
      </c>
      <c r="Q139" s="72">
        <v>120</v>
      </c>
      <c r="R139" s="73">
        <f t="shared" si="15"/>
        <v>602.4000000000002</v>
      </c>
      <c r="S139" s="72"/>
      <c r="T139" s="74"/>
      <c r="V139" s="74" t="s">
        <v>53</v>
      </c>
      <c r="W139" s="72"/>
      <c r="X139" s="75">
        <f t="shared" si="20"/>
        <v>0</v>
      </c>
      <c r="Y139" s="76"/>
      <c r="Z139" s="74">
        <f t="shared" si="21"/>
        <v>0</v>
      </c>
      <c r="AA139" s="74">
        <f t="shared" si="22"/>
        <v>602.4000000000002</v>
      </c>
    </row>
    <row r="140" spans="1:38" s="77" customFormat="1" ht="15.75" x14ac:dyDescent="0.25">
      <c r="A140" s="51">
        <v>137</v>
      </c>
      <c r="B140" s="65">
        <v>45996</v>
      </c>
      <c r="C140" s="65">
        <v>45996</v>
      </c>
      <c r="D140" s="78">
        <v>251205022</v>
      </c>
      <c r="E140" s="67" t="s">
        <v>351</v>
      </c>
      <c r="F140" s="67" t="s">
        <v>352</v>
      </c>
      <c r="G140" s="67">
        <v>44</v>
      </c>
      <c r="H140" s="79">
        <v>115</v>
      </c>
      <c r="I140" s="19" t="s">
        <v>35</v>
      </c>
      <c r="J140" s="20" t="s">
        <v>23</v>
      </c>
      <c r="K140" s="21" t="s">
        <v>32</v>
      </c>
      <c r="L140" s="70" t="s">
        <v>38</v>
      </c>
      <c r="M140" s="67" t="s">
        <v>34</v>
      </c>
      <c r="N140" s="80">
        <v>60.6</v>
      </c>
      <c r="O140" s="80">
        <v>15.92</v>
      </c>
      <c r="P140" s="71">
        <f t="shared" si="19"/>
        <v>44.68</v>
      </c>
      <c r="Q140" s="72">
        <v>315</v>
      </c>
      <c r="R140" s="73">
        <f t="shared" si="15"/>
        <v>14074.2</v>
      </c>
      <c r="S140" s="72"/>
      <c r="T140" s="74"/>
      <c r="V140" s="74" t="s">
        <v>24</v>
      </c>
      <c r="W140" s="72">
        <v>145</v>
      </c>
      <c r="X140" s="75">
        <f t="shared" si="20"/>
        <v>6478.6</v>
      </c>
      <c r="Y140" s="76">
        <v>260</v>
      </c>
      <c r="Z140" s="74">
        <f t="shared" si="21"/>
        <v>11616.8</v>
      </c>
      <c r="AA140" s="74">
        <f t="shared" si="22"/>
        <v>32169.600000000002</v>
      </c>
    </row>
    <row r="141" spans="1:38" s="81" customFormat="1" ht="15.75" x14ac:dyDescent="0.25">
      <c r="A141" s="51">
        <v>138</v>
      </c>
      <c r="B141" s="65">
        <v>45996</v>
      </c>
      <c r="C141" s="65">
        <v>45996</v>
      </c>
      <c r="D141" s="78">
        <v>251205023</v>
      </c>
      <c r="E141" s="67" t="s">
        <v>353</v>
      </c>
      <c r="F141" s="67" t="s">
        <v>354</v>
      </c>
      <c r="G141" s="67">
        <v>59</v>
      </c>
      <c r="H141" s="79">
        <v>115</v>
      </c>
      <c r="I141" s="19" t="s">
        <v>35</v>
      </c>
      <c r="J141" s="20" t="s">
        <v>23</v>
      </c>
      <c r="K141" s="21" t="s">
        <v>32</v>
      </c>
      <c r="L141" s="90" t="s">
        <v>46</v>
      </c>
      <c r="M141" s="67" t="s">
        <v>36</v>
      </c>
      <c r="N141" s="80">
        <v>76.5</v>
      </c>
      <c r="O141" s="80">
        <v>17.260000000000002</v>
      </c>
      <c r="P141" s="71">
        <f t="shared" si="19"/>
        <v>59.239999999999995</v>
      </c>
      <c r="Q141" s="72">
        <v>545</v>
      </c>
      <c r="R141" s="73">
        <f t="shared" si="15"/>
        <v>32285.799999999996</v>
      </c>
      <c r="S141" s="72"/>
      <c r="T141" s="74"/>
      <c r="V141" s="74" t="s">
        <v>24</v>
      </c>
      <c r="W141" s="72">
        <v>145</v>
      </c>
      <c r="X141" s="75">
        <f t="shared" si="20"/>
        <v>8589.7999999999993</v>
      </c>
      <c r="Y141" s="76">
        <v>260</v>
      </c>
      <c r="Z141" s="74">
        <f t="shared" si="21"/>
        <v>15402.399999999998</v>
      </c>
      <c r="AA141" s="74">
        <f t="shared" si="22"/>
        <v>56277.999999999985</v>
      </c>
    </row>
    <row r="142" spans="1:38" s="81" customFormat="1" ht="15.75" x14ac:dyDescent="0.25">
      <c r="A142" s="51">
        <v>139</v>
      </c>
      <c r="B142" s="65">
        <v>45996</v>
      </c>
      <c r="C142" s="65">
        <v>45996</v>
      </c>
      <c r="D142" s="78">
        <v>251205024</v>
      </c>
      <c r="E142" s="67" t="s">
        <v>355</v>
      </c>
      <c r="F142" s="67" t="s">
        <v>356</v>
      </c>
      <c r="G142" s="67">
        <v>40</v>
      </c>
      <c r="H142" s="79">
        <v>115</v>
      </c>
      <c r="I142" s="19" t="s">
        <v>35</v>
      </c>
      <c r="J142" s="20" t="s">
        <v>23</v>
      </c>
      <c r="K142" s="21" t="s">
        <v>32</v>
      </c>
      <c r="L142" s="70" t="s">
        <v>41</v>
      </c>
      <c r="M142" s="67" t="s">
        <v>37</v>
      </c>
      <c r="N142" s="80">
        <v>52.6</v>
      </c>
      <c r="O142" s="80">
        <v>11.8</v>
      </c>
      <c r="P142" s="71">
        <f t="shared" si="19"/>
        <v>40.799999999999997</v>
      </c>
      <c r="Q142" s="72">
        <v>445</v>
      </c>
      <c r="R142" s="73">
        <f t="shared" si="15"/>
        <v>18156</v>
      </c>
      <c r="S142" s="72"/>
      <c r="T142" s="74"/>
      <c r="V142" s="74" t="s">
        <v>24</v>
      </c>
      <c r="W142" s="72">
        <v>145</v>
      </c>
      <c r="X142" s="75">
        <f t="shared" si="20"/>
        <v>5916</v>
      </c>
      <c r="Y142" s="76">
        <v>260</v>
      </c>
      <c r="Z142" s="74">
        <f t="shared" si="21"/>
        <v>10608</v>
      </c>
      <c r="AA142" s="74">
        <f t="shared" si="22"/>
        <v>34680</v>
      </c>
    </row>
    <row r="143" spans="1:38" s="77" customFormat="1" ht="15.75" x14ac:dyDescent="0.25">
      <c r="A143" s="51">
        <v>140</v>
      </c>
      <c r="B143" s="65">
        <v>45996</v>
      </c>
      <c r="C143" s="65">
        <v>45996</v>
      </c>
      <c r="D143" s="91">
        <v>251205025</v>
      </c>
      <c r="E143" s="67"/>
      <c r="F143" s="67"/>
      <c r="G143" s="67"/>
      <c r="H143" s="98">
        <v>20</v>
      </c>
      <c r="I143" s="87" t="s">
        <v>62</v>
      </c>
      <c r="J143" s="20" t="s">
        <v>23</v>
      </c>
      <c r="K143" s="21" t="s">
        <v>32</v>
      </c>
      <c r="L143" s="70" t="s">
        <v>339</v>
      </c>
      <c r="M143" s="67" t="s">
        <v>31</v>
      </c>
      <c r="N143" s="67">
        <v>47.82</v>
      </c>
      <c r="O143" s="80">
        <v>12.12</v>
      </c>
      <c r="P143" s="71">
        <f>N143-O143</f>
        <v>35.700000000000003</v>
      </c>
      <c r="Q143" s="72">
        <v>140</v>
      </c>
      <c r="R143" s="73">
        <f>Q143*P143</f>
        <v>4998</v>
      </c>
      <c r="S143" s="72"/>
      <c r="T143" s="74"/>
      <c r="V143" s="74" t="s">
        <v>53</v>
      </c>
      <c r="W143" s="72"/>
      <c r="X143" s="75">
        <f t="shared" si="20"/>
        <v>0</v>
      </c>
      <c r="Y143" s="76"/>
      <c r="Z143" s="74">
        <f t="shared" si="21"/>
        <v>0</v>
      </c>
      <c r="AA143" s="74">
        <f t="shared" si="22"/>
        <v>4998</v>
      </c>
    </row>
    <row r="144" spans="1:38" s="77" customFormat="1" ht="15.75" x14ac:dyDescent="0.25">
      <c r="A144" s="51">
        <v>141</v>
      </c>
      <c r="B144" s="65">
        <v>45996</v>
      </c>
      <c r="C144" s="65">
        <v>45996</v>
      </c>
      <c r="D144" s="78">
        <v>251205026</v>
      </c>
      <c r="E144" s="67" t="s">
        <v>357</v>
      </c>
      <c r="F144" s="67" t="s">
        <v>358</v>
      </c>
      <c r="G144" s="67">
        <v>40</v>
      </c>
      <c r="H144" s="79">
        <v>115</v>
      </c>
      <c r="I144" s="19" t="s">
        <v>35</v>
      </c>
      <c r="J144" s="20" t="s">
        <v>23</v>
      </c>
      <c r="K144" s="21" t="s">
        <v>32</v>
      </c>
      <c r="L144" s="70" t="s">
        <v>42</v>
      </c>
      <c r="M144" s="67" t="s">
        <v>37</v>
      </c>
      <c r="N144" s="80">
        <v>51.74</v>
      </c>
      <c r="O144" s="80">
        <v>11.7</v>
      </c>
      <c r="P144" s="71">
        <f>N144-O144</f>
        <v>40.040000000000006</v>
      </c>
      <c r="Q144" s="72">
        <v>445</v>
      </c>
      <c r="R144" s="73">
        <f>Q144*P144</f>
        <v>17817.800000000003</v>
      </c>
      <c r="S144" s="72"/>
      <c r="T144" s="74"/>
      <c r="V144" s="74" t="s">
        <v>24</v>
      </c>
      <c r="W144" s="72">
        <v>145</v>
      </c>
      <c r="X144" s="75">
        <f t="shared" si="20"/>
        <v>5805.8000000000011</v>
      </c>
      <c r="Y144" s="76">
        <v>260</v>
      </c>
      <c r="Z144" s="74">
        <f t="shared" si="21"/>
        <v>10410.400000000001</v>
      </c>
      <c r="AA144" s="74">
        <f t="shared" si="22"/>
        <v>34034.000000000007</v>
      </c>
    </row>
    <row r="145" spans="1:27" s="81" customFormat="1" ht="15.75" x14ac:dyDescent="0.25">
      <c r="A145" s="51">
        <v>142</v>
      </c>
      <c r="B145" s="65">
        <v>45996</v>
      </c>
      <c r="C145" s="65">
        <v>45996</v>
      </c>
      <c r="D145" s="78">
        <v>251205027</v>
      </c>
      <c r="E145" s="67" t="s">
        <v>359</v>
      </c>
      <c r="F145" s="67" t="s">
        <v>360</v>
      </c>
      <c r="G145" s="67">
        <v>40</v>
      </c>
      <c r="H145" s="79">
        <v>115</v>
      </c>
      <c r="I145" s="19" t="s">
        <v>35</v>
      </c>
      <c r="J145" s="20" t="s">
        <v>23</v>
      </c>
      <c r="K145" s="21" t="s">
        <v>32</v>
      </c>
      <c r="L145" s="67" t="s">
        <v>286</v>
      </c>
      <c r="M145" s="67" t="s">
        <v>37</v>
      </c>
      <c r="N145" s="80">
        <v>51.84</v>
      </c>
      <c r="O145" s="80">
        <v>11.54</v>
      </c>
      <c r="P145" s="71">
        <f>N145-O145</f>
        <v>40.300000000000004</v>
      </c>
      <c r="Q145" s="72">
        <v>445</v>
      </c>
      <c r="R145" s="73">
        <f>Q145*P145</f>
        <v>17933.500000000004</v>
      </c>
      <c r="S145" s="72"/>
      <c r="T145" s="74"/>
      <c r="V145" s="74" t="s">
        <v>24</v>
      </c>
      <c r="W145" s="72">
        <v>145</v>
      </c>
      <c r="X145" s="75">
        <f t="shared" si="20"/>
        <v>5843.5000000000009</v>
      </c>
      <c r="Y145" s="76">
        <v>260</v>
      </c>
      <c r="Z145" s="74">
        <f t="shared" si="21"/>
        <v>10478.000000000002</v>
      </c>
      <c r="AA145" s="74">
        <f t="shared" si="22"/>
        <v>34255.000000000007</v>
      </c>
    </row>
    <row r="146" spans="1:27" s="77" customFormat="1" ht="15.75" x14ac:dyDescent="0.25">
      <c r="A146" s="51">
        <v>143</v>
      </c>
      <c r="B146" s="65">
        <v>45996</v>
      </c>
      <c r="C146" s="65">
        <v>45996</v>
      </c>
      <c r="D146" s="78">
        <v>251205028</v>
      </c>
      <c r="E146" s="67" t="s">
        <v>361</v>
      </c>
      <c r="F146" s="67" t="s">
        <v>362</v>
      </c>
      <c r="G146" s="67">
        <v>45</v>
      </c>
      <c r="H146" s="79">
        <v>115</v>
      </c>
      <c r="I146" s="19" t="s">
        <v>35</v>
      </c>
      <c r="J146" s="20" t="s">
        <v>23</v>
      </c>
      <c r="K146" s="21" t="s">
        <v>32</v>
      </c>
      <c r="L146" s="70" t="s">
        <v>54</v>
      </c>
      <c r="M146" s="67" t="s">
        <v>34</v>
      </c>
      <c r="N146" s="80">
        <v>60.38</v>
      </c>
      <c r="O146" s="80">
        <v>14.86</v>
      </c>
      <c r="P146" s="71">
        <f>N146-O146</f>
        <v>45.52</v>
      </c>
      <c r="Q146" s="72">
        <v>315</v>
      </c>
      <c r="R146" s="73">
        <f>Q146*P146</f>
        <v>14338.800000000001</v>
      </c>
      <c r="S146" s="72"/>
      <c r="T146" s="74"/>
      <c r="V146" s="74" t="s">
        <v>24</v>
      </c>
      <c r="W146" s="72">
        <v>145</v>
      </c>
      <c r="X146" s="75">
        <f t="shared" si="20"/>
        <v>6600.4000000000005</v>
      </c>
      <c r="Y146" s="76">
        <v>260</v>
      </c>
      <c r="Z146" s="74">
        <f t="shared" si="21"/>
        <v>11835.2</v>
      </c>
      <c r="AA146" s="74">
        <f t="shared" si="22"/>
        <v>32774.400000000001</v>
      </c>
    </row>
    <row r="147" spans="1:27" s="77" customFormat="1" ht="15.75" x14ac:dyDescent="0.25">
      <c r="A147" s="51">
        <v>144</v>
      </c>
      <c r="B147" s="65">
        <v>45996</v>
      </c>
      <c r="C147" s="65">
        <v>45996</v>
      </c>
      <c r="D147" s="78">
        <v>251205029</v>
      </c>
      <c r="E147" s="67" t="s">
        <v>363</v>
      </c>
      <c r="F147" s="67" t="s">
        <v>364</v>
      </c>
      <c r="G147" s="67">
        <v>47</v>
      </c>
      <c r="H147" s="79">
        <v>115</v>
      </c>
      <c r="I147" s="19" t="s">
        <v>35</v>
      </c>
      <c r="J147" s="20" t="s">
        <v>23</v>
      </c>
      <c r="K147" s="21" t="s">
        <v>32</v>
      </c>
      <c r="L147" s="70" t="s">
        <v>75</v>
      </c>
      <c r="M147" s="67" t="s">
        <v>36</v>
      </c>
      <c r="N147" s="67">
        <v>63.72</v>
      </c>
      <c r="O147" s="80">
        <v>16.54</v>
      </c>
      <c r="P147" s="71">
        <f t="shared" ref="P147:P210" si="23">N147-O147</f>
        <v>47.18</v>
      </c>
      <c r="Q147" s="72">
        <v>545</v>
      </c>
      <c r="R147" s="73">
        <f>Q147*P147</f>
        <v>25713.1</v>
      </c>
      <c r="S147" s="72"/>
      <c r="T147" s="74"/>
      <c r="V147" s="74" t="s">
        <v>24</v>
      </c>
      <c r="W147" s="72">
        <v>145</v>
      </c>
      <c r="X147" s="75">
        <f t="shared" si="20"/>
        <v>6841.1</v>
      </c>
      <c r="Y147" s="76">
        <v>260</v>
      </c>
      <c r="Z147" s="74">
        <f t="shared" si="21"/>
        <v>12266.8</v>
      </c>
      <c r="AA147" s="74">
        <f t="shared" si="22"/>
        <v>44821</v>
      </c>
    </row>
    <row r="148" spans="1:27" s="81" customFormat="1" ht="15.75" x14ac:dyDescent="0.25">
      <c r="A148" s="51">
        <v>145</v>
      </c>
      <c r="B148" s="65">
        <v>45996</v>
      </c>
      <c r="C148" s="65">
        <v>45996</v>
      </c>
      <c r="D148" s="78">
        <v>251205030</v>
      </c>
      <c r="E148" s="67" t="s">
        <v>365</v>
      </c>
      <c r="F148" s="67" t="s">
        <v>366</v>
      </c>
      <c r="G148" s="67">
        <v>35</v>
      </c>
      <c r="H148" s="97">
        <v>24</v>
      </c>
      <c r="I148" s="87" t="s">
        <v>199</v>
      </c>
      <c r="J148" s="18" t="s">
        <v>23</v>
      </c>
      <c r="K148" s="19" t="s">
        <v>32</v>
      </c>
      <c r="L148" s="78" t="s">
        <v>202</v>
      </c>
      <c r="M148" s="67" t="s">
        <v>34</v>
      </c>
      <c r="N148" s="80">
        <v>46.62</v>
      </c>
      <c r="O148" s="67">
        <v>11.38</v>
      </c>
      <c r="P148" s="71">
        <f t="shared" si="23"/>
        <v>35.239999999999995</v>
      </c>
      <c r="Q148" s="72">
        <v>335</v>
      </c>
      <c r="R148" s="73">
        <f t="shared" ref="R148:R208" si="24">Q148*P148</f>
        <v>11805.399999999998</v>
      </c>
      <c r="S148" s="67"/>
      <c r="T148" s="74"/>
      <c r="V148" s="74" t="s">
        <v>24</v>
      </c>
      <c r="W148" s="72">
        <v>145</v>
      </c>
      <c r="X148" s="75">
        <f t="shared" si="20"/>
        <v>5109.7999999999993</v>
      </c>
      <c r="Y148" s="76">
        <v>260</v>
      </c>
      <c r="Z148" s="74">
        <f t="shared" si="21"/>
        <v>9162.3999999999978</v>
      </c>
      <c r="AA148" s="74">
        <f t="shared" si="22"/>
        <v>26077.599999999995</v>
      </c>
    </row>
    <row r="149" spans="1:27" s="81" customFormat="1" ht="15.75" x14ac:dyDescent="0.25">
      <c r="A149" s="51">
        <v>146</v>
      </c>
      <c r="B149" s="65">
        <v>45996</v>
      </c>
      <c r="C149" s="65">
        <v>45997</v>
      </c>
      <c r="D149" s="78">
        <v>251206001</v>
      </c>
      <c r="E149" s="67" t="s">
        <v>367</v>
      </c>
      <c r="F149" s="67" t="s">
        <v>368</v>
      </c>
      <c r="G149" s="67">
        <v>45</v>
      </c>
      <c r="H149" s="79">
        <v>115</v>
      </c>
      <c r="I149" s="19" t="s">
        <v>35</v>
      </c>
      <c r="J149" s="20" t="s">
        <v>23</v>
      </c>
      <c r="K149" s="21" t="s">
        <v>32</v>
      </c>
      <c r="L149" s="70" t="s">
        <v>40</v>
      </c>
      <c r="M149" s="67" t="s">
        <v>34</v>
      </c>
      <c r="N149" s="80">
        <v>60.54</v>
      </c>
      <c r="O149" s="80">
        <v>15.16</v>
      </c>
      <c r="P149" s="71">
        <f t="shared" si="23"/>
        <v>45.379999999999995</v>
      </c>
      <c r="Q149" s="67">
        <v>315</v>
      </c>
      <c r="R149" s="73">
        <f t="shared" si="24"/>
        <v>14294.699999999999</v>
      </c>
      <c r="S149" s="67"/>
      <c r="T149" s="74"/>
      <c r="V149" s="74" t="s">
        <v>24</v>
      </c>
      <c r="W149" s="72">
        <v>145</v>
      </c>
      <c r="X149" s="75">
        <f t="shared" si="20"/>
        <v>6580.0999999999995</v>
      </c>
      <c r="Y149" s="76">
        <v>260</v>
      </c>
      <c r="Z149" s="74">
        <f t="shared" si="21"/>
        <v>11798.8</v>
      </c>
      <c r="AA149" s="74">
        <f t="shared" si="22"/>
        <v>32673.599999999999</v>
      </c>
    </row>
    <row r="150" spans="1:27" s="81" customFormat="1" ht="15.75" x14ac:dyDescent="0.25">
      <c r="A150" s="51">
        <v>147</v>
      </c>
      <c r="B150" s="65">
        <v>45996</v>
      </c>
      <c r="C150" s="65">
        <v>45997</v>
      </c>
      <c r="D150" s="70">
        <v>251206002</v>
      </c>
      <c r="E150" s="67" t="s">
        <v>369</v>
      </c>
      <c r="F150" s="67" t="s">
        <v>370</v>
      </c>
      <c r="G150" s="67">
        <v>33</v>
      </c>
      <c r="H150" s="79">
        <v>115</v>
      </c>
      <c r="I150" s="19" t="s">
        <v>35</v>
      </c>
      <c r="J150" s="20" t="s">
        <v>23</v>
      </c>
      <c r="K150" s="21" t="s">
        <v>32</v>
      </c>
      <c r="L150" s="70" t="s">
        <v>41</v>
      </c>
      <c r="M150" s="67" t="s">
        <v>34</v>
      </c>
      <c r="N150" s="67">
        <v>45.68</v>
      </c>
      <c r="O150" s="80">
        <v>11.84</v>
      </c>
      <c r="P150" s="71">
        <f t="shared" si="23"/>
        <v>33.840000000000003</v>
      </c>
      <c r="Q150" s="67">
        <v>315</v>
      </c>
      <c r="R150" s="73">
        <f t="shared" si="24"/>
        <v>10659.6</v>
      </c>
      <c r="S150" s="67"/>
      <c r="T150" s="74"/>
      <c r="V150" s="74" t="s">
        <v>24</v>
      </c>
      <c r="W150" s="72">
        <v>145</v>
      </c>
      <c r="X150" s="75">
        <f t="shared" si="20"/>
        <v>4906.8</v>
      </c>
      <c r="Y150" s="76">
        <v>260</v>
      </c>
      <c r="Z150" s="74">
        <f t="shared" si="21"/>
        <v>8798.4000000000015</v>
      </c>
      <c r="AA150" s="74">
        <f t="shared" si="22"/>
        <v>24364.800000000003</v>
      </c>
    </row>
    <row r="151" spans="1:27" s="81" customFormat="1" ht="15.75" x14ac:dyDescent="0.25">
      <c r="A151" s="51">
        <v>148</v>
      </c>
      <c r="B151" s="65">
        <v>45996</v>
      </c>
      <c r="C151" s="65">
        <v>45997</v>
      </c>
      <c r="D151" s="78">
        <v>251206003</v>
      </c>
      <c r="E151" s="67" t="s">
        <v>371</v>
      </c>
      <c r="F151" s="67" t="s">
        <v>372</v>
      </c>
      <c r="G151" s="67">
        <v>33</v>
      </c>
      <c r="H151" s="79">
        <v>115</v>
      </c>
      <c r="I151" s="19" t="s">
        <v>52</v>
      </c>
      <c r="J151" s="20" t="s">
        <v>23</v>
      </c>
      <c r="K151" s="21" t="s">
        <v>32</v>
      </c>
      <c r="L151" s="96" t="s">
        <v>57</v>
      </c>
      <c r="M151" s="67" t="s">
        <v>34</v>
      </c>
      <c r="N151" s="80">
        <v>45.02</v>
      </c>
      <c r="O151" s="80">
        <v>11.44</v>
      </c>
      <c r="P151" s="71">
        <f t="shared" si="23"/>
        <v>33.580000000000005</v>
      </c>
      <c r="Q151" s="67">
        <v>285</v>
      </c>
      <c r="R151" s="73">
        <f t="shared" si="24"/>
        <v>9570.3000000000011</v>
      </c>
      <c r="S151" s="67"/>
      <c r="T151" s="74"/>
      <c r="V151" s="74" t="s">
        <v>24</v>
      </c>
      <c r="W151" s="72">
        <v>145</v>
      </c>
      <c r="X151" s="75">
        <f t="shared" si="20"/>
        <v>4869.1000000000004</v>
      </c>
      <c r="Y151" s="76">
        <v>260</v>
      </c>
      <c r="Z151" s="74">
        <f t="shared" si="21"/>
        <v>8730.8000000000011</v>
      </c>
      <c r="AA151" s="74">
        <f t="shared" si="22"/>
        <v>23170.200000000004</v>
      </c>
    </row>
    <row r="152" spans="1:27" s="81" customFormat="1" ht="15.75" x14ac:dyDescent="0.25">
      <c r="A152" s="51">
        <v>149</v>
      </c>
      <c r="B152" s="65">
        <v>45996</v>
      </c>
      <c r="C152" s="65">
        <v>45997</v>
      </c>
      <c r="D152" s="70">
        <v>251206004</v>
      </c>
      <c r="E152" s="67" t="s">
        <v>373</v>
      </c>
      <c r="F152" s="67" t="s">
        <v>374</v>
      </c>
      <c r="G152" s="67">
        <v>60</v>
      </c>
      <c r="H152" s="79">
        <v>115</v>
      </c>
      <c r="I152" s="19" t="s">
        <v>52</v>
      </c>
      <c r="J152" s="20" t="s">
        <v>23</v>
      </c>
      <c r="K152" s="21" t="s">
        <v>32</v>
      </c>
      <c r="L152" s="70" t="s">
        <v>46</v>
      </c>
      <c r="M152" s="67" t="s">
        <v>36</v>
      </c>
      <c r="N152" s="80">
        <v>78.099999999999994</v>
      </c>
      <c r="O152" s="67">
        <v>17.239999999999998</v>
      </c>
      <c r="P152" s="71">
        <f t="shared" si="23"/>
        <v>60.86</v>
      </c>
      <c r="Q152" s="67">
        <v>525</v>
      </c>
      <c r="R152" s="73">
        <f t="shared" si="24"/>
        <v>31951.5</v>
      </c>
      <c r="S152" s="67"/>
      <c r="T152" s="74"/>
      <c r="V152" s="74" t="s">
        <v>24</v>
      </c>
      <c r="W152" s="72">
        <v>145</v>
      </c>
      <c r="X152" s="75">
        <f t="shared" si="20"/>
        <v>8824.7000000000007</v>
      </c>
      <c r="Y152" s="76">
        <v>260</v>
      </c>
      <c r="Z152" s="74">
        <f t="shared" si="21"/>
        <v>15823.6</v>
      </c>
      <c r="AA152" s="74">
        <f t="shared" si="22"/>
        <v>56599.799999999996</v>
      </c>
    </row>
    <row r="153" spans="1:27" s="81" customFormat="1" ht="15.75" x14ac:dyDescent="0.25">
      <c r="A153" s="51">
        <v>150</v>
      </c>
      <c r="B153" s="65">
        <v>45996</v>
      </c>
      <c r="C153" s="65">
        <v>45997</v>
      </c>
      <c r="D153" s="78">
        <v>251206005</v>
      </c>
      <c r="E153" s="67" t="s">
        <v>375</v>
      </c>
      <c r="F153" s="67" t="s">
        <v>376</v>
      </c>
      <c r="G153" s="67">
        <v>46</v>
      </c>
      <c r="H153" s="97">
        <v>24</v>
      </c>
      <c r="I153" s="87" t="s">
        <v>199</v>
      </c>
      <c r="J153" s="18" t="s">
        <v>23</v>
      </c>
      <c r="K153" s="19" t="s">
        <v>32</v>
      </c>
      <c r="L153" s="70" t="s">
        <v>54</v>
      </c>
      <c r="M153" s="67" t="s">
        <v>34</v>
      </c>
      <c r="N153" s="80">
        <v>61.32</v>
      </c>
      <c r="O153" s="67">
        <v>14.94</v>
      </c>
      <c r="P153" s="71">
        <f t="shared" si="23"/>
        <v>46.38</v>
      </c>
      <c r="Q153" s="67">
        <v>335</v>
      </c>
      <c r="R153" s="73">
        <f t="shared" si="24"/>
        <v>15537.300000000001</v>
      </c>
      <c r="S153" s="67"/>
      <c r="T153" s="74"/>
      <c r="V153" s="74" t="s">
        <v>24</v>
      </c>
      <c r="W153" s="72">
        <v>145</v>
      </c>
      <c r="X153" s="75">
        <f t="shared" si="20"/>
        <v>6725.1</v>
      </c>
      <c r="Y153" s="76">
        <v>260</v>
      </c>
      <c r="Z153" s="74">
        <f t="shared" si="21"/>
        <v>12058.800000000001</v>
      </c>
      <c r="AA153" s="74">
        <f t="shared" si="22"/>
        <v>34321.200000000004</v>
      </c>
    </row>
    <row r="154" spans="1:27" s="77" customFormat="1" ht="15.75" x14ac:dyDescent="0.25">
      <c r="A154" s="51">
        <v>151</v>
      </c>
      <c r="B154" s="65">
        <v>45996</v>
      </c>
      <c r="C154" s="65">
        <v>45997</v>
      </c>
      <c r="D154" s="70">
        <v>251206006</v>
      </c>
      <c r="E154" s="67" t="s">
        <v>377</v>
      </c>
      <c r="F154" s="67" t="s">
        <v>378</v>
      </c>
      <c r="G154" s="67">
        <v>44</v>
      </c>
      <c r="H154" s="79">
        <v>117</v>
      </c>
      <c r="I154" s="86" t="s">
        <v>55</v>
      </c>
      <c r="J154" s="20" t="s">
        <v>23</v>
      </c>
      <c r="K154" s="19" t="s">
        <v>32</v>
      </c>
      <c r="L154" s="67" t="s">
        <v>379</v>
      </c>
      <c r="M154" s="67" t="s">
        <v>36</v>
      </c>
      <c r="N154" s="80">
        <v>59.98</v>
      </c>
      <c r="O154" s="80">
        <v>15.72</v>
      </c>
      <c r="P154" s="71">
        <f t="shared" si="23"/>
        <v>44.26</v>
      </c>
      <c r="Q154" s="72">
        <v>555</v>
      </c>
      <c r="R154" s="73">
        <f t="shared" si="24"/>
        <v>24564.3</v>
      </c>
      <c r="S154" s="72"/>
      <c r="T154" s="74"/>
      <c r="V154" s="74" t="s">
        <v>24</v>
      </c>
      <c r="W154" s="72">
        <v>145</v>
      </c>
      <c r="X154" s="75">
        <f t="shared" si="20"/>
        <v>6417.7</v>
      </c>
      <c r="Y154" s="76">
        <v>230</v>
      </c>
      <c r="Z154" s="74">
        <f t="shared" si="21"/>
        <v>10179.799999999999</v>
      </c>
      <c r="AA154" s="74">
        <f t="shared" si="22"/>
        <v>41161.800000000003</v>
      </c>
    </row>
    <row r="155" spans="1:27" s="77" customFormat="1" ht="15.75" x14ac:dyDescent="0.25">
      <c r="A155" s="51">
        <v>152</v>
      </c>
      <c r="B155" s="65">
        <v>45996</v>
      </c>
      <c r="C155" s="65">
        <v>45997</v>
      </c>
      <c r="D155" s="78">
        <v>251206007</v>
      </c>
      <c r="E155" s="67" t="s">
        <v>380</v>
      </c>
      <c r="F155" s="67" t="s">
        <v>381</v>
      </c>
      <c r="G155" s="67">
        <v>44</v>
      </c>
      <c r="H155" s="79">
        <v>115</v>
      </c>
      <c r="I155" s="19" t="s">
        <v>35</v>
      </c>
      <c r="J155" s="20" t="s">
        <v>23</v>
      </c>
      <c r="K155" s="21" t="s">
        <v>32</v>
      </c>
      <c r="L155" s="70" t="s">
        <v>38</v>
      </c>
      <c r="M155" s="67" t="s">
        <v>34</v>
      </c>
      <c r="N155" s="80">
        <v>60.68</v>
      </c>
      <c r="O155" s="67">
        <v>15.88</v>
      </c>
      <c r="P155" s="71">
        <f t="shared" si="23"/>
        <v>44.8</v>
      </c>
      <c r="Q155" s="72">
        <v>315</v>
      </c>
      <c r="R155" s="73">
        <f t="shared" si="24"/>
        <v>14112</v>
      </c>
      <c r="S155" s="72"/>
      <c r="T155" s="74"/>
      <c r="V155" s="74" t="s">
        <v>24</v>
      </c>
      <c r="W155" s="72">
        <v>145</v>
      </c>
      <c r="X155" s="75">
        <f t="shared" si="20"/>
        <v>6496</v>
      </c>
      <c r="Y155" s="76">
        <v>260</v>
      </c>
      <c r="Z155" s="74">
        <f t="shared" si="21"/>
        <v>11648</v>
      </c>
      <c r="AA155" s="74">
        <f t="shared" si="22"/>
        <v>32256</v>
      </c>
    </row>
    <row r="156" spans="1:27" s="77" customFormat="1" ht="15.75" x14ac:dyDescent="0.25">
      <c r="A156" s="51">
        <v>153</v>
      </c>
      <c r="B156" s="65">
        <v>45997</v>
      </c>
      <c r="C156" s="65">
        <v>45997</v>
      </c>
      <c r="D156" s="78">
        <v>251206008</v>
      </c>
      <c r="E156" s="67" t="s">
        <v>382</v>
      </c>
      <c r="F156" s="67" t="s">
        <v>383</v>
      </c>
      <c r="G156" s="67">
        <v>41</v>
      </c>
      <c r="H156" s="79">
        <v>117</v>
      </c>
      <c r="I156" s="86" t="s">
        <v>55</v>
      </c>
      <c r="J156" s="20" t="s">
        <v>23</v>
      </c>
      <c r="K156" s="19" t="s">
        <v>32</v>
      </c>
      <c r="L156" s="70" t="s">
        <v>165</v>
      </c>
      <c r="M156" s="67" t="s">
        <v>36</v>
      </c>
      <c r="N156" s="67">
        <v>57.7</v>
      </c>
      <c r="O156" s="67">
        <v>15.86</v>
      </c>
      <c r="P156" s="71">
        <f t="shared" si="23"/>
        <v>41.84</v>
      </c>
      <c r="Q156" s="72">
        <v>555</v>
      </c>
      <c r="R156" s="73">
        <f t="shared" si="24"/>
        <v>23221.200000000001</v>
      </c>
      <c r="S156" s="72"/>
      <c r="T156" s="74"/>
      <c r="V156" s="74" t="s">
        <v>24</v>
      </c>
      <c r="W156" s="72">
        <v>145</v>
      </c>
      <c r="X156" s="75">
        <f t="shared" ref="X156:X192" si="25">W156*P156</f>
        <v>6066.8</v>
      </c>
      <c r="Y156" s="76">
        <v>230</v>
      </c>
      <c r="Z156" s="74">
        <f t="shared" ref="Z156:Z192" si="26">Y156*P156</f>
        <v>9623.2000000000007</v>
      </c>
      <c r="AA156" s="74">
        <f t="shared" ref="AA156:AA192" si="27">R156+X156+Z156</f>
        <v>38911.199999999997</v>
      </c>
    </row>
    <row r="157" spans="1:27" s="77" customFormat="1" ht="15.75" x14ac:dyDescent="0.25">
      <c r="A157" s="51">
        <v>154</v>
      </c>
      <c r="B157" s="65">
        <v>45997</v>
      </c>
      <c r="C157" s="65">
        <v>45997</v>
      </c>
      <c r="D157" s="78">
        <v>251206009</v>
      </c>
      <c r="E157" s="67" t="s">
        <v>384</v>
      </c>
      <c r="F157" s="67" t="s">
        <v>385</v>
      </c>
      <c r="G157" s="67">
        <v>35</v>
      </c>
      <c r="H157" s="79">
        <v>117</v>
      </c>
      <c r="I157" s="86" t="s">
        <v>55</v>
      </c>
      <c r="J157" s="20" t="s">
        <v>23</v>
      </c>
      <c r="K157" s="19" t="s">
        <v>32</v>
      </c>
      <c r="L157" s="70" t="s">
        <v>47</v>
      </c>
      <c r="M157" s="67" t="s">
        <v>36</v>
      </c>
      <c r="N157" s="67">
        <v>47.34</v>
      </c>
      <c r="O157" s="67">
        <v>11.36</v>
      </c>
      <c r="P157" s="71">
        <f t="shared" si="23"/>
        <v>35.980000000000004</v>
      </c>
      <c r="Q157" s="72">
        <v>555</v>
      </c>
      <c r="R157" s="73">
        <f t="shared" si="24"/>
        <v>19968.900000000001</v>
      </c>
      <c r="S157" s="72"/>
      <c r="T157" s="74"/>
      <c r="V157" s="74" t="s">
        <v>24</v>
      </c>
      <c r="W157" s="72">
        <v>145</v>
      </c>
      <c r="X157" s="75">
        <f t="shared" si="25"/>
        <v>5217.1000000000004</v>
      </c>
      <c r="Y157" s="76">
        <v>230</v>
      </c>
      <c r="Z157" s="76">
        <f t="shared" si="26"/>
        <v>8275.4000000000015</v>
      </c>
      <c r="AA157" s="74">
        <f t="shared" si="27"/>
        <v>33461.4</v>
      </c>
    </row>
    <row r="158" spans="1:27" s="77" customFormat="1" ht="15.75" x14ac:dyDescent="0.25">
      <c r="A158" s="51">
        <v>155</v>
      </c>
      <c r="B158" s="65">
        <v>45997</v>
      </c>
      <c r="C158" s="65">
        <v>45997</v>
      </c>
      <c r="D158" s="78">
        <v>251206010</v>
      </c>
      <c r="E158" s="67" t="s">
        <v>386</v>
      </c>
      <c r="F158" s="67" t="s">
        <v>387</v>
      </c>
      <c r="G158" s="67">
        <v>37</v>
      </c>
      <c r="H158" s="79">
        <v>117</v>
      </c>
      <c r="I158" s="86" t="s">
        <v>55</v>
      </c>
      <c r="J158" s="20" t="s">
        <v>23</v>
      </c>
      <c r="K158" s="19" t="s">
        <v>32</v>
      </c>
      <c r="L158" s="70" t="s">
        <v>45</v>
      </c>
      <c r="M158" s="67" t="s">
        <v>36</v>
      </c>
      <c r="N158" s="67">
        <v>49.28</v>
      </c>
      <c r="O158" s="67">
        <v>11.82</v>
      </c>
      <c r="P158" s="71">
        <f t="shared" si="23"/>
        <v>37.46</v>
      </c>
      <c r="Q158" s="72">
        <v>555</v>
      </c>
      <c r="R158" s="73">
        <f t="shared" si="24"/>
        <v>20790.3</v>
      </c>
      <c r="S158" s="72"/>
      <c r="T158" s="74"/>
      <c r="V158" s="74" t="s">
        <v>24</v>
      </c>
      <c r="W158" s="72">
        <v>145</v>
      </c>
      <c r="X158" s="75">
        <f t="shared" si="25"/>
        <v>5431.7</v>
      </c>
      <c r="Y158" s="76">
        <v>230</v>
      </c>
      <c r="Z158" s="76">
        <f t="shared" si="26"/>
        <v>8615.8000000000011</v>
      </c>
      <c r="AA158" s="74">
        <f t="shared" si="27"/>
        <v>34837.800000000003</v>
      </c>
    </row>
    <row r="159" spans="1:27" s="77" customFormat="1" ht="15.75" x14ac:dyDescent="0.25">
      <c r="A159" s="51">
        <v>156</v>
      </c>
      <c r="B159" s="65">
        <v>45997</v>
      </c>
      <c r="C159" s="65">
        <v>45997</v>
      </c>
      <c r="D159" s="78">
        <v>251206011</v>
      </c>
      <c r="E159" s="67" t="s">
        <v>388</v>
      </c>
      <c r="F159" s="67" t="s">
        <v>389</v>
      </c>
      <c r="G159" s="67">
        <v>32</v>
      </c>
      <c r="H159" s="79">
        <v>117</v>
      </c>
      <c r="I159" s="86" t="s">
        <v>55</v>
      </c>
      <c r="J159" s="20" t="s">
        <v>23</v>
      </c>
      <c r="K159" s="19" t="s">
        <v>32</v>
      </c>
      <c r="L159" s="70" t="s">
        <v>56</v>
      </c>
      <c r="M159" s="67" t="s">
        <v>36</v>
      </c>
      <c r="N159" s="67">
        <v>44.68</v>
      </c>
      <c r="O159" s="67">
        <v>11.7</v>
      </c>
      <c r="P159" s="71">
        <f t="shared" si="23"/>
        <v>32.980000000000004</v>
      </c>
      <c r="Q159" s="72">
        <v>555</v>
      </c>
      <c r="R159" s="73">
        <f t="shared" si="24"/>
        <v>18303.900000000001</v>
      </c>
      <c r="S159" s="72"/>
      <c r="T159" s="74"/>
      <c r="V159" s="74" t="s">
        <v>24</v>
      </c>
      <c r="W159" s="72">
        <v>145</v>
      </c>
      <c r="X159" s="75">
        <f t="shared" si="25"/>
        <v>4782.1000000000004</v>
      </c>
      <c r="Y159" s="76">
        <v>230</v>
      </c>
      <c r="Z159" s="76">
        <f t="shared" si="26"/>
        <v>7585.4000000000005</v>
      </c>
      <c r="AA159" s="74">
        <f t="shared" si="27"/>
        <v>30671.4</v>
      </c>
    </row>
    <row r="160" spans="1:27" s="77" customFormat="1" ht="15.75" x14ac:dyDescent="0.25">
      <c r="A160" s="51">
        <v>157</v>
      </c>
      <c r="B160" s="65">
        <v>45997</v>
      </c>
      <c r="C160" s="65">
        <v>45997</v>
      </c>
      <c r="D160" s="78">
        <v>251206012</v>
      </c>
      <c r="E160" s="67" t="s">
        <v>390</v>
      </c>
      <c r="F160" s="67" t="s">
        <v>391</v>
      </c>
      <c r="G160" s="67">
        <v>40</v>
      </c>
      <c r="H160" s="79">
        <v>115</v>
      </c>
      <c r="I160" s="19" t="s">
        <v>35</v>
      </c>
      <c r="J160" s="20" t="s">
        <v>23</v>
      </c>
      <c r="K160" s="21" t="s">
        <v>32</v>
      </c>
      <c r="L160" s="70" t="s">
        <v>286</v>
      </c>
      <c r="M160" s="67" t="s">
        <v>37</v>
      </c>
      <c r="N160" s="67">
        <v>51.9</v>
      </c>
      <c r="O160" s="67">
        <v>11.56</v>
      </c>
      <c r="P160" s="71">
        <f t="shared" si="23"/>
        <v>40.339999999999996</v>
      </c>
      <c r="Q160" s="72">
        <v>445</v>
      </c>
      <c r="R160" s="73">
        <f t="shared" si="24"/>
        <v>17951.3</v>
      </c>
      <c r="S160" s="72"/>
      <c r="T160" s="74"/>
      <c r="V160" s="74" t="s">
        <v>24</v>
      </c>
      <c r="W160" s="72">
        <v>145</v>
      </c>
      <c r="X160" s="75">
        <f t="shared" si="25"/>
        <v>5849.2999999999993</v>
      </c>
      <c r="Y160" s="76">
        <v>260</v>
      </c>
      <c r="Z160" s="76">
        <f t="shared" si="26"/>
        <v>10488.4</v>
      </c>
      <c r="AA160" s="74">
        <f t="shared" si="27"/>
        <v>34289</v>
      </c>
    </row>
    <row r="161" spans="1:38" s="81" customFormat="1" ht="15.75" x14ac:dyDescent="0.25">
      <c r="A161" s="51">
        <v>158</v>
      </c>
      <c r="B161" s="65">
        <v>45997</v>
      </c>
      <c r="C161" s="65">
        <v>45997</v>
      </c>
      <c r="D161" s="78">
        <v>251206013</v>
      </c>
      <c r="E161" s="67" t="s">
        <v>392</v>
      </c>
      <c r="F161" s="67" t="s">
        <v>393</v>
      </c>
      <c r="G161" s="67">
        <v>33</v>
      </c>
      <c r="H161" s="79">
        <v>117</v>
      </c>
      <c r="I161" s="86" t="s">
        <v>55</v>
      </c>
      <c r="J161" s="20" t="s">
        <v>23</v>
      </c>
      <c r="K161" s="19" t="s">
        <v>32</v>
      </c>
      <c r="L161" s="70" t="s">
        <v>394</v>
      </c>
      <c r="M161" s="67" t="s">
        <v>36</v>
      </c>
      <c r="N161" s="80">
        <v>46.16</v>
      </c>
      <c r="O161" s="67">
        <v>12.38</v>
      </c>
      <c r="P161" s="71">
        <f t="shared" si="23"/>
        <v>33.779999999999994</v>
      </c>
      <c r="Q161" s="72">
        <v>555</v>
      </c>
      <c r="R161" s="73">
        <f t="shared" si="24"/>
        <v>18747.899999999998</v>
      </c>
      <c r="S161" s="72"/>
      <c r="T161" s="74"/>
      <c r="V161" s="74" t="s">
        <v>24</v>
      </c>
      <c r="W161" s="72">
        <v>145</v>
      </c>
      <c r="X161" s="75">
        <f t="shared" si="25"/>
        <v>4898.0999999999995</v>
      </c>
      <c r="Y161" s="76">
        <v>260</v>
      </c>
      <c r="Z161" s="76">
        <f t="shared" si="26"/>
        <v>8782.7999999999993</v>
      </c>
      <c r="AA161" s="74">
        <f t="shared" si="27"/>
        <v>32428.799999999996</v>
      </c>
    </row>
    <row r="162" spans="1:38" s="77" customFormat="1" ht="15.75" x14ac:dyDescent="0.25">
      <c r="A162" s="51">
        <v>159</v>
      </c>
      <c r="B162" s="65">
        <v>45997</v>
      </c>
      <c r="C162" s="65">
        <v>45997</v>
      </c>
      <c r="D162" s="66" t="s">
        <v>395</v>
      </c>
      <c r="E162" s="67"/>
      <c r="F162" s="67"/>
      <c r="G162" s="67"/>
      <c r="H162" s="88"/>
      <c r="I162" s="89" t="s">
        <v>349</v>
      </c>
      <c r="J162" s="56" t="s">
        <v>23</v>
      </c>
      <c r="K162" s="59" t="s">
        <v>32</v>
      </c>
      <c r="L162" s="70" t="s">
        <v>396</v>
      </c>
      <c r="M162" s="67" t="s">
        <v>31</v>
      </c>
      <c r="N162" s="80">
        <v>20.12</v>
      </c>
      <c r="O162" s="67">
        <v>7.24</v>
      </c>
      <c r="P162" s="71">
        <f t="shared" si="23"/>
        <v>12.88</v>
      </c>
      <c r="Q162" s="72">
        <v>120</v>
      </c>
      <c r="R162" s="73">
        <f t="shared" si="24"/>
        <v>1545.6000000000001</v>
      </c>
      <c r="S162" s="72"/>
      <c r="T162" s="74"/>
      <c r="V162" s="74" t="s">
        <v>53</v>
      </c>
      <c r="W162" s="72"/>
      <c r="X162" s="75">
        <f t="shared" si="25"/>
        <v>0</v>
      </c>
      <c r="Y162" s="76"/>
      <c r="Z162" s="74">
        <f t="shared" si="26"/>
        <v>0</v>
      </c>
      <c r="AA162" s="74">
        <f t="shared" si="27"/>
        <v>1545.6000000000001</v>
      </c>
    </row>
    <row r="163" spans="1:38" s="77" customFormat="1" ht="15.75" x14ac:dyDescent="0.25">
      <c r="A163" s="51">
        <v>160</v>
      </c>
      <c r="B163" s="65">
        <v>45997</v>
      </c>
      <c r="C163" s="65">
        <v>45997</v>
      </c>
      <c r="D163" s="78">
        <v>251206014</v>
      </c>
      <c r="E163" s="67" t="s">
        <v>397</v>
      </c>
      <c r="F163" s="67" t="s">
        <v>398</v>
      </c>
      <c r="G163" s="67">
        <v>44</v>
      </c>
      <c r="H163" s="79">
        <v>115</v>
      </c>
      <c r="I163" s="19" t="s">
        <v>35</v>
      </c>
      <c r="J163" s="20" t="s">
        <v>23</v>
      </c>
      <c r="K163" s="21" t="s">
        <v>32</v>
      </c>
      <c r="L163" s="70" t="s">
        <v>54</v>
      </c>
      <c r="M163" s="67" t="s">
        <v>34</v>
      </c>
      <c r="N163" s="80">
        <v>58.96</v>
      </c>
      <c r="O163" s="80">
        <v>14.86</v>
      </c>
      <c r="P163" s="71">
        <f t="shared" si="23"/>
        <v>44.1</v>
      </c>
      <c r="Q163" s="72">
        <v>315</v>
      </c>
      <c r="R163" s="73">
        <f t="shared" si="24"/>
        <v>13891.5</v>
      </c>
      <c r="S163" s="72"/>
      <c r="T163" s="74"/>
      <c r="V163" s="74" t="s">
        <v>24</v>
      </c>
      <c r="W163" s="72">
        <v>145</v>
      </c>
      <c r="X163" s="75">
        <f t="shared" si="25"/>
        <v>6394.5</v>
      </c>
      <c r="Y163" s="76">
        <v>260</v>
      </c>
      <c r="Z163" s="76">
        <f t="shared" si="26"/>
        <v>11466</v>
      </c>
      <c r="AA163" s="74">
        <f t="shared" si="27"/>
        <v>31752</v>
      </c>
    </row>
    <row r="164" spans="1:38" s="77" customFormat="1" ht="15.75" x14ac:dyDescent="0.25">
      <c r="A164" s="51">
        <v>161</v>
      </c>
      <c r="B164" s="65">
        <v>45997</v>
      </c>
      <c r="C164" s="65">
        <v>45997</v>
      </c>
      <c r="D164" s="78">
        <v>251206015</v>
      </c>
      <c r="E164" s="67" t="s">
        <v>399</v>
      </c>
      <c r="F164" s="67" t="s">
        <v>400</v>
      </c>
      <c r="G164" s="67">
        <v>39</v>
      </c>
      <c r="H164" s="79">
        <v>115</v>
      </c>
      <c r="I164" s="19" t="s">
        <v>35</v>
      </c>
      <c r="J164" s="20" t="s">
        <v>23</v>
      </c>
      <c r="K164" s="21" t="s">
        <v>32</v>
      </c>
      <c r="L164" s="70" t="s">
        <v>41</v>
      </c>
      <c r="M164" s="67" t="s">
        <v>37</v>
      </c>
      <c r="N164" s="67">
        <v>51.56</v>
      </c>
      <c r="O164" s="80">
        <v>11.72</v>
      </c>
      <c r="P164" s="71">
        <f t="shared" si="23"/>
        <v>39.840000000000003</v>
      </c>
      <c r="Q164" s="72">
        <v>445</v>
      </c>
      <c r="R164" s="73">
        <f t="shared" si="24"/>
        <v>17728.800000000003</v>
      </c>
      <c r="S164" s="72"/>
      <c r="T164" s="74"/>
      <c r="V164" s="74" t="s">
        <v>24</v>
      </c>
      <c r="W164" s="72">
        <v>145</v>
      </c>
      <c r="X164" s="75">
        <f t="shared" si="25"/>
        <v>5776.8</v>
      </c>
      <c r="Y164" s="76">
        <v>260</v>
      </c>
      <c r="Z164" s="76">
        <f t="shared" si="26"/>
        <v>10358.400000000001</v>
      </c>
      <c r="AA164" s="74">
        <f t="shared" si="27"/>
        <v>33864</v>
      </c>
    </row>
    <row r="165" spans="1:38" s="77" customFormat="1" ht="17.100000000000001" customHeight="1" x14ac:dyDescent="0.25">
      <c r="A165" s="51">
        <v>162</v>
      </c>
      <c r="B165" s="65">
        <v>45997</v>
      </c>
      <c r="C165" s="65">
        <v>45997</v>
      </c>
      <c r="D165" s="78">
        <v>251206016</v>
      </c>
      <c r="E165" s="67" t="s">
        <v>401</v>
      </c>
      <c r="F165" s="67" t="s">
        <v>402</v>
      </c>
      <c r="G165" s="67">
        <v>45</v>
      </c>
      <c r="H165" s="79">
        <v>115</v>
      </c>
      <c r="I165" s="19" t="s">
        <v>35</v>
      </c>
      <c r="J165" s="20" t="s">
        <v>23</v>
      </c>
      <c r="K165" s="21" t="s">
        <v>32</v>
      </c>
      <c r="L165" s="70" t="s">
        <v>40</v>
      </c>
      <c r="M165" s="67" t="s">
        <v>34</v>
      </c>
      <c r="N165" s="80">
        <v>60.4</v>
      </c>
      <c r="O165" s="67">
        <v>15.02</v>
      </c>
      <c r="P165" s="71">
        <f t="shared" si="23"/>
        <v>45.379999999999995</v>
      </c>
      <c r="Q165" s="72">
        <v>315</v>
      </c>
      <c r="R165" s="73">
        <f t="shared" si="24"/>
        <v>14294.699999999999</v>
      </c>
      <c r="S165" s="72"/>
      <c r="T165" s="74"/>
      <c r="V165" s="74" t="s">
        <v>24</v>
      </c>
      <c r="W165" s="72">
        <v>145</v>
      </c>
      <c r="X165" s="75">
        <f t="shared" si="25"/>
        <v>6580.0999999999995</v>
      </c>
      <c r="Y165" s="76">
        <v>260</v>
      </c>
      <c r="Z165" s="76">
        <f t="shared" si="26"/>
        <v>11798.8</v>
      </c>
      <c r="AA165" s="74">
        <f t="shared" si="27"/>
        <v>32673.599999999999</v>
      </c>
      <c r="AB165" s="83"/>
      <c r="AC165" s="82"/>
      <c r="AD165" s="84"/>
      <c r="AE165" s="85"/>
      <c r="AF165" s="82"/>
      <c r="AG165" s="85"/>
      <c r="AH165" s="82"/>
      <c r="AI165" s="84"/>
      <c r="AJ165" s="82"/>
      <c r="AK165" s="84"/>
      <c r="AL165" s="84"/>
    </row>
    <row r="166" spans="1:38" s="77" customFormat="1" ht="15.75" x14ac:dyDescent="0.25">
      <c r="A166" s="51">
        <v>163</v>
      </c>
      <c r="B166" s="65">
        <v>45997</v>
      </c>
      <c r="C166" s="65">
        <v>45997</v>
      </c>
      <c r="D166" s="78">
        <v>251206017</v>
      </c>
      <c r="E166" s="67" t="s">
        <v>403</v>
      </c>
      <c r="F166" s="67" t="s">
        <v>404</v>
      </c>
      <c r="G166" s="67">
        <v>39</v>
      </c>
      <c r="H166" s="79">
        <v>115</v>
      </c>
      <c r="I166" s="19" t="s">
        <v>35</v>
      </c>
      <c r="J166" s="20" t="s">
        <v>23</v>
      </c>
      <c r="K166" s="21" t="s">
        <v>32</v>
      </c>
      <c r="L166" s="70" t="s">
        <v>44</v>
      </c>
      <c r="M166" s="67" t="s">
        <v>37</v>
      </c>
      <c r="N166" s="80">
        <v>51.22</v>
      </c>
      <c r="O166" s="80">
        <v>11.76</v>
      </c>
      <c r="P166" s="71">
        <f t="shared" si="23"/>
        <v>39.46</v>
      </c>
      <c r="Q166" s="72">
        <v>445</v>
      </c>
      <c r="R166" s="73">
        <f t="shared" si="24"/>
        <v>17559.7</v>
      </c>
      <c r="S166" s="72"/>
      <c r="T166" s="74"/>
      <c r="V166" s="74" t="s">
        <v>24</v>
      </c>
      <c r="W166" s="72">
        <v>145</v>
      </c>
      <c r="X166" s="75">
        <f t="shared" si="25"/>
        <v>5721.7</v>
      </c>
      <c r="Y166" s="76">
        <v>260</v>
      </c>
      <c r="Z166" s="76">
        <f t="shared" si="26"/>
        <v>10259.6</v>
      </c>
      <c r="AA166" s="74">
        <f t="shared" si="27"/>
        <v>33541</v>
      </c>
    </row>
    <row r="167" spans="1:38" s="77" customFormat="1" ht="15.75" x14ac:dyDescent="0.25">
      <c r="A167" s="51">
        <v>164</v>
      </c>
      <c r="B167" s="65">
        <v>45997</v>
      </c>
      <c r="C167" s="65">
        <v>45997</v>
      </c>
      <c r="D167" s="66" t="s">
        <v>405</v>
      </c>
      <c r="E167" s="67"/>
      <c r="F167" s="67"/>
      <c r="G167" s="67"/>
      <c r="H167" s="88"/>
      <c r="I167" s="89" t="s">
        <v>349</v>
      </c>
      <c r="J167" s="56" t="s">
        <v>23</v>
      </c>
      <c r="K167" s="59" t="s">
        <v>32</v>
      </c>
      <c r="L167" s="70" t="s">
        <v>396</v>
      </c>
      <c r="M167" s="67" t="s">
        <v>31</v>
      </c>
      <c r="N167" s="80">
        <v>19.7</v>
      </c>
      <c r="O167" s="80">
        <v>7.3</v>
      </c>
      <c r="P167" s="71">
        <f t="shared" si="23"/>
        <v>12.399999999999999</v>
      </c>
      <c r="Q167" s="72">
        <v>120</v>
      </c>
      <c r="R167" s="73">
        <f t="shared" si="24"/>
        <v>1487.9999999999998</v>
      </c>
      <c r="S167" s="72"/>
      <c r="T167" s="74"/>
      <c r="V167" s="74" t="s">
        <v>53</v>
      </c>
      <c r="W167" s="72"/>
      <c r="X167" s="75">
        <f t="shared" si="25"/>
        <v>0</v>
      </c>
      <c r="Y167" s="76"/>
      <c r="Z167" s="76">
        <f t="shared" si="26"/>
        <v>0</v>
      </c>
      <c r="AA167" s="74">
        <f t="shared" si="27"/>
        <v>1487.9999999999998</v>
      </c>
    </row>
    <row r="168" spans="1:38" s="77" customFormat="1" ht="15.75" x14ac:dyDescent="0.25">
      <c r="A168" s="51">
        <v>165</v>
      </c>
      <c r="B168" s="65">
        <v>45997</v>
      </c>
      <c r="C168" s="65">
        <v>45997</v>
      </c>
      <c r="D168" s="78">
        <v>251206018</v>
      </c>
      <c r="E168" s="67" t="s">
        <v>406</v>
      </c>
      <c r="F168" s="67" t="s">
        <v>407</v>
      </c>
      <c r="G168" s="67">
        <v>45</v>
      </c>
      <c r="H168" s="79">
        <v>115</v>
      </c>
      <c r="I168" s="19" t="s">
        <v>35</v>
      </c>
      <c r="J168" s="20" t="s">
        <v>23</v>
      </c>
      <c r="K168" s="21" t="s">
        <v>32</v>
      </c>
      <c r="L168" s="78" t="s">
        <v>38</v>
      </c>
      <c r="M168" s="67" t="s">
        <v>36</v>
      </c>
      <c r="N168" s="80">
        <v>61.2</v>
      </c>
      <c r="O168" s="80">
        <v>15.84</v>
      </c>
      <c r="P168" s="71">
        <f t="shared" si="23"/>
        <v>45.36</v>
      </c>
      <c r="Q168" s="72">
        <v>545</v>
      </c>
      <c r="R168" s="73">
        <f t="shared" si="24"/>
        <v>24721.200000000001</v>
      </c>
      <c r="S168" s="72"/>
      <c r="T168" s="74"/>
      <c r="V168" s="74" t="s">
        <v>24</v>
      </c>
      <c r="W168" s="72">
        <v>145</v>
      </c>
      <c r="X168" s="75">
        <f t="shared" si="25"/>
        <v>6577.2</v>
      </c>
      <c r="Y168" s="76">
        <v>260</v>
      </c>
      <c r="Z168" s="76">
        <f t="shared" si="26"/>
        <v>11793.6</v>
      </c>
      <c r="AA168" s="74">
        <f t="shared" si="27"/>
        <v>43092</v>
      </c>
    </row>
    <row r="169" spans="1:38" s="77" customFormat="1" ht="15.75" x14ac:dyDescent="0.25">
      <c r="A169" s="51">
        <v>166</v>
      </c>
      <c r="B169" s="65">
        <v>45997</v>
      </c>
      <c r="C169" s="65">
        <v>45997</v>
      </c>
      <c r="D169" s="78">
        <v>251206019</v>
      </c>
      <c r="E169" s="67" t="s">
        <v>408</v>
      </c>
      <c r="F169" s="67" t="s">
        <v>409</v>
      </c>
      <c r="G169" s="67">
        <v>38</v>
      </c>
      <c r="H169" s="79">
        <v>115</v>
      </c>
      <c r="I169" s="19" t="s">
        <v>35</v>
      </c>
      <c r="J169" s="20" t="s">
        <v>23</v>
      </c>
      <c r="K169" s="21" t="s">
        <v>32</v>
      </c>
      <c r="L169" s="70" t="s">
        <v>42</v>
      </c>
      <c r="M169" s="67" t="s">
        <v>37</v>
      </c>
      <c r="N169" s="80">
        <v>50.5</v>
      </c>
      <c r="O169" s="80">
        <v>11.76</v>
      </c>
      <c r="P169" s="71">
        <f t="shared" si="23"/>
        <v>38.74</v>
      </c>
      <c r="Q169" s="72">
        <v>445</v>
      </c>
      <c r="R169" s="73">
        <f t="shared" si="24"/>
        <v>17239.3</v>
      </c>
      <c r="S169" s="72"/>
      <c r="T169" s="74"/>
      <c r="V169" s="74" t="s">
        <v>24</v>
      </c>
      <c r="W169" s="72">
        <v>145</v>
      </c>
      <c r="X169" s="75">
        <f t="shared" si="25"/>
        <v>5617.3</v>
      </c>
      <c r="Y169" s="76">
        <v>260</v>
      </c>
      <c r="Z169" s="76">
        <f t="shared" si="26"/>
        <v>10072.4</v>
      </c>
      <c r="AA169" s="74">
        <f t="shared" si="27"/>
        <v>32929</v>
      </c>
    </row>
    <row r="170" spans="1:38" s="81" customFormat="1" ht="15.75" x14ac:dyDescent="0.25">
      <c r="A170" s="51">
        <v>167</v>
      </c>
      <c r="B170" s="65">
        <v>45997</v>
      </c>
      <c r="C170" s="65">
        <v>45997</v>
      </c>
      <c r="D170" s="78">
        <v>251206020</v>
      </c>
      <c r="E170" s="67" t="s">
        <v>410</v>
      </c>
      <c r="F170" s="67" t="s">
        <v>411</v>
      </c>
      <c r="G170" s="67">
        <v>40</v>
      </c>
      <c r="H170" s="79">
        <v>115</v>
      </c>
      <c r="I170" s="19" t="s">
        <v>35</v>
      </c>
      <c r="J170" s="20" t="s">
        <v>23</v>
      </c>
      <c r="K170" s="21" t="s">
        <v>32</v>
      </c>
      <c r="L170" s="70" t="s">
        <v>286</v>
      </c>
      <c r="M170" s="67" t="s">
        <v>37</v>
      </c>
      <c r="N170" s="80">
        <v>51.86</v>
      </c>
      <c r="O170" s="80">
        <v>11.52</v>
      </c>
      <c r="P170" s="71">
        <f t="shared" si="23"/>
        <v>40.340000000000003</v>
      </c>
      <c r="Q170" s="72">
        <v>445</v>
      </c>
      <c r="R170" s="73">
        <f t="shared" si="24"/>
        <v>17951.300000000003</v>
      </c>
      <c r="S170" s="72"/>
      <c r="T170" s="74"/>
      <c r="V170" s="74" t="s">
        <v>24</v>
      </c>
      <c r="W170" s="72">
        <v>145</v>
      </c>
      <c r="X170" s="75">
        <f t="shared" si="25"/>
        <v>5849.3</v>
      </c>
      <c r="Y170" s="76">
        <v>260</v>
      </c>
      <c r="Z170" s="74">
        <f t="shared" si="26"/>
        <v>10488.400000000001</v>
      </c>
      <c r="AA170" s="74">
        <f t="shared" si="27"/>
        <v>34289</v>
      </c>
    </row>
    <row r="171" spans="1:38" s="77" customFormat="1" ht="15.75" x14ac:dyDescent="0.25">
      <c r="A171" s="51">
        <v>168</v>
      </c>
      <c r="B171" s="65">
        <v>45997</v>
      </c>
      <c r="C171" s="65">
        <v>45998</v>
      </c>
      <c r="D171" s="78">
        <v>251207004</v>
      </c>
      <c r="E171" s="67" t="s">
        <v>412</v>
      </c>
      <c r="F171" s="67" t="s">
        <v>413</v>
      </c>
      <c r="G171" s="67">
        <v>34</v>
      </c>
      <c r="H171" s="79">
        <v>115</v>
      </c>
      <c r="I171" s="19" t="s">
        <v>35</v>
      </c>
      <c r="J171" s="20" t="s">
        <v>23</v>
      </c>
      <c r="K171" s="21" t="s">
        <v>32</v>
      </c>
      <c r="L171" s="78" t="s">
        <v>41</v>
      </c>
      <c r="M171" s="67" t="s">
        <v>36</v>
      </c>
      <c r="N171" s="80">
        <v>46.1</v>
      </c>
      <c r="O171" s="67">
        <v>11.78</v>
      </c>
      <c r="P171" s="71">
        <f t="shared" si="23"/>
        <v>34.32</v>
      </c>
      <c r="Q171" s="72">
        <v>545</v>
      </c>
      <c r="R171" s="73">
        <f t="shared" si="24"/>
        <v>18704.400000000001</v>
      </c>
      <c r="S171" s="72"/>
      <c r="T171" s="74"/>
      <c r="V171" s="74" t="s">
        <v>24</v>
      </c>
      <c r="W171" s="72">
        <v>145</v>
      </c>
      <c r="X171" s="75">
        <f t="shared" si="25"/>
        <v>4976.3999999999996</v>
      </c>
      <c r="Y171" s="76">
        <v>260</v>
      </c>
      <c r="Z171" s="74">
        <f t="shared" si="26"/>
        <v>8923.2000000000007</v>
      </c>
      <c r="AA171" s="74">
        <f t="shared" si="27"/>
        <v>32604.000000000004</v>
      </c>
    </row>
    <row r="172" spans="1:38" s="77" customFormat="1" ht="15.75" x14ac:dyDescent="0.25">
      <c r="A172" s="51">
        <v>169</v>
      </c>
      <c r="B172" s="65">
        <v>45997</v>
      </c>
      <c r="C172" s="65">
        <v>45998</v>
      </c>
      <c r="D172" s="78">
        <v>251207003</v>
      </c>
      <c r="E172" s="67" t="s">
        <v>414</v>
      </c>
      <c r="F172" s="67" t="s">
        <v>415</v>
      </c>
      <c r="G172" s="67">
        <v>45</v>
      </c>
      <c r="H172" s="79">
        <v>115</v>
      </c>
      <c r="I172" s="19" t="s">
        <v>35</v>
      </c>
      <c r="J172" s="20" t="s">
        <v>23</v>
      </c>
      <c r="K172" s="21" t="s">
        <v>32</v>
      </c>
      <c r="L172" s="96" t="s">
        <v>38</v>
      </c>
      <c r="M172" s="67" t="s">
        <v>36</v>
      </c>
      <c r="N172" s="80">
        <v>61.04</v>
      </c>
      <c r="O172" s="80">
        <v>15.78</v>
      </c>
      <c r="P172" s="71">
        <f t="shared" si="23"/>
        <v>45.26</v>
      </c>
      <c r="Q172" s="72">
        <v>545</v>
      </c>
      <c r="R172" s="73">
        <f t="shared" si="24"/>
        <v>24666.7</v>
      </c>
      <c r="S172" s="72"/>
      <c r="T172" s="74"/>
      <c r="V172" s="74" t="s">
        <v>24</v>
      </c>
      <c r="W172" s="72">
        <v>145</v>
      </c>
      <c r="X172" s="75">
        <f t="shared" si="25"/>
        <v>6562.7</v>
      </c>
      <c r="Y172" s="76">
        <v>260</v>
      </c>
      <c r="Z172" s="74">
        <f t="shared" si="26"/>
        <v>11767.6</v>
      </c>
      <c r="AA172" s="74">
        <f t="shared" si="27"/>
        <v>42997</v>
      </c>
    </row>
    <row r="173" spans="1:38" s="77" customFormat="1" ht="15.75" x14ac:dyDescent="0.25">
      <c r="A173" s="51">
        <v>170</v>
      </c>
      <c r="B173" s="65">
        <v>45997</v>
      </c>
      <c r="C173" s="65">
        <v>45998</v>
      </c>
      <c r="D173" s="78">
        <v>251207002</v>
      </c>
      <c r="E173" s="67" t="s">
        <v>416</v>
      </c>
      <c r="F173" s="67" t="s">
        <v>417</v>
      </c>
      <c r="G173" s="67">
        <v>49</v>
      </c>
      <c r="H173" s="79">
        <v>115</v>
      </c>
      <c r="I173" s="19" t="s">
        <v>35</v>
      </c>
      <c r="J173" s="20" t="s">
        <v>23</v>
      </c>
      <c r="K173" s="21" t="s">
        <v>32</v>
      </c>
      <c r="L173" s="70" t="s">
        <v>418</v>
      </c>
      <c r="M173" s="67" t="s">
        <v>34</v>
      </c>
      <c r="N173" s="80">
        <v>67.98</v>
      </c>
      <c r="O173" s="80">
        <v>18.46</v>
      </c>
      <c r="P173" s="71">
        <f t="shared" si="23"/>
        <v>49.52</v>
      </c>
      <c r="Q173" s="72">
        <v>315</v>
      </c>
      <c r="R173" s="73">
        <f t="shared" si="24"/>
        <v>15598.800000000001</v>
      </c>
      <c r="S173" s="72"/>
      <c r="T173" s="74"/>
      <c r="V173" s="74" t="s">
        <v>24</v>
      </c>
      <c r="W173" s="72">
        <v>145</v>
      </c>
      <c r="X173" s="75">
        <f t="shared" si="25"/>
        <v>7180.4000000000005</v>
      </c>
      <c r="Y173" s="76">
        <v>260</v>
      </c>
      <c r="Z173" s="74">
        <f t="shared" si="26"/>
        <v>12875.2</v>
      </c>
      <c r="AA173" s="74">
        <f t="shared" si="27"/>
        <v>35654.400000000001</v>
      </c>
    </row>
    <row r="174" spans="1:38" s="81" customFormat="1" ht="15.75" x14ac:dyDescent="0.25">
      <c r="A174" s="51">
        <v>171</v>
      </c>
      <c r="B174" s="65">
        <v>45997</v>
      </c>
      <c r="C174" s="65">
        <v>45998</v>
      </c>
      <c r="D174" s="78">
        <v>251207006</v>
      </c>
      <c r="E174" s="67" t="s">
        <v>419</v>
      </c>
      <c r="F174" s="67" t="s">
        <v>420</v>
      </c>
      <c r="G174" s="67">
        <v>36</v>
      </c>
      <c r="H174" s="97">
        <v>24</v>
      </c>
      <c r="I174" s="87" t="s">
        <v>199</v>
      </c>
      <c r="J174" s="18" t="s">
        <v>23</v>
      </c>
      <c r="K174" s="19" t="s">
        <v>32</v>
      </c>
      <c r="L174" s="90" t="s">
        <v>202</v>
      </c>
      <c r="M174" s="67" t="s">
        <v>34</v>
      </c>
      <c r="N174" s="80">
        <v>47.44</v>
      </c>
      <c r="O174" s="80">
        <v>11.34</v>
      </c>
      <c r="P174" s="71">
        <f t="shared" si="23"/>
        <v>36.099999999999994</v>
      </c>
      <c r="Q174" s="72">
        <v>335</v>
      </c>
      <c r="R174" s="73">
        <f t="shared" si="24"/>
        <v>12093.499999999998</v>
      </c>
      <c r="S174" s="72"/>
      <c r="T174" s="74"/>
      <c r="V174" s="74" t="s">
        <v>24</v>
      </c>
      <c r="W174" s="72">
        <v>145</v>
      </c>
      <c r="X174" s="75">
        <f t="shared" si="25"/>
        <v>5234.4999999999991</v>
      </c>
      <c r="Y174" s="76">
        <v>260</v>
      </c>
      <c r="Z174" s="74">
        <f t="shared" si="26"/>
        <v>9385.9999999999982</v>
      </c>
      <c r="AA174" s="74">
        <f t="shared" si="27"/>
        <v>26713.999999999993</v>
      </c>
    </row>
    <row r="175" spans="1:38" s="81" customFormat="1" ht="15.75" x14ac:dyDescent="0.25">
      <c r="A175" s="51">
        <v>172</v>
      </c>
      <c r="B175" s="65">
        <v>45997</v>
      </c>
      <c r="C175" s="65">
        <v>45998</v>
      </c>
      <c r="D175" s="78">
        <v>251207005</v>
      </c>
      <c r="E175" s="67" t="s">
        <v>421</v>
      </c>
      <c r="F175" s="67" t="s">
        <v>422</v>
      </c>
      <c r="G175" s="67">
        <v>39</v>
      </c>
      <c r="H175" s="97">
        <v>24</v>
      </c>
      <c r="I175" s="87" t="s">
        <v>199</v>
      </c>
      <c r="J175" s="18" t="s">
        <v>23</v>
      </c>
      <c r="K175" s="19" t="s">
        <v>32</v>
      </c>
      <c r="L175" s="70" t="s">
        <v>423</v>
      </c>
      <c r="M175" s="67" t="s">
        <v>34</v>
      </c>
      <c r="N175" s="80">
        <v>51.82</v>
      </c>
      <c r="O175" s="80">
        <v>12.72</v>
      </c>
      <c r="P175" s="71">
        <f t="shared" si="23"/>
        <v>39.1</v>
      </c>
      <c r="Q175" s="72">
        <v>335</v>
      </c>
      <c r="R175" s="73">
        <f t="shared" si="24"/>
        <v>13098.5</v>
      </c>
      <c r="S175" s="72"/>
      <c r="T175" s="74"/>
      <c r="V175" s="74" t="s">
        <v>24</v>
      </c>
      <c r="W175" s="72">
        <v>145</v>
      </c>
      <c r="X175" s="75">
        <f t="shared" si="25"/>
        <v>5669.5</v>
      </c>
      <c r="Y175" s="76">
        <v>260</v>
      </c>
      <c r="Z175" s="74">
        <f t="shared" si="26"/>
        <v>10166</v>
      </c>
      <c r="AA175" s="74">
        <f t="shared" si="27"/>
        <v>28934</v>
      </c>
    </row>
    <row r="176" spans="1:38" s="77" customFormat="1" ht="15.75" x14ac:dyDescent="0.25">
      <c r="A176" s="51">
        <v>173</v>
      </c>
      <c r="B176" s="65">
        <v>45997</v>
      </c>
      <c r="C176" s="65">
        <v>45998</v>
      </c>
      <c r="D176" s="78">
        <v>251207001</v>
      </c>
      <c r="E176" s="67"/>
      <c r="F176" s="67" t="s">
        <v>424</v>
      </c>
      <c r="G176" s="67">
        <v>46</v>
      </c>
      <c r="H176" s="100">
        <v>128</v>
      </c>
      <c r="I176" s="19" t="s">
        <v>425</v>
      </c>
      <c r="J176" s="20" t="s">
        <v>23</v>
      </c>
      <c r="K176" s="19" t="s">
        <v>32</v>
      </c>
      <c r="L176" s="70" t="s">
        <v>426</v>
      </c>
      <c r="M176" s="67" t="s">
        <v>306</v>
      </c>
      <c r="N176" s="67">
        <v>65.28</v>
      </c>
      <c r="O176" s="80">
        <v>19.059999999999999</v>
      </c>
      <c r="P176" s="71">
        <f t="shared" si="23"/>
        <v>46.22</v>
      </c>
      <c r="Q176" s="72">
        <v>430</v>
      </c>
      <c r="R176" s="73">
        <f t="shared" si="24"/>
        <v>19874.599999999999</v>
      </c>
      <c r="S176" s="72"/>
      <c r="T176" s="74"/>
      <c r="V176" s="74" t="s">
        <v>24</v>
      </c>
      <c r="W176" s="72">
        <v>145</v>
      </c>
      <c r="X176" s="75">
        <f t="shared" si="25"/>
        <v>6701.9</v>
      </c>
      <c r="Y176" s="76"/>
      <c r="Z176" s="74">
        <f t="shared" si="26"/>
        <v>0</v>
      </c>
      <c r="AA176" s="74">
        <f t="shared" si="27"/>
        <v>26576.5</v>
      </c>
    </row>
    <row r="177" spans="1:38" s="77" customFormat="1" ht="15.75" x14ac:dyDescent="0.25">
      <c r="A177" s="51">
        <v>174</v>
      </c>
      <c r="B177" s="65">
        <v>45997</v>
      </c>
      <c r="C177" s="65">
        <v>45998</v>
      </c>
      <c r="D177" s="78" t="s">
        <v>427</v>
      </c>
      <c r="E177" s="67"/>
      <c r="F177" s="67"/>
      <c r="G177" s="67"/>
      <c r="H177" s="98">
        <v>20</v>
      </c>
      <c r="I177" s="87" t="s">
        <v>62</v>
      </c>
      <c r="J177" s="20" t="s">
        <v>23</v>
      </c>
      <c r="K177" s="19" t="s">
        <v>32</v>
      </c>
      <c r="L177" s="70" t="s">
        <v>66</v>
      </c>
      <c r="M177" s="67" t="s">
        <v>31</v>
      </c>
      <c r="N177" s="80">
        <v>47.2</v>
      </c>
      <c r="O177" s="80">
        <v>10.78</v>
      </c>
      <c r="P177" s="71">
        <f t="shared" si="23"/>
        <v>36.42</v>
      </c>
      <c r="Q177" s="72">
        <v>140</v>
      </c>
      <c r="R177" s="73">
        <f t="shared" si="24"/>
        <v>5098.8</v>
      </c>
      <c r="S177" s="72"/>
      <c r="T177" s="74"/>
      <c r="V177" s="74" t="s">
        <v>53</v>
      </c>
      <c r="W177" s="72"/>
      <c r="X177" s="75">
        <f t="shared" si="25"/>
        <v>0</v>
      </c>
      <c r="Y177" s="76"/>
      <c r="Z177" s="74">
        <f t="shared" si="26"/>
        <v>0</v>
      </c>
      <c r="AA177" s="74">
        <f t="shared" si="27"/>
        <v>5098.8</v>
      </c>
    </row>
    <row r="178" spans="1:38" s="77" customFormat="1" ht="15.75" x14ac:dyDescent="0.25">
      <c r="A178" s="51">
        <v>175</v>
      </c>
      <c r="B178" s="65">
        <v>45998</v>
      </c>
      <c r="C178" s="65">
        <v>45998</v>
      </c>
      <c r="D178" s="101">
        <v>251207007</v>
      </c>
      <c r="E178" s="67" t="s">
        <v>428</v>
      </c>
      <c r="F178" s="67" t="s">
        <v>429</v>
      </c>
      <c r="G178" s="67">
        <v>37</v>
      </c>
      <c r="H178" s="97">
        <v>53</v>
      </c>
      <c r="I178" s="102" t="s">
        <v>430</v>
      </c>
      <c r="J178" s="103" t="s">
        <v>23</v>
      </c>
      <c r="K178" s="87" t="s">
        <v>32</v>
      </c>
      <c r="L178" s="104" t="s">
        <v>45</v>
      </c>
      <c r="M178" s="67" t="s">
        <v>58</v>
      </c>
      <c r="N178" s="67">
        <v>49.26</v>
      </c>
      <c r="O178" s="67">
        <v>11.96</v>
      </c>
      <c r="P178" s="71">
        <f t="shared" si="23"/>
        <v>37.299999999999997</v>
      </c>
      <c r="Q178" s="72">
        <v>255</v>
      </c>
      <c r="R178" s="73">
        <f t="shared" si="24"/>
        <v>9511.5</v>
      </c>
      <c r="S178" s="72"/>
      <c r="T178" s="74"/>
      <c r="V178" s="74" t="s">
        <v>152</v>
      </c>
      <c r="W178" s="72">
        <v>145</v>
      </c>
      <c r="X178" s="75">
        <f t="shared" si="25"/>
        <v>5408.5</v>
      </c>
      <c r="Y178" s="76">
        <v>200</v>
      </c>
      <c r="Z178" s="74">
        <f t="shared" si="26"/>
        <v>7459.9999999999991</v>
      </c>
      <c r="AA178" s="74">
        <f t="shared" si="27"/>
        <v>22380</v>
      </c>
    </row>
    <row r="179" spans="1:38" s="77" customFormat="1" ht="15.75" x14ac:dyDescent="0.25">
      <c r="A179" s="51">
        <v>176</v>
      </c>
      <c r="B179" s="65">
        <v>45998</v>
      </c>
      <c r="C179" s="65">
        <v>45998</v>
      </c>
      <c r="D179" s="101">
        <v>251207008</v>
      </c>
      <c r="E179" s="67" t="s">
        <v>431</v>
      </c>
      <c r="F179" s="67" t="s">
        <v>432</v>
      </c>
      <c r="G179" s="67">
        <v>45</v>
      </c>
      <c r="H179" s="97">
        <v>53</v>
      </c>
      <c r="I179" s="102" t="s">
        <v>430</v>
      </c>
      <c r="J179" s="103" t="s">
        <v>23</v>
      </c>
      <c r="K179" s="87" t="s">
        <v>32</v>
      </c>
      <c r="L179" s="104" t="s">
        <v>165</v>
      </c>
      <c r="M179" s="67" t="s">
        <v>58</v>
      </c>
      <c r="N179" s="67">
        <v>61.3</v>
      </c>
      <c r="O179" s="67">
        <v>16</v>
      </c>
      <c r="P179" s="71">
        <f t="shared" si="23"/>
        <v>45.3</v>
      </c>
      <c r="Q179" s="72">
        <v>255</v>
      </c>
      <c r="R179" s="73">
        <f t="shared" si="24"/>
        <v>11551.5</v>
      </c>
      <c r="S179" s="72"/>
      <c r="T179" s="74"/>
      <c r="V179" s="74" t="s">
        <v>152</v>
      </c>
      <c r="W179" s="72">
        <v>145</v>
      </c>
      <c r="X179" s="75">
        <f t="shared" si="25"/>
        <v>6568.5</v>
      </c>
      <c r="Y179" s="76">
        <v>200</v>
      </c>
      <c r="Z179" s="76">
        <f t="shared" si="26"/>
        <v>9060</v>
      </c>
      <c r="AA179" s="74">
        <f t="shared" si="27"/>
        <v>27180</v>
      </c>
    </row>
    <row r="180" spans="1:38" s="77" customFormat="1" ht="15.75" x14ac:dyDescent="0.25">
      <c r="A180" s="51">
        <v>177</v>
      </c>
      <c r="B180" s="65">
        <v>45998</v>
      </c>
      <c r="C180" s="65">
        <v>45998</v>
      </c>
      <c r="D180" s="101">
        <v>251207009</v>
      </c>
      <c r="E180" s="67" t="s">
        <v>433</v>
      </c>
      <c r="F180" s="67" t="s">
        <v>434</v>
      </c>
      <c r="G180" s="67">
        <v>39</v>
      </c>
      <c r="H180" s="97">
        <v>53</v>
      </c>
      <c r="I180" s="102" t="s">
        <v>430</v>
      </c>
      <c r="J180" s="103" t="s">
        <v>23</v>
      </c>
      <c r="K180" s="87" t="s">
        <v>32</v>
      </c>
      <c r="L180" s="104" t="s">
        <v>331</v>
      </c>
      <c r="M180" s="67" t="s">
        <v>58</v>
      </c>
      <c r="N180" s="67">
        <v>51.56</v>
      </c>
      <c r="O180" s="67">
        <v>11.58</v>
      </c>
      <c r="P180" s="71">
        <f t="shared" si="23"/>
        <v>39.980000000000004</v>
      </c>
      <c r="Q180" s="72">
        <v>255</v>
      </c>
      <c r="R180" s="73">
        <f t="shared" si="24"/>
        <v>10194.900000000001</v>
      </c>
      <c r="S180" s="72"/>
      <c r="T180" s="74"/>
      <c r="V180" s="74" t="s">
        <v>152</v>
      </c>
      <c r="W180" s="72">
        <v>145</v>
      </c>
      <c r="X180" s="75">
        <f t="shared" si="25"/>
        <v>5797.1</v>
      </c>
      <c r="Y180" s="76">
        <v>200</v>
      </c>
      <c r="Z180" s="76">
        <f t="shared" si="26"/>
        <v>7996.0000000000009</v>
      </c>
      <c r="AA180" s="74">
        <f t="shared" si="27"/>
        <v>23988.000000000004</v>
      </c>
    </row>
    <row r="181" spans="1:38" s="77" customFormat="1" ht="15.75" x14ac:dyDescent="0.25">
      <c r="A181" s="51">
        <v>178</v>
      </c>
      <c r="B181" s="65">
        <v>45998</v>
      </c>
      <c r="C181" s="65">
        <v>45998</v>
      </c>
      <c r="D181" s="101">
        <v>251207010</v>
      </c>
      <c r="E181" s="67" t="s">
        <v>435</v>
      </c>
      <c r="F181" s="67" t="s">
        <v>436</v>
      </c>
      <c r="G181" s="67">
        <v>36</v>
      </c>
      <c r="H181" s="97">
        <v>53</v>
      </c>
      <c r="I181" s="102" t="s">
        <v>430</v>
      </c>
      <c r="J181" s="103" t="s">
        <v>23</v>
      </c>
      <c r="K181" s="87" t="s">
        <v>32</v>
      </c>
      <c r="L181" s="104" t="s">
        <v>56</v>
      </c>
      <c r="M181" s="67" t="s">
        <v>58</v>
      </c>
      <c r="N181" s="67">
        <v>47.96</v>
      </c>
      <c r="O181" s="67">
        <v>11.76</v>
      </c>
      <c r="P181" s="71">
        <f t="shared" si="23"/>
        <v>36.200000000000003</v>
      </c>
      <c r="Q181" s="72">
        <v>255</v>
      </c>
      <c r="R181" s="73">
        <f t="shared" si="24"/>
        <v>9231</v>
      </c>
      <c r="S181" s="72"/>
      <c r="T181" s="74"/>
      <c r="V181" s="74" t="s">
        <v>152</v>
      </c>
      <c r="W181" s="72">
        <v>145</v>
      </c>
      <c r="X181" s="75">
        <f t="shared" si="25"/>
        <v>5249</v>
      </c>
      <c r="Y181" s="76">
        <v>200</v>
      </c>
      <c r="Z181" s="76">
        <f t="shared" si="26"/>
        <v>7240.0000000000009</v>
      </c>
      <c r="AA181" s="74">
        <f t="shared" si="27"/>
        <v>21720</v>
      </c>
    </row>
    <row r="182" spans="1:38" s="77" customFormat="1" ht="15.75" x14ac:dyDescent="0.25">
      <c r="A182" s="51">
        <v>179</v>
      </c>
      <c r="B182" s="65">
        <v>45998</v>
      </c>
      <c r="C182" s="65">
        <v>45998</v>
      </c>
      <c r="D182" s="101">
        <v>251207011</v>
      </c>
      <c r="E182" s="67" t="s">
        <v>437</v>
      </c>
      <c r="F182" s="67" t="s">
        <v>438</v>
      </c>
      <c r="G182" s="67">
        <v>37</v>
      </c>
      <c r="H182" s="97">
        <v>53</v>
      </c>
      <c r="I182" s="102" t="s">
        <v>430</v>
      </c>
      <c r="J182" s="103" t="s">
        <v>23</v>
      </c>
      <c r="K182" s="87" t="s">
        <v>32</v>
      </c>
      <c r="L182" s="104" t="s">
        <v>394</v>
      </c>
      <c r="M182" s="67" t="s">
        <v>58</v>
      </c>
      <c r="N182" s="67">
        <v>50.22</v>
      </c>
      <c r="O182" s="67">
        <v>12.28</v>
      </c>
      <c r="P182" s="71">
        <f t="shared" si="23"/>
        <v>37.94</v>
      </c>
      <c r="Q182" s="72">
        <v>255</v>
      </c>
      <c r="R182" s="73">
        <f t="shared" si="24"/>
        <v>9674.6999999999989</v>
      </c>
      <c r="S182" s="72"/>
      <c r="T182" s="74"/>
      <c r="V182" s="74" t="s">
        <v>152</v>
      </c>
      <c r="W182" s="72">
        <v>145</v>
      </c>
      <c r="X182" s="75">
        <f t="shared" si="25"/>
        <v>5501.2999999999993</v>
      </c>
      <c r="Y182" s="76">
        <v>200</v>
      </c>
      <c r="Z182" s="76">
        <f t="shared" si="26"/>
        <v>7588</v>
      </c>
      <c r="AA182" s="74">
        <f t="shared" si="27"/>
        <v>22764</v>
      </c>
    </row>
    <row r="183" spans="1:38" s="81" customFormat="1" ht="15.75" x14ac:dyDescent="0.25">
      <c r="A183" s="51">
        <v>180</v>
      </c>
      <c r="B183" s="65">
        <v>45998</v>
      </c>
      <c r="C183" s="65">
        <v>45998</v>
      </c>
      <c r="D183" s="101" t="s">
        <v>439</v>
      </c>
      <c r="E183" s="67"/>
      <c r="F183" s="67"/>
      <c r="G183" s="67"/>
      <c r="H183" s="98">
        <v>20</v>
      </c>
      <c r="I183" s="87" t="s">
        <v>62</v>
      </c>
      <c r="J183" s="20" t="s">
        <v>23</v>
      </c>
      <c r="K183" s="87" t="s">
        <v>32</v>
      </c>
      <c r="L183" s="70" t="s">
        <v>67</v>
      </c>
      <c r="M183" s="67" t="s">
        <v>31</v>
      </c>
      <c r="N183" s="80">
        <v>47.3</v>
      </c>
      <c r="O183" s="67">
        <v>12.18</v>
      </c>
      <c r="P183" s="71">
        <f t="shared" si="23"/>
        <v>35.119999999999997</v>
      </c>
      <c r="Q183" s="72">
        <v>140</v>
      </c>
      <c r="R183" s="73">
        <f t="shared" si="24"/>
        <v>4916.7999999999993</v>
      </c>
      <c r="S183" s="72"/>
      <c r="T183" s="74"/>
      <c r="V183" s="74" t="s">
        <v>53</v>
      </c>
      <c r="W183" s="72"/>
      <c r="X183" s="75">
        <f t="shared" si="25"/>
        <v>0</v>
      </c>
      <c r="Y183" s="76"/>
      <c r="Z183" s="76">
        <f t="shared" si="26"/>
        <v>0</v>
      </c>
      <c r="AA183" s="74">
        <f t="shared" si="27"/>
        <v>4916.7999999999993</v>
      </c>
    </row>
    <row r="184" spans="1:38" s="77" customFormat="1" ht="15.75" x14ac:dyDescent="0.25">
      <c r="A184" s="51">
        <v>181</v>
      </c>
      <c r="B184" s="65">
        <v>45998</v>
      </c>
      <c r="C184" s="65">
        <v>45998</v>
      </c>
      <c r="D184" s="101">
        <v>251207011</v>
      </c>
      <c r="E184" s="67" t="s">
        <v>440</v>
      </c>
      <c r="F184" s="67" t="s">
        <v>441</v>
      </c>
      <c r="G184" s="67">
        <v>45</v>
      </c>
      <c r="H184" s="100">
        <v>128</v>
      </c>
      <c r="I184" s="19" t="s">
        <v>425</v>
      </c>
      <c r="J184" s="20" t="s">
        <v>23</v>
      </c>
      <c r="K184" s="19" t="s">
        <v>32</v>
      </c>
      <c r="L184" s="104" t="s">
        <v>426</v>
      </c>
      <c r="M184" s="67" t="s">
        <v>306</v>
      </c>
      <c r="N184" s="80">
        <v>64.260000000000005</v>
      </c>
      <c r="O184" s="67">
        <v>18.98</v>
      </c>
      <c r="P184" s="71">
        <f t="shared" si="23"/>
        <v>45.28</v>
      </c>
      <c r="Q184" s="72">
        <v>430</v>
      </c>
      <c r="R184" s="73">
        <f t="shared" si="24"/>
        <v>19470.400000000001</v>
      </c>
      <c r="S184" s="72"/>
      <c r="T184" s="74"/>
      <c r="V184" s="74" t="s">
        <v>24</v>
      </c>
      <c r="W184" s="72">
        <v>145</v>
      </c>
      <c r="X184" s="75">
        <f t="shared" si="25"/>
        <v>6565.6</v>
      </c>
      <c r="Y184" s="76"/>
      <c r="Z184" s="74">
        <f t="shared" si="26"/>
        <v>0</v>
      </c>
      <c r="AA184" s="74">
        <f t="shared" si="27"/>
        <v>26036</v>
      </c>
    </row>
    <row r="185" spans="1:38" s="77" customFormat="1" ht="15.75" x14ac:dyDescent="0.25">
      <c r="A185" s="51">
        <v>182</v>
      </c>
      <c r="B185" s="65">
        <v>45998</v>
      </c>
      <c r="C185" s="65">
        <v>45998</v>
      </c>
      <c r="D185" s="101">
        <v>251207012</v>
      </c>
      <c r="E185" s="67" t="s">
        <v>442</v>
      </c>
      <c r="F185" s="67" t="s">
        <v>443</v>
      </c>
      <c r="G185" s="67">
        <v>45</v>
      </c>
      <c r="H185" s="100">
        <v>128</v>
      </c>
      <c r="I185" s="19" t="s">
        <v>425</v>
      </c>
      <c r="J185" s="20" t="s">
        <v>23</v>
      </c>
      <c r="K185" s="19" t="s">
        <v>32</v>
      </c>
      <c r="L185" s="104" t="s">
        <v>444</v>
      </c>
      <c r="M185" s="67" t="s">
        <v>306</v>
      </c>
      <c r="N185" s="80">
        <v>60.96</v>
      </c>
      <c r="O185" s="80">
        <v>15.6</v>
      </c>
      <c r="P185" s="71">
        <f t="shared" si="23"/>
        <v>45.36</v>
      </c>
      <c r="Q185" s="72">
        <v>430</v>
      </c>
      <c r="R185" s="73">
        <f t="shared" si="24"/>
        <v>19504.8</v>
      </c>
      <c r="S185" s="72"/>
      <c r="T185" s="74"/>
      <c r="V185" s="74" t="s">
        <v>24</v>
      </c>
      <c r="W185" s="72">
        <v>145</v>
      </c>
      <c r="X185" s="75">
        <f t="shared" si="25"/>
        <v>6577.2</v>
      </c>
      <c r="Y185" s="76"/>
      <c r="Z185" s="76">
        <f t="shared" si="26"/>
        <v>0</v>
      </c>
      <c r="AA185" s="74">
        <f t="shared" si="27"/>
        <v>26082</v>
      </c>
    </row>
    <row r="186" spans="1:38" s="77" customFormat="1" ht="15.75" x14ac:dyDescent="0.25">
      <c r="A186" s="51">
        <v>183</v>
      </c>
      <c r="B186" s="65">
        <v>45998</v>
      </c>
      <c r="C186" s="65">
        <v>45999</v>
      </c>
      <c r="D186" s="101">
        <v>251208008</v>
      </c>
      <c r="E186" s="67" t="s">
        <v>445</v>
      </c>
      <c r="F186" s="67" t="s">
        <v>446</v>
      </c>
      <c r="G186" s="67">
        <v>37</v>
      </c>
      <c r="H186" s="97">
        <v>53</v>
      </c>
      <c r="I186" s="102" t="s">
        <v>430</v>
      </c>
      <c r="J186" s="103" t="s">
        <v>23</v>
      </c>
      <c r="K186" s="87" t="s">
        <v>32</v>
      </c>
      <c r="L186" s="104" t="s">
        <v>47</v>
      </c>
      <c r="M186" s="67" t="s">
        <v>58</v>
      </c>
      <c r="N186" s="67">
        <v>48.66</v>
      </c>
      <c r="O186" s="80">
        <v>11.4</v>
      </c>
      <c r="P186" s="71">
        <f t="shared" si="23"/>
        <v>37.26</v>
      </c>
      <c r="Q186" s="72">
        <v>255</v>
      </c>
      <c r="R186" s="73">
        <f t="shared" si="24"/>
        <v>9501.2999999999993</v>
      </c>
      <c r="S186" s="72"/>
      <c r="T186" s="74"/>
      <c r="V186" s="74" t="s">
        <v>24</v>
      </c>
      <c r="W186" s="72">
        <v>145</v>
      </c>
      <c r="X186" s="75">
        <f t="shared" si="25"/>
        <v>5402.7</v>
      </c>
      <c r="Y186" s="76">
        <v>200</v>
      </c>
      <c r="Z186" s="76">
        <f t="shared" si="26"/>
        <v>7452</v>
      </c>
      <c r="AA186" s="74">
        <f t="shared" si="27"/>
        <v>22356</v>
      </c>
    </row>
    <row r="187" spans="1:38" s="77" customFormat="1" ht="17.100000000000001" customHeight="1" x14ac:dyDescent="0.25">
      <c r="A187" s="51">
        <v>184</v>
      </c>
      <c r="B187" s="65">
        <v>45998</v>
      </c>
      <c r="C187" s="65">
        <v>45999</v>
      </c>
      <c r="D187" s="101">
        <v>251208007</v>
      </c>
      <c r="E187" s="67" t="s">
        <v>447</v>
      </c>
      <c r="F187" s="67" t="s">
        <v>448</v>
      </c>
      <c r="G187" s="67">
        <v>34</v>
      </c>
      <c r="H187" s="79">
        <v>115</v>
      </c>
      <c r="I187" s="19" t="s">
        <v>35</v>
      </c>
      <c r="J187" s="20" t="s">
        <v>23</v>
      </c>
      <c r="K187" s="21" t="s">
        <v>32</v>
      </c>
      <c r="L187" s="104" t="s">
        <v>42</v>
      </c>
      <c r="M187" s="67" t="s">
        <v>36</v>
      </c>
      <c r="N187" s="80">
        <v>46.34</v>
      </c>
      <c r="O187" s="67">
        <v>11.64</v>
      </c>
      <c r="P187" s="71">
        <f t="shared" si="23"/>
        <v>34.700000000000003</v>
      </c>
      <c r="Q187" s="72">
        <v>545</v>
      </c>
      <c r="R187" s="73">
        <f t="shared" si="24"/>
        <v>18911.5</v>
      </c>
      <c r="S187" s="72"/>
      <c r="T187" s="74"/>
      <c r="V187" s="74" t="s">
        <v>24</v>
      </c>
      <c r="W187" s="72">
        <v>145</v>
      </c>
      <c r="X187" s="75">
        <f t="shared" si="25"/>
        <v>5031.5</v>
      </c>
      <c r="Y187" s="76">
        <v>260</v>
      </c>
      <c r="Z187" s="76">
        <f t="shared" si="26"/>
        <v>9022</v>
      </c>
      <c r="AA187" s="74">
        <f t="shared" si="27"/>
        <v>32965</v>
      </c>
      <c r="AB187" s="83"/>
      <c r="AC187" s="82"/>
      <c r="AD187" s="84"/>
      <c r="AE187" s="85"/>
      <c r="AF187" s="82"/>
      <c r="AG187" s="85"/>
      <c r="AH187" s="82"/>
      <c r="AI187" s="84"/>
      <c r="AJ187" s="82"/>
      <c r="AK187" s="84"/>
      <c r="AL187" s="84"/>
    </row>
    <row r="188" spans="1:38" s="77" customFormat="1" ht="15.75" x14ac:dyDescent="0.25">
      <c r="A188" s="51">
        <v>185</v>
      </c>
      <c r="B188" s="65">
        <v>45998</v>
      </c>
      <c r="C188" s="65">
        <v>45999</v>
      </c>
      <c r="D188" s="101">
        <v>251208006</v>
      </c>
      <c r="E188" s="67" t="s">
        <v>449</v>
      </c>
      <c r="F188" s="67" t="s">
        <v>450</v>
      </c>
      <c r="G188" s="67">
        <v>38</v>
      </c>
      <c r="H188" s="79">
        <v>115</v>
      </c>
      <c r="I188" s="19" t="s">
        <v>35</v>
      </c>
      <c r="J188" s="20" t="s">
        <v>23</v>
      </c>
      <c r="K188" s="21" t="s">
        <v>32</v>
      </c>
      <c r="L188" s="104" t="s">
        <v>41</v>
      </c>
      <c r="M188" s="67" t="s">
        <v>37</v>
      </c>
      <c r="N188" s="80">
        <v>50.48</v>
      </c>
      <c r="O188" s="80">
        <v>11.86</v>
      </c>
      <c r="P188" s="71">
        <f t="shared" si="23"/>
        <v>38.619999999999997</v>
      </c>
      <c r="Q188" s="72">
        <v>445</v>
      </c>
      <c r="R188" s="73">
        <f t="shared" si="24"/>
        <v>17185.899999999998</v>
      </c>
      <c r="S188" s="72"/>
      <c r="T188" s="74"/>
      <c r="V188" s="74" t="s">
        <v>24</v>
      </c>
      <c r="W188" s="72">
        <v>145</v>
      </c>
      <c r="X188" s="75">
        <f t="shared" si="25"/>
        <v>5599.9</v>
      </c>
      <c r="Y188" s="76">
        <v>260</v>
      </c>
      <c r="Z188" s="76">
        <f t="shared" si="26"/>
        <v>10041.199999999999</v>
      </c>
      <c r="AA188" s="74">
        <f t="shared" si="27"/>
        <v>32826.999999999993</v>
      </c>
    </row>
    <row r="189" spans="1:38" s="77" customFormat="1" ht="15.75" x14ac:dyDescent="0.25">
      <c r="A189" s="51">
        <v>186</v>
      </c>
      <c r="B189" s="65">
        <v>45998</v>
      </c>
      <c r="C189" s="65">
        <v>45999</v>
      </c>
      <c r="D189" s="105">
        <v>251208003</v>
      </c>
      <c r="E189" s="67" t="s">
        <v>451</v>
      </c>
      <c r="F189" s="67" t="s">
        <v>452</v>
      </c>
      <c r="G189" s="67">
        <v>46</v>
      </c>
      <c r="H189" s="79">
        <v>115</v>
      </c>
      <c r="I189" s="19" t="s">
        <v>35</v>
      </c>
      <c r="J189" s="20" t="s">
        <v>23</v>
      </c>
      <c r="K189" s="21" t="s">
        <v>32</v>
      </c>
      <c r="L189" s="104" t="s">
        <v>54</v>
      </c>
      <c r="M189" s="67" t="s">
        <v>36</v>
      </c>
      <c r="N189" s="80">
        <v>61.52</v>
      </c>
      <c r="O189" s="80">
        <v>14.98</v>
      </c>
      <c r="P189" s="71">
        <f t="shared" si="23"/>
        <v>46.540000000000006</v>
      </c>
      <c r="Q189" s="72">
        <v>545</v>
      </c>
      <c r="R189" s="73">
        <f t="shared" si="24"/>
        <v>25364.300000000003</v>
      </c>
      <c r="S189" s="72"/>
      <c r="T189" s="74"/>
      <c r="V189" s="74" t="s">
        <v>24</v>
      </c>
      <c r="W189" s="72">
        <v>145</v>
      </c>
      <c r="X189" s="75">
        <f t="shared" si="25"/>
        <v>6748.3000000000011</v>
      </c>
      <c r="Y189" s="76">
        <v>260</v>
      </c>
      <c r="Z189" s="76">
        <f t="shared" si="26"/>
        <v>12100.400000000001</v>
      </c>
      <c r="AA189" s="74">
        <f t="shared" si="27"/>
        <v>44213.000000000007</v>
      </c>
    </row>
    <row r="190" spans="1:38" s="77" customFormat="1" ht="15.75" x14ac:dyDescent="0.25">
      <c r="A190" s="51">
        <v>187</v>
      </c>
      <c r="B190" s="65">
        <v>45998</v>
      </c>
      <c r="C190" s="65">
        <v>45999</v>
      </c>
      <c r="D190" s="101">
        <v>251208005</v>
      </c>
      <c r="E190" s="67" t="s">
        <v>453</v>
      </c>
      <c r="F190" s="67" t="s">
        <v>454</v>
      </c>
      <c r="G190" s="67">
        <v>39</v>
      </c>
      <c r="H190" s="79">
        <v>115</v>
      </c>
      <c r="I190" s="19" t="s">
        <v>35</v>
      </c>
      <c r="J190" s="20" t="s">
        <v>23</v>
      </c>
      <c r="K190" s="21" t="s">
        <v>32</v>
      </c>
      <c r="L190" s="101" t="s">
        <v>44</v>
      </c>
      <c r="M190" s="67" t="s">
        <v>37</v>
      </c>
      <c r="N190" s="80">
        <v>51.6</v>
      </c>
      <c r="O190" s="80">
        <v>11.74</v>
      </c>
      <c r="P190" s="71">
        <f t="shared" si="23"/>
        <v>39.86</v>
      </c>
      <c r="Q190" s="72">
        <v>445</v>
      </c>
      <c r="R190" s="73">
        <f t="shared" si="24"/>
        <v>17737.7</v>
      </c>
      <c r="S190" s="72"/>
      <c r="T190" s="74"/>
      <c r="V190" s="74" t="s">
        <v>24</v>
      </c>
      <c r="W190" s="72">
        <v>145</v>
      </c>
      <c r="X190" s="75">
        <f t="shared" si="25"/>
        <v>5779.7</v>
      </c>
      <c r="Y190" s="76">
        <v>260</v>
      </c>
      <c r="Z190" s="76">
        <f t="shared" si="26"/>
        <v>10363.6</v>
      </c>
      <c r="AA190" s="74">
        <f t="shared" si="27"/>
        <v>33881</v>
      </c>
    </row>
    <row r="191" spans="1:38" s="77" customFormat="1" ht="15.75" x14ac:dyDescent="0.25">
      <c r="A191" s="51">
        <v>188</v>
      </c>
      <c r="B191" s="65">
        <v>45998</v>
      </c>
      <c r="C191" s="65">
        <v>45999</v>
      </c>
      <c r="D191" s="101">
        <v>251208002</v>
      </c>
      <c r="E191" s="67" t="s">
        <v>455</v>
      </c>
      <c r="F191" s="67" t="s">
        <v>456</v>
      </c>
      <c r="G191" s="67">
        <v>46</v>
      </c>
      <c r="H191" s="79">
        <v>115</v>
      </c>
      <c r="I191" s="19" t="s">
        <v>35</v>
      </c>
      <c r="J191" s="20" t="s">
        <v>23</v>
      </c>
      <c r="K191" s="21" t="s">
        <v>32</v>
      </c>
      <c r="L191" s="104" t="s">
        <v>40</v>
      </c>
      <c r="M191" s="67" t="s">
        <v>36</v>
      </c>
      <c r="N191" s="80">
        <v>61.52</v>
      </c>
      <c r="O191" s="80">
        <v>15.04</v>
      </c>
      <c r="P191" s="71">
        <f t="shared" si="23"/>
        <v>46.480000000000004</v>
      </c>
      <c r="Q191" s="72">
        <v>545</v>
      </c>
      <c r="R191" s="73">
        <f t="shared" si="24"/>
        <v>25331.600000000002</v>
      </c>
      <c r="S191" s="72"/>
      <c r="T191" s="74"/>
      <c r="V191" s="74" t="s">
        <v>24</v>
      </c>
      <c r="W191" s="72">
        <v>145</v>
      </c>
      <c r="X191" s="75">
        <f t="shared" si="25"/>
        <v>6739.6</v>
      </c>
      <c r="Y191" s="76">
        <v>260</v>
      </c>
      <c r="Z191" s="76">
        <f t="shared" si="26"/>
        <v>12084.800000000001</v>
      </c>
      <c r="AA191" s="74">
        <f t="shared" si="27"/>
        <v>44156.000000000007</v>
      </c>
    </row>
    <row r="192" spans="1:38" s="81" customFormat="1" ht="15.75" x14ac:dyDescent="0.25">
      <c r="A192" s="51">
        <v>189</v>
      </c>
      <c r="B192" s="65">
        <v>45998</v>
      </c>
      <c r="C192" s="65">
        <v>45999</v>
      </c>
      <c r="D192" s="101">
        <v>251208004</v>
      </c>
      <c r="E192" s="67" t="s">
        <v>457</v>
      </c>
      <c r="F192" s="67" t="s">
        <v>458</v>
      </c>
      <c r="G192" s="67">
        <v>46</v>
      </c>
      <c r="H192" s="79">
        <v>115</v>
      </c>
      <c r="I192" s="19" t="s">
        <v>35</v>
      </c>
      <c r="J192" s="20" t="s">
        <v>23</v>
      </c>
      <c r="K192" s="21" t="s">
        <v>32</v>
      </c>
      <c r="L192" s="104" t="s">
        <v>38</v>
      </c>
      <c r="M192" s="67" t="s">
        <v>37</v>
      </c>
      <c r="N192" s="80">
        <v>62.58</v>
      </c>
      <c r="O192" s="80">
        <v>15.74</v>
      </c>
      <c r="P192" s="71">
        <f t="shared" si="23"/>
        <v>46.839999999999996</v>
      </c>
      <c r="Q192" s="72">
        <v>445</v>
      </c>
      <c r="R192" s="73">
        <f t="shared" si="24"/>
        <v>20843.8</v>
      </c>
      <c r="S192" s="72"/>
      <c r="T192" s="74"/>
      <c r="V192" s="74" t="s">
        <v>24</v>
      </c>
      <c r="W192" s="72">
        <v>145</v>
      </c>
      <c r="X192" s="75">
        <f t="shared" si="25"/>
        <v>6791.7999999999993</v>
      </c>
      <c r="Y192" s="76">
        <v>260</v>
      </c>
      <c r="Z192" s="74">
        <f t="shared" si="26"/>
        <v>12178.4</v>
      </c>
      <c r="AA192" s="74">
        <f t="shared" si="27"/>
        <v>39814</v>
      </c>
    </row>
    <row r="193" spans="1:38" s="77" customFormat="1" ht="15.75" x14ac:dyDescent="0.25">
      <c r="A193" s="51">
        <v>190</v>
      </c>
      <c r="B193" s="65">
        <v>45999</v>
      </c>
      <c r="C193" s="65">
        <v>45999</v>
      </c>
      <c r="D193" s="101">
        <v>251208009</v>
      </c>
      <c r="E193" s="67" t="s">
        <v>459</v>
      </c>
      <c r="F193" s="67" t="s">
        <v>460</v>
      </c>
      <c r="G193" s="67">
        <v>35</v>
      </c>
      <c r="H193" s="79">
        <v>115</v>
      </c>
      <c r="I193" s="19" t="s">
        <v>35</v>
      </c>
      <c r="J193" s="20" t="s">
        <v>23</v>
      </c>
      <c r="K193" s="21" t="s">
        <v>32</v>
      </c>
      <c r="L193" s="104" t="s">
        <v>286</v>
      </c>
      <c r="M193" s="67" t="s">
        <v>36</v>
      </c>
      <c r="N193" s="67">
        <v>46.62</v>
      </c>
      <c r="O193" s="67">
        <v>11.46</v>
      </c>
      <c r="P193" s="71">
        <f t="shared" si="23"/>
        <v>35.159999999999997</v>
      </c>
      <c r="Q193" s="72">
        <v>545</v>
      </c>
      <c r="R193" s="73">
        <f t="shared" si="24"/>
        <v>19162.199999999997</v>
      </c>
      <c r="S193" s="72"/>
      <c r="T193" s="74"/>
      <c r="V193" s="74" t="s">
        <v>24</v>
      </c>
      <c r="W193" s="72">
        <v>145</v>
      </c>
      <c r="X193" s="75">
        <f t="shared" ref="X193:X207" si="28">W193*P193</f>
        <v>5098.2</v>
      </c>
      <c r="Y193" s="76">
        <v>260</v>
      </c>
      <c r="Z193" s="74">
        <f t="shared" ref="Z193:Z207" si="29">Y193*P193</f>
        <v>9141.5999999999985</v>
      </c>
      <c r="AA193" s="74">
        <f t="shared" ref="AA193:AA219" si="30">R193+X193+Z193</f>
        <v>33402</v>
      </c>
    </row>
    <row r="194" spans="1:38" s="77" customFormat="1" ht="15.75" x14ac:dyDescent="0.25">
      <c r="A194" s="51">
        <v>191</v>
      </c>
      <c r="B194" s="65">
        <v>45999</v>
      </c>
      <c r="C194" s="65">
        <v>45999</v>
      </c>
      <c r="D194" s="101">
        <v>251208010</v>
      </c>
      <c r="E194" s="67" t="s">
        <v>461</v>
      </c>
      <c r="F194" s="67" t="s">
        <v>462</v>
      </c>
      <c r="G194" s="67">
        <v>45</v>
      </c>
      <c r="H194" s="79">
        <v>117</v>
      </c>
      <c r="I194" s="86" t="s">
        <v>55</v>
      </c>
      <c r="J194" s="20" t="s">
        <v>23</v>
      </c>
      <c r="K194" s="19" t="s">
        <v>32</v>
      </c>
      <c r="L194" s="104" t="s">
        <v>379</v>
      </c>
      <c r="M194" s="67" t="s">
        <v>36</v>
      </c>
      <c r="N194" s="67">
        <v>61.2</v>
      </c>
      <c r="O194" s="67">
        <v>15.72</v>
      </c>
      <c r="P194" s="71">
        <f t="shared" si="23"/>
        <v>45.480000000000004</v>
      </c>
      <c r="Q194" s="72">
        <v>555</v>
      </c>
      <c r="R194" s="73">
        <f t="shared" si="24"/>
        <v>25241.4</v>
      </c>
      <c r="S194" s="72"/>
      <c r="T194" s="74"/>
      <c r="V194" s="74" t="s">
        <v>24</v>
      </c>
      <c r="W194" s="72">
        <v>145</v>
      </c>
      <c r="X194" s="75">
        <f t="shared" si="28"/>
        <v>6594.6</v>
      </c>
      <c r="Y194" s="76">
        <v>230</v>
      </c>
      <c r="Z194" s="76">
        <f t="shared" si="29"/>
        <v>10460.400000000001</v>
      </c>
      <c r="AA194" s="74">
        <f t="shared" si="30"/>
        <v>42296.4</v>
      </c>
    </row>
    <row r="195" spans="1:38" s="77" customFormat="1" ht="15.75" x14ac:dyDescent="0.25">
      <c r="A195" s="51">
        <v>192</v>
      </c>
      <c r="B195" s="65">
        <v>45999</v>
      </c>
      <c r="C195" s="65">
        <v>45999</v>
      </c>
      <c r="D195" s="101">
        <v>251208011</v>
      </c>
      <c r="E195" s="67" t="s">
        <v>463</v>
      </c>
      <c r="F195" s="67" t="s">
        <v>464</v>
      </c>
      <c r="G195" s="67">
        <v>48</v>
      </c>
      <c r="H195" s="97">
        <v>53</v>
      </c>
      <c r="I195" s="106" t="s">
        <v>430</v>
      </c>
      <c r="J195" s="18" t="s">
        <v>23</v>
      </c>
      <c r="K195" s="19" t="s">
        <v>32</v>
      </c>
      <c r="L195" s="104" t="s">
        <v>418</v>
      </c>
      <c r="M195" s="67" t="s">
        <v>58</v>
      </c>
      <c r="N195" s="67">
        <v>67.22</v>
      </c>
      <c r="O195" s="67">
        <v>18.34</v>
      </c>
      <c r="P195" s="71">
        <f t="shared" si="23"/>
        <v>48.879999999999995</v>
      </c>
      <c r="Q195" s="72">
        <v>255</v>
      </c>
      <c r="R195" s="73">
        <f t="shared" si="24"/>
        <v>12464.4</v>
      </c>
      <c r="S195" s="72"/>
      <c r="T195" s="74"/>
      <c r="V195" s="74" t="s">
        <v>24</v>
      </c>
      <c r="W195" s="72">
        <v>145</v>
      </c>
      <c r="X195" s="75">
        <f t="shared" si="28"/>
        <v>7087.5999999999995</v>
      </c>
      <c r="Y195" s="76">
        <v>200</v>
      </c>
      <c r="Z195" s="76">
        <f t="shared" si="29"/>
        <v>9776</v>
      </c>
      <c r="AA195" s="74">
        <f t="shared" si="30"/>
        <v>29328</v>
      </c>
    </row>
    <row r="196" spans="1:38" s="77" customFormat="1" ht="15.75" x14ac:dyDescent="0.25">
      <c r="A196" s="51">
        <v>193</v>
      </c>
      <c r="B196" s="65">
        <v>45999</v>
      </c>
      <c r="C196" s="65">
        <v>45999</v>
      </c>
      <c r="D196" s="101">
        <v>251208012</v>
      </c>
      <c r="E196" s="67" t="s">
        <v>465</v>
      </c>
      <c r="F196" s="67" t="s">
        <v>466</v>
      </c>
      <c r="G196" s="67">
        <v>46</v>
      </c>
      <c r="H196" s="97">
        <v>53</v>
      </c>
      <c r="I196" s="106" t="s">
        <v>430</v>
      </c>
      <c r="J196" s="18" t="s">
        <v>23</v>
      </c>
      <c r="K196" s="19" t="s">
        <v>32</v>
      </c>
      <c r="L196" s="104" t="s">
        <v>467</v>
      </c>
      <c r="M196" s="67" t="s">
        <v>58</v>
      </c>
      <c r="N196" s="67">
        <v>63.18</v>
      </c>
      <c r="O196" s="67">
        <v>16.399999999999999</v>
      </c>
      <c r="P196" s="71">
        <f t="shared" si="23"/>
        <v>46.78</v>
      </c>
      <c r="Q196" s="72">
        <v>255</v>
      </c>
      <c r="R196" s="73">
        <f t="shared" si="24"/>
        <v>11928.9</v>
      </c>
      <c r="S196" s="72"/>
      <c r="T196" s="74"/>
      <c r="V196" s="74" t="s">
        <v>24</v>
      </c>
      <c r="W196" s="72">
        <v>145</v>
      </c>
      <c r="X196" s="75">
        <f t="shared" si="28"/>
        <v>6783.1</v>
      </c>
      <c r="Y196" s="76">
        <v>200</v>
      </c>
      <c r="Z196" s="76">
        <f t="shared" si="29"/>
        <v>9356</v>
      </c>
      <c r="AA196" s="74">
        <f t="shared" si="30"/>
        <v>28068</v>
      </c>
    </row>
    <row r="197" spans="1:38" s="77" customFormat="1" ht="15.75" x14ac:dyDescent="0.25">
      <c r="A197" s="51">
        <v>194</v>
      </c>
      <c r="B197" s="65">
        <v>45999</v>
      </c>
      <c r="C197" s="65">
        <v>45999</v>
      </c>
      <c r="D197" s="101">
        <v>251208013</v>
      </c>
      <c r="E197" s="67" t="s">
        <v>468</v>
      </c>
      <c r="F197" s="67" t="s">
        <v>469</v>
      </c>
      <c r="G197" s="67">
        <v>32</v>
      </c>
      <c r="H197" s="79">
        <v>117</v>
      </c>
      <c r="I197" s="86" t="s">
        <v>55</v>
      </c>
      <c r="J197" s="20" t="s">
        <v>23</v>
      </c>
      <c r="K197" s="19" t="s">
        <v>32</v>
      </c>
      <c r="L197" s="104" t="s">
        <v>331</v>
      </c>
      <c r="M197" s="67" t="s">
        <v>34</v>
      </c>
      <c r="N197" s="67">
        <v>44.46</v>
      </c>
      <c r="O197" s="67">
        <v>11.5</v>
      </c>
      <c r="P197" s="71">
        <f t="shared" si="23"/>
        <v>32.96</v>
      </c>
      <c r="Q197" s="72">
        <v>335</v>
      </c>
      <c r="R197" s="73">
        <f t="shared" si="24"/>
        <v>11041.6</v>
      </c>
      <c r="S197" s="72"/>
      <c r="T197" s="74"/>
      <c r="V197" s="74" t="s">
        <v>24</v>
      </c>
      <c r="W197" s="72">
        <v>145</v>
      </c>
      <c r="X197" s="75">
        <f t="shared" si="28"/>
        <v>4779.2</v>
      </c>
      <c r="Y197" s="76">
        <v>230</v>
      </c>
      <c r="Z197" s="76">
        <f t="shared" si="29"/>
        <v>7580.8</v>
      </c>
      <c r="AA197" s="74">
        <f t="shared" si="30"/>
        <v>23401.599999999999</v>
      </c>
    </row>
    <row r="198" spans="1:38" s="81" customFormat="1" ht="15.75" x14ac:dyDescent="0.25">
      <c r="A198" s="51">
        <v>195</v>
      </c>
      <c r="B198" s="65">
        <v>45999</v>
      </c>
      <c r="C198" s="65">
        <v>45999</v>
      </c>
      <c r="D198" s="101">
        <v>251208014</v>
      </c>
      <c r="E198" s="67" t="s">
        <v>470</v>
      </c>
      <c r="F198" s="67" t="s">
        <v>471</v>
      </c>
      <c r="G198" s="67">
        <v>60</v>
      </c>
      <c r="H198" s="79">
        <v>115</v>
      </c>
      <c r="I198" s="19" t="s">
        <v>35</v>
      </c>
      <c r="J198" s="20" t="s">
        <v>23</v>
      </c>
      <c r="K198" s="21" t="s">
        <v>32</v>
      </c>
      <c r="L198" s="104" t="s">
        <v>46</v>
      </c>
      <c r="M198" s="67" t="s">
        <v>36</v>
      </c>
      <c r="N198" s="80">
        <v>77.72</v>
      </c>
      <c r="O198" s="67">
        <v>17.18</v>
      </c>
      <c r="P198" s="71">
        <f t="shared" si="23"/>
        <v>60.54</v>
      </c>
      <c r="Q198" s="72">
        <v>545</v>
      </c>
      <c r="R198" s="73">
        <f t="shared" si="24"/>
        <v>32994.300000000003</v>
      </c>
      <c r="S198" s="72"/>
      <c r="T198" s="74"/>
      <c r="V198" s="74" t="s">
        <v>24</v>
      </c>
      <c r="W198" s="72">
        <v>145</v>
      </c>
      <c r="X198" s="75">
        <f t="shared" si="28"/>
        <v>8778.2999999999993</v>
      </c>
      <c r="Y198" s="76">
        <v>260</v>
      </c>
      <c r="Z198" s="76">
        <f t="shared" si="29"/>
        <v>15740.4</v>
      </c>
      <c r="AA198" s="74">
        <f t="shared" si="30"/>
        <v>57513.000000000007</v>
      </c>
    </row>
    <row r="199" spans="1:38" s="77" customFormat="1" ht="15.75" x14ac:dyDescent="0.25">
      <c r="A199" s="51">
        <v>196</v>
      </c>
      <c r="B199" s="65">
        <v>45999</v>
      </c>
      <c r="C199" s="65">
        <v>45999</v>
      </c>
      <c r="D199" s="101">
        <v>251208015</v>
      </c>
      <c r="E199" s="67" t="s">
        <v>472</v>
      </c>
      <c r="F199" s="67" t="s">
        <v>473</v>
      </c>
      <c r="G199" s="67">
        <v>44</v>
      </c>
      <c r="H199" s="79">
        <v>117</v>
      </c>
      <c r="I199" s="86" t="s">
        <v>55</v>
      </c>
      <c r="J199" s="20" t="s">
        <v>23</v>
      </c>
      <c r="K199" s="19" t="s">
        <v>32</v>
      </c>
      <c r="L199" s="104" t="s">
        <v>165</v>
      </c>
      <c r="M199" s="67" t="s">
        <v>36</v>
      </c>
      <c r="N199" s="80">
        <v>60.86</v>
      </c>
      <c r="O199" s="67">
        <v>15.9</v>
      </c>
      <c r="P199" s="71">
        <f t="shared" si="23"/>
        <v>44.96</v>
      </c>
      <c r="Q199" s="72">
        <v>555</v>
      </c>
      <c r="R199" s="73">
        <f t="shared" si="24"/>
        <v>24952.799999999999</v>
      </c>
      <c r="S199" s="72"/>
      <c r="T199" s="74"/>
      <c r="V199" s="74" t="s">
        <v>24</v>
      </c>
      <c r="W199" s="72">
        <v>145</v>
      </c>
      <c r="X199" s="75">
        <f t="shared" si="28"/>
        <v>6519.2</v>
      </c>
      <c r="Y199" s="76">
        <v>230</v>
      </c>
      <c r="Z199" s="74">
        <f t="shared" si="29"/>
        <v>10340.800000000001</v>
      </c>
      <c r="AA199" s="74">
        <f t="shared" si="30"/>
        <v>41812.800000000003</v>
      </c>
    </row>
    <row r="200" spans="1:38" s="77" customFormat="1" ht="15.75" x14ac:dyDescent="0.25">
      <c r="A200" s="51">
        <v>197</v>
      </c>
      <c r="B200" s="65">
        <v>45999</v>
      </c>
      <c r="C200" s="65">
        <v>45999</v>
      </c>
      <c r="D200" s="101">
        <v>251208016</v>
      </c>
      <c r="E200" s="67" t="s">
        <v>474</v>
      </c>
      <c r="F200" s="67" t="s">
        <v>475</v>
      </c>
      <c r="G200" s="67">
        <v>38</v>
      </c>
      <c r="H200" s="97">
        <v>53</v>
      </c>
      <c r="I200" s="106" t="s">
        <v>430</v>
      </c>
      <c r="J200" s="18" t="s">
        <v>23</v>
      </c>
      <c r="K200" s="19" t="s">
        <v>32</v>
      </c>
      <c r="L200" s="104" t="s">
        <v>45</v>
      </c>
      <c r="M200" s="67" t="s">
        <v>58</v>
      </c>
      <c r="N200" s="80">
        <v>50.06</v>
      </c>
      <c r="O200" s="80">
        <v>11.8</v>
      </c>
      <c r="P200" s="71">
        <f t="shared" si="23"/>
        <v>38.260000000000005</v>
      </c>
      <c r="Q200" s="72">
        <v>255</v>
      </c>
      <c r="R200" s="73">
        <f t="shared" si="24"/>
        <v>9756.3000000000011</v>
      </c>
      <c r="S200" s="72"/>
      <c r="T200" s="74"/>
      <c r="V200" s="74" t="s">
        <v>24</v>
      </c>
      <c r="W200" s="72">
        <v>145</v>
      </c>
      <c r="X200" s="75">
        <f t="shared" si="28"/>
        <v>5547.7000000000007</v>
      </c>
      <c r="Y200" s="76">
        <v>200</v>
      </c>
      <c r="Z200" s="76">
        <f t="shared" si="29"/>
        <v>7652.0000000000009</v>
      </c>
      <c r="AA200" s="74">
        <f t="shared" si="30"/>
        <v>22956.000000000004</v>
      </c>
    </row>
    <row r="201" spans="1:38" s="77" customFormat="1" ht="15.75" x14ac:dyDescent="0.25">
      <c r="A201" s="51">
        <v>198</v>
      </c>
      <c r="B201" s="65">
        <v>45999</v>
      </c>
      <c r="C201" s="65">
        <v>45999</v>
      </c>
      <c r="D201" s="101">
        <v>251208017</v>
      </c>
      <c r="E201" s="67" t="s">
        <v>476</v>
      </c>
      <c r="F201" s="67" t="s">
        <v>477</v>
      </c>
      <c r="G201" s="67">
        <v>36</v>
      </c>
      <c r="H201" s="97">
        <v>53</v>
      </c>
      <c r="I201" s="106" t="s">
        <v>430</v>
      </c>
      <c r="J201" s="18" t="s">
        <v>23</v>
      </c>
      <c r="K201" s="19" t="s">
        <v>32</v>
      </c>
      <c r="L201" s="104" t="s">
        <v>56</v>
      </c>
      <c r="M201" s="67" t="s">
        <v>58</v>
      </c>
      <c r="N201" s="67">
        <v>48.04</v>
      </c>
      <c r="O201" s="80">
        <v>11.64</v>
      </c>
      <c r="P201" s="71">
        <f t="shared" si="23"/>
        <v>36.4</v>
      </c>
      <c r="Q201" s="72">
        <v>255</v>
      </c>
      <c r="R201" s="73">
        <f t="shared" si="24"/>
        <v>9282</v>
      </c>
      <c r="S201" s="72"/>
      <c r="T201" s="74"/>
      <c r="V201" s="74" t="s">
        <v>24</v>
      </c>
      <c r="W201" s="72">
        <v>145</v>
      </c>
      <c r="X201" s="75">
        <f t="shared" si="28"/>
        <v>5278</v>
      </c>
      <c r="Y201" s="76">
        <v>200</v>
      </c>
      <c r="Z201" s="76">
        <f t="shared" si="29"/>
        <v>7280</v>
      </c>
      <c r="AA201" s="74">
        <f t="shared" si="30"/>
        <v>21840</v>
      </c>
    </row>
    <row r="202" spans="1:38" s="77" customFormat="1" ht="17.100000000000001" customHeight="1" x14ac:dyDescent="0.25">
      <c r="A202" s="51">
        <v>199</v>
      </c>
      <c r="B202" s="65">
        <v>45999</v>
      </c>
      <c r="C202" s="65">
        <v>45999</v>
      </c>
      <c r="D202" s="101">
        <v>251208018</v>
      </c>
      <c r="E202" s="67" t="s">
        <v>478</v>
      </c>
      <c r="F202" s="67" t="s">
        <v>479</v>
      </c>
      <c r="G202" s="67">
        <v>45</v>
      </c>
      <c r="H202" s="97">
        <v>53</v>
      </c>
      <c r="I202" s="106" t="s">
        <v>430</v>
      </c>
      <c r="J202" s="18" t="s">
        <v>23</v>
      </c>
      <c r="K202" s="19" t="s">
        <v>32</v>
      </c>
      <c r="L202" s="104" t="s">
        <v>243</v>
      </c>
      <c r="M202" s="67" t="s">
        <v>58</v>
      </c>
      <c r="N202" s="80">
        <v>61.14</v>
      </c>
      <c r="O202" s="67">
        <v>15.8</v>
      </c>
      <c r="P202" s="71">
        <f t="shared" si="23"/>
        <v>45.34</v>
      </c>
      <c r="Q202" s="72">
        <v>255</v>
      </c>
      <c r="R202" s="73">
        <f t="shared" si="24"/>
        <v>11561.7</v>
      </c>
      <c r="S202" s="72"/>
      <c r="T202" s="74"/>
      <c r="V202" s="74" t="s">
        <v>24</v>
      </c>
      <c r="W202" s="72">
        <v>145</v>
      </c>
      <c r="X202" s="75">
        <f t="shared" si="28"/>
        <v>6574.3</v>
      </c>
      <c r="Y202" s="76">
        <v>200</v>
      </c>
      <c r="Z202" s="76">
        <f t="shared" si="29"/>
        <v>9068</v>
      </c>
      <c r="AA202" s="74">
        <f t="shared" si="30"/>
        <v>27204</v>
      </c>
      <c r="AB202" s="83"/>
      <c r="AC202" s="82"/>
      <c r="AD202" s="84"/>
      <c r="AE202" s="85"/>
      <c r="AF202" s="82"/>
      <c r="AG202" s="85"/>
      <c r="AH202" s="82"/>
      <c r="AI202" s="84"/>
      <c r="AJ202" s="82"/>
      <c r="AK202" s="84"/>
      <c r="AL202" s="84"/>
    </row>
    <row r="203" spans="1:38" s="77" customFormat="1" ht="15.75" x14ac:dyDescent="0.25">
      <c r="A203" s="51">
        <v>200</v>
      </c>
      <c r="B203" s="65">
        <v>45999</v>
      </c>
      <c r="C203" s="65">
        <v>45999</v>
      </c>
      <c r="D203" s="101">
        <v>251208019</v>
      </c>
      <c r="E203" s="67" t="s">
        <v>480</v>
      </c>
      <c r="F203" s="67" t="s">
        <v>481</v>
      </c>
      <c r="G203" s="67">
        <v>46</v>
      </c>
      <c r="H203" s="97">
        <v>53</v>
      </c>
      <c r="I203" s="106" t="s">
        <v>430</v>
      </c>
      <c r="J203" s="18" t="s">
        <v>23</v>
      </c>
      <c r="K203" s="19" t="s">
        <v>32</v>
      </c>
      <c r="L203" s="104" t="s">
        <v>482</v>
      </c>
      <c r="M203" s="67" t="s">
        <v>58</v>
      </c>
      <c r="N203" s="80">
        <v>60.54</v>
      </c>
      <c r="O203" s="80">
        <v>14.08</v>
      </c>
      <c r="P203" s="71">
        <f t="shared" si="23"/>
        <v>46.46</v>
      </c>
      <c r="Q203" s="72">
        <v>255</v>
      </c>
      <c r="R203" s="73">
        <f t="shared" si="24"/>
        <v>11847.300000000001</v>
      </c>
      <c r="S203" s="72"/>
      <c r="T203" s="74"/>
      <c r="V203" s="74" t="s">
        <v>24</v>
      </c>
      <c r="W203" s="72">
        <v>145</v>
      </c>
      <c r="X203" s="75">
        <f t="shared" si="28"/>
        <v>6736.7</v>
      </c>
      <c r="Y203" s="76">
        <v>200</v>
      </c>
      <c r="Z203" s="76">
        <f t="shared" si="29"/>
        <v>9292</v>
      </c>
      <c r="AA203" s="74">
        <f t="shared" si="30"/>
        <v>27876</v>
      </c>
    </row>
    <row r="204" spans="1:38" s="77" customFormat="1" ht="15.75" x14ac:dyDescent="0.25">
      <c r="A204" s="51">
        <v>201</v>
      </c>
      <c r="B204" s="65">
        <v>45999</v>
      </c>
      <c r="C204" s="65">
        <v>45999</v>
      </c>
      <c r="D204" s="101">
        <v>251208020</v>
      </c>
      <c r="E204" s="67" t="s">
        <v>483</v>
      </c>
      <c r="F204" s="67" t="s">
        <v>484</v>
      </c>
      <c r="G204" s="67">
        <v>48</v>
      </c>
      <c r="H204" s="97">
        <v>53</v>
      </c>
      <c r="I204" s="106" t="s">
        <v>430</v>
      </c>
      <c r="J204" s="18" t="s">
        <v>23</v>
      </c>
      <c r="K204" s="19" t="s">
        <v>32</v>
      </c>
      <c r="L204" s="104" t="s">
        <v>485</v>
      </c>
      <c r="M204" s="67" t="s">
        <v>58</v>
      </c>
      <c r="N204" s="80">
        <v>63.94</v>
      </c>
      <c r="O204" s="80">
        <v>15.42</v>
      </c>
      <c r="P204" s="71">
        <f t="shared" si="23"/>
        <v>48.519999999999996</v>
      </c>
      <c r="Q204" s="72">
        <v>255</v>
      </c>
      <c r="R204" s="73">
        <f t="shared" si="24"/>
        <v>12372.599999999999</v>
      </c>
      <c r="S204" s="72"/>
      <c r="T204" s="74"/>
      <c r="V204" s="74" t="s">
        <v>24</v>
      </c>
      <c r="W204" s="72">
        <v>145</v>
      </c>
      <c r="X204" s="75">
        <f t="shared" si="28"/>
        <v>7035.4</v>
      </c>
      <c r="Y204" s="76">
        <v>200</v>
      </c>
      <c r="Z204" s="76">
        <f t="shared" si="29"/>
        <v>9704</v>
      </c>
      <c r="AA204" s="74">
        <f t="shared" si="30"/>
        <v>29112</v>
      </c>
    </row>
    <row r="205" spans="1:38" s="77" customFormat="1" ht="15.75" x14ac:dyDescent="0.25">
      <c r="A205" s="51">
        <v>202</v>
      </c>
      <c r="B205" s="65">
        <v>45999</v>
      </c>
      <c r="C205" s="65">
        <v>45999</v>
      </c>
      <c r="D205" s="101">
        <v>251208021</v>
      </c>
      <c r="E205" s="67" t="s">
        <v>486</v>
      </c>
      <c r="F205" s="67" t="s">
        <v>487</v>
      </c>
      <c r="G205" s="67">
        <v>45</v>
      </c>
      <c r="H205" s="79">
        <v>115</v>
      </c>
      <c r="I205" s="19" t="s">
        <v>35</v>
      </c>
      <c r="J205" s="20" t="s">
        <v>23</v>
      </c>
      <c r="K205" s="21" t="s">
        <v>32</v>
      </c>
      <c r="L205" s="101" t="s">
        <v>40</v>
      </c>
      <c r="M205" s="67" t="s">
        <v>34</v>
      </c>
      <c r="N205" s="80">
        <v>60.3</v>
      </c>
      <c r="O205" s="80">
        <v>14.94</v>
      </c>
      <c r="P205" s="71">
        <f t="shared" si="23"/>
        <v>45.36</v>
      </c>
      <c r="Q205" s="72">
        <v>315</v>
      </c>
      <c r="R205" s="73">
        <f t="shared" si="24"/>
        <v>14288.4</v>
      </c>
      <c r="S205" s="72"/>
      <c r="T205" s="74"/>
      <c r="V205" s="74" t="s">
        <v>24</v>
      </c>
      <c r="W205" s="72">
        <v>145</v>
      </c>
      <c r="X205" s="75">
        <f t="shared" si="28"/>
        <v>6577.2</v>
      </c>
      <c r="Y205" s="76">
        <v>260</v>
      </c>
      <c r="Z205" s="76">
        <f t="shared" si="29"/>
        <v>11793.6</v>
      </c>
      <c r="AA205" s="74">
        <f t="shared" si="30"/>
        <v>32659.199999999997</v>
      </c>
    </row>
    <row r="206" spans="1:38" s="77" customFormat="1" ht="15.75" x14ac:dyDescent="0.25">
      <c r="A206" s="51">
        <v>203</v>
      </c>
      <c r="B206" s="65">
        <v>45999</v>
      </c>
      <c r="C206" s="65">
        <v>45999</v>
      </c>
      <c r="D206" s="101">
        <v>251208022</v>
      </c>
      <c r="E206" s="67" t="s">
        <v>488</v>
      </c>
      <c r="F206" s="67" t="s">
        <v>489</v>
      </c>
      <c r="G206" s="67">
        <v>46</v>
      </c>
      <c r="H206" s="79">
        <v>115</v>
      </c>
      <c r="I206" s="19" t="s">
        <v>35</v>
      </c>
      <c r="J206" s="20" t="s">
        <v>23</v>
      </c>
      <c r="K206" s="21" t="s">
        <v>32</v>
      </c>
      <c r="L206" s="104" t="s">
        <v>54</v>
      </c>
      <c r="M206" s="67" t="s">
        <v>36</v>
      </c>
      <c r="N206" s="80">
        <v>61.62</v>
      </c>
      <c r="O206" s="80">
        <v>14.88</v>
      </c>
      <c r="P206" s="71">
        <f t="shared" si="23"/>
        <v>46.739999999999995</v>
      </c>
      <c r="Q206" s="72">
        <v>545</v>
      </c>
      <c r="R206" s="73">
        <f t="shared" si="24"/>
        <v>25473.299999999996</v>
      </c>
      <c r="S206" s="72"/>
      <c r="T206" s="74"/>
      <c r="V206" s="74" t="s">
        <v>24</v>
      </c>
      <c r="W206" s="72">
        <v>145</v>
      </c>
      <c r="X206" s="75">
        <f t="shared" si="28"/>
        <v>6777.2999999999993</v>
      </c>
      <c r="Y206" s="76">
        <v>260</v>
      </c>
      <c r="Z206" s="76">
        <f t="shared" si="29"/>
        <v>12152.399999999998</v>
      </c>
      <c r="AA206" s="74">
        <f t="shared" si="30"/>
        <v>44402.999999999993</v>
      </c>
    </row>
    <row r="207" spans="1:38" s="81" customFormat="1" ht="15.75" x14ac:dyDescent="0.25">
      <c r="A207" s="51">
        <v>204</v>
      </c>
      <c r="B207" s="65">
        <v>45999</v>
      </c>
      <c r="C207" s="65">
        <v>45999</v>
      </c>
      <c r="D207" s="101">
        <v>251208023</v>
      </c>
      <c r="E207" s="67" t="s">
        <v>490</v>
      </c>
      <c r="F207" s="67" t="s">
        <v>491</v>
      </c>
      <c r="G207" s="67">
        <v>43</v>
      </c>
      <c r="H207" s="79">
        <v>115</v>
      </c>
      <c r="I207" s="19" t="s">
        <v>35</v>
      </c>
      <c r="J207" s="20" t="s">
        <v>23</v>
      </c>
      <c r="K207" s="21" t="s">
        <v>32</v>
      </c>
      <c r="L207" s="104" t="s">
        <v>38</v>
      </c>
      <c r="M207" s="67" t="s">
        <v>34</v>
      </c>
      <c r="N207" s="80">
        <v>59.4</v>
      </c>
      <c r="O207" s="80">
        <v>15.74</v>
      </c>
      <c r="P207" s="71">
        <f t="shared" si="23"/>
        <v>43.66</v>
      </c>
      <c r="Q207" s="72">
        <v>315</v>
      </c>
      <c r="R207" s="73">
        <f t="shared" si="24"/>
        <v>13752.9</v>
      </c>
      <c r="S207" s="72"/>
      <c r="T207" s="74"/>
      <c r="V207" s="74" t="s">
        <v>24</v>
      </c>
      <c r="W207" s="72">
        <v>145</v>
      </c>
      <c r="X207" s="75">
        <f t="shared" si="28"/>
        <v>6330.7</v>
      </c>
      <c r="Y207" s="76">
        <v>260</v>
      </c>
      <c r="Z207" s="74">
        <f t="shared" si="29"/>
        <v>11351.599999999999</v>
      </c>
      <c r="AA207" s="74">
        <f t="shared" si="30"/>
        <v>31435.199999999997</v>
      </c>
    </row>
    <row r="208" spans="1:38" s="81" customFormat="1" ht="15.75" x14ac:dyDescent="0.25">
      <c r="A208" s="51">
        <v>205</v>
      </c>
      <c r="B208" s="65">
        <v>45999</v>
      </c>
      <c r="C208" s="65">
        <v>45999</v>
      </c>
      <c r="D208" s="101" t="s">
        <v>492</v>
      </c>
      <c r="E208" s="67"/>
      <c r="F208" s="67"/>
      <c r="G208" s="67"/>
      <c r="H208" s="98">
        <v>11</v>
      </c>
      <c r="I208" s="87" t="s">
        <v>493</v>
      </c>
      <c r="J208" s="20" t="s">
        <v>23</v>
      </c>
      <c r="K208" s="19" t="s">
        <v>30</v>
      </c>
      <c r="L208" s="104" t="s">
        <v>250</v>
      </c>
      <c r="M208" s="67" t="s">
        <v>36</v>
      </c>
      <c r="N208" s="80">
        <v>16.600000000000001</v>
      </c>
      <c r="O208" s="80">
        <v>7.34</v>
      </c>
      <c r="P208" s="71">
        <f t="shared" si="23"/>
        <v>9.2600000000000016</v>
      </c>
      <c r="Q208" s="72">
        <v>540</v>
      </c>
      <c r="R208" s="73">
        <f t="shared" si="24"/>
        <v>5000.4000000000005</v>
      </c>
      <c r="S208" s="72">
        <v>5000</v>
      </c>
      <c r="T208" s="74"/>
      <c r="V208" s="74" t="s">
        <v>494</v>
      </c>
      <c r="W208" s="72"/>
      <c r="X208" s="75"/>
      <c r="Y208" s="76"/>
      <c r="Z208" s="74"/>
      <c r="AA208" s="74">
        <f t="shared" si="30"/>
        <v>5000.4000000000005</v>
      </c>
    </row>
    <row r="209" spans="1:27" s="77" customFormat="1" ht="15.75" x14ac:dyDescent="0.25">
      <c r="A209" s="51">
        <v>206</v>
      </c>
      <c r="B209" s="65">
        <v>45999</v>
      </c>
      <c r="C209" s="65">
        <v>46000</v>
      </c>
      <c r="D209" s="101">
        <v>251209001</v>
      </c>
      <c r="E209" s="67" t="s">
        <v>495</v>
      </c>
      <c r="F209" s="67" t="s">
        <v>496</v>
      </c>
      <c r="G209" s="67">
        <v>38</v>
      </c>
      <c r="H209" s="100">
        <v>128</v>
      </c>
      <c r="I209" s="19" t="s">
        <v>425</v>
      </c>
      <c r="J209" s="20" t="s">
        <v>23</v>
      </c>
      <c r="K209" s="19" t="s">
        <v>32</v>
      </c>
      <c r="L209" s="101" t="s">
        <v>426</v>
      </c>
      <c r="M209" s="67" t="s">
        <v>306</v>
      </c>
      <c r="N209" s="80">
        <v>57.28</v>
      </c>
      <c r="O209" s="67">
        <v>19.059999999999999</v>
      </c>
      <c r="P209" s="71">
        <f t="shared" si="23"/>
        <v>38.22</v>
      </c>
      <c r="Q209" s="72">
        <v>430</v>
      </c>
      <c r="R209" s="73">
        <v>430</v>
      </c>
      <c r="S209" s="72"/>
      <c r="T209" s="74"/>
      <c r="V209" s="74" t="s">
        <v>24</v>
      </c>
      <c r="W209" s="72">
        <v>145</v>
      </c>
      <c r="X209" s="75">
        <f t="shared" ref="X209:X219" si="31">W209*P209</f>
        <v>5541.9</v>
      </c>
      <c r="Y209" s="76"/>
      <c r="Z209" s="74">
        <f t="shared" ref="Z209:Z219" si="32">Y209*P209</f>
        <v>0</v>
      </c>
      <c r="AA209" s="74">
        <f t="shared" si="30"/>
        <v>5971.9</v>
      </c>
    </row>
    <row r="210" spans="1:27" s="77" customFormat="1" ht="15.75" x14ac:dyDescent="0.25">
      <c r="A210" s="51">
        <v>207</v>
      </c>
      <c r="B210" s="65">
        <v>45999</v>
      </c>
      <c r="C210" s="65">
        <v>46000</v>
      </c>
      <c r="D210" s="101">
        <v>251209003</v>
      </c>
      <c r="E210" s="67" t="s">
        <v>497</v>
      </c>
      <c r="F210" s="67" t="s">
        <v>498</v>
      </c>
      <c r="G210" s="67">
        <v>33</v>
      </c>
      <c r="H210" s="79">
        <v>101</v>
      </c>
      <c r="I210" s="107" t="s">
        <v>499</v>
      </c>
      <c r="J210" s="58" t="s">
        <v>23</v>
      </c>
      <c r="K210" s="21" t="s">
        <v>32</v>
      </c>
      <c r="L210" s="108" t="s">
        <v>500</v>
      </c>
      <c r="M210" s="67" t="s">
        <v>36</v>
      </c>
      <c r="N210" s="80">
        <v>45.8</v>
      </c>
      <c r="O210" s="80">
        <v>11.94</v>
      </c>
      <c r="P210" s="71">
        <f t="shared" si="23"/>
        <v>33.86</v>
      </c>
      <c r="Q210" s="72">
        <v>560</v>
      </c>
      <c r="R210" s="73">
        <f t="shared" ref="R210:R273" si="33">Q210*P210</f>
        <v>18961.599999999999</v>
      </c>
      <c r="S210" s="72"/>
      <c r="T210" s="74"/>
      <c r="V210" s="74" t="s">
        <v>24</v>
      </c>
      <c r="W210" s="72">
        <v>145</v>
      </c>
      <c r="X210" s="75">
        <f t="shared" si="31"/>
        <v>4909.7</v>
      </c>
      <c r="Y210" s="76">
        <v>260</v>
      </c>
      <c r="Z210" s="74">
        <f t="shared" si="32"/>
        <v>8803.6</v>
      </c>
      <c r="AA210" s="74">
        <f t="shared" si="30"/>
        <v>32674.9</v>
      </c>
    </row>
    <row r="211" spans="1:27" s="77" customFormat="1" ht="15.75" x14ac:dyDescent="0.25">
      <c r="A211" s="51">
        <v>208</v>
      </c>
      <c r="B211" s="65">
        <v>45999</v>
      </c>
      <c r="C211" s="65">
        <v>46000</v>
      </c>
      <c r="D211" s="101">
        <v>251209002</v>
      </c>
      <c r="E211" s="67" t="s">
        <v>501</v>
      </c>
      <c r="F211" s="67" t="s">
        <v>502</v>
      </c>
      <c r="G211" s="67">
        <v>38</v>
      </c>
      <c r="H211" s="79">
        <v>101</v>
      </c>
      <c r="I211" s="107" t="s">
        <v>499</v>
      </c>
      <c r="J211" s="58" t="s">
        <v>23</v>
      </c>
      <c r="K211" s="21" t="s">
        <v>32</v>
      </c>
      <c r="L211" s="104" t="s">
        <v>503</v>
      </c>
      <c r="M211" s="67" t="s">
        <v>37</v>
      </c>
      <c r="N211" s="80">
        <v>50.08</v>
      </c>
      <c r="O211" s="80">
        <v>11.56</v>
      </c>
      <c r="P211" s="71">
        <f t="shared" ref="P211:P274" si="34">N211-O211</f>
        <v>38.519999999999996</v>
      </c>
      <c r="Q211" s="72">
        <v>560</v>
      </c>
      <c r="R211" s="73">
        <f t="shared" si="33"/>
        <v>21571.199999999997</v>
      </c>
      <c r="S211" s="72"/>
      <c r="T211" s="74"/>
      <c r="V211" s="74" t="s">
        <v>24</v>
      </c>
      <c r="W211" s="72">
        <v>145</v>
      </c>
      <c r="X211" s="75">
        <f t="shared" si="31"/>
        <v>5585.4</v>
      </c>
      <c r="Y211" s="76">
        <v>260</v>
      </c>
      <c r="Z211" s="74">
        <f t="shared" si="32"/>
        <v>10015.199999999999</v>
      </c>
      <c r="AA211" s="74">
        <f t="shared" si="30"/>
        <v>37171.799999999996</v>
      </c>
    </row>
    <row r="212" spans="1:27" s="81" customFormat="1" ht="15.75" x14ac:dyDescent="0.25">
      <c r="A212" s="51">
        <v>209</v>
      </c>
      <c r="B212" s="65">
        <v>45999</v>
      </c>
      <c r="C212" s="65">
        <v>46000</v>
      </c>
      <c r="D212" s="101">
        <v>251209004</v>
      </c>
      <c r="E212" s="67" t="s">
        <v>504</v>
      </c>
      <c r="F212" s="67" t="s">
        <v>505</v>
      </c>
      <c r="G212" s="67">
        <v>33</v>
      </c>
      <c r="H212" s="97">
        <v>24</v>
      </c>
      <c r="I212" s="87" t="s">
        <v>199</v>
      </c>
      <c r="J212" s="18" t="s">
        <v>23</v>
      </c>
      <c r="K212" s="19" t="s">
        <v>32</v>
      </c>
      <c r="L212" s="109" t="s">
        <v>41</v>
      </c>
      <c r="M212" s="67" t="s">
        <v>34</v>
      </c>
      <c r="N212" s="80">
        <v>45.22</v>
      </c>
      <c r="O212" s="80">
        <v>11.8</v>
      </c>
      <c r="P212" s="71">
        <f t="shared" si="34"/>
        <v>33.42</v>
      </c>
      <c r="Q212" s="72">
        <v>335</v>
      </c>
      <c r="R212" s="73">
        <f t="shared" si="33"/>
        <v>11195.7</v>
      </c>
      <c r="S212" s="72"/>
      <c r="T212" s="74"/>
      <c r="V212" s="74" t="s">
        <v>24</v>
      </c>
      <c r="W212" s="72">
        <v>145</v>
      </c>
      <c r="X212" s="75">
        <f t="shared" si="31"/>
        <v>4845.9000000000005</v>
      </c>
      <c r="Y212" s="76">
        <v>260</v>
      </c>
      <c r="Z212" s="74">
        <f t="shared" si="32"/>
        <v>8689.2000000000007</v>
      </c>
      <c r="AA212" s="74">
        <f t="shared" si="30"/>
        <v>24730.800000000003</v>
      </c>
    </row>
    <row r="213" spans="1:27" s="81" customFormat="1" ht="15.75" x14ac:dyDescent="0.25">
      <c r="A213" s="51">
        <v>210</v>
      </c>
      <c r="B213" s="65">
        <v>45999</v>
      </c>
      <c r="C213" s="65">
        <v>46000</v>
      </c>
      <c r="D213" s="101">
        <v>251209005</v>
      </c>
      <c r="E213" s="67" t="s">
        <v>506</v>
      </c>
      <c r="F213" s="67" t="s">
        <v>507</v>
      </c>
      <c r="G213" s="67">
        <v>33</v>
      </c>
      <c r="H213" s="97">
        <v>24</v>
      </c>
      <c r="I213" s="87" t="s">
        <v>199</v>
      </c>
      <c r="J213" s="18" t="s">
        <v>23</v>
      </c>
      <c r="K213" s="19" t="s">
        <v>32</v>
      </c>
      <c r="L213" s="104" t="s">
        <v>286</v>
      </c>
      <c r="M213" s="67" t="s">
        <v>34</v>
      </c>
      <c r="N213" s="80">
        <v>45.44</v>
      </c>
      <c r="O213" s="80">
        <v>11.52</v>
      </c>
      <c r="P213" s="71">
        <f t="shared" si="34"/>
        <v>33.92</v>
      </c>
      <c r="Q213" s="72">
        <v>335</v>
      </c>
      <c r="R213" s="73">
        <f t="shared" si="33"/>
        <v>11363.2</v>
      </c>
      <c r="S213" s="72"/>
      <c r="T213" s="74"/>
      <c r="V213" s="74" t="s">
        <v>24</v>
      </c>
      <c r="W213" s="72">
        <v>145</v>
      </c>
      <c r="X213" s="75">
        <f t="shared" si="31"/>
        <v>4918.4000000000005</v>
      </c>
      <c r="Y213" s="76">
        <v>260</v>
      </c>
      <c r="Z213" s="74">
        <f t="shared" si="32"/>
        <v>8819.2000000000007</v>
      </c>
      <c r="AA213" s="74">
        <f t="shared" si="30"/>
        <v>25100.800000000003</v>
      </c>
    </row>
    <row r="214" spans="1:27" s="77" customFormat="1" ht="15.75" x14ac:dyDescent="0.25">
      <c r="A214" s="51">
        <v>211</v>
      </c>
      <c r="B214" s="65">
        <v>45999</v>
      </c>
      <c r="C214" s="65">
        <v>46000</v>
      </c>
      <c r="D214" s="101">
        <v>251209006</v>
      </c>
      <c r="E214" s="67" t="s">
        <v>508</v>
      </c>
      <c r="F214" s="67" t="s">
        <v>509</v>
      </c>
      <c r="G214" s="67">
        <v>33</v>
      </c>
      <c r="H214" s="97">
        <v>24</v>
      </c>
      <c r="I214" s="87" t="s">
        <v>199</v>
      </c>
      <c r="J214" s="18" t="s">
        <v>23</v>
      </c>
      <c r="K214" s="19" t="s">
        <v>32</v>
      </c>
      <c r="L214" s="104" t="s">
        <v>42</v>
      </c>
      <c r="M214" s="67" t="s">
        <v>34</v>
      </c>
      <c r="N214" s="67">
        <v>45.12</v>
      </c>
      <c r="O214" s="80">
        <v>11.6</v>
      </c>
      <c r="P214" s="71">
        <f t="shared" si="34"/>
        <v>33.519999999999996</v>
      </c>
      <c r="Q214" s="72">
        <v>335</v>
      </c>
      <c r="R214" s="73">
        <f t="shared" si="33"/>
        <v>11229.199999999999</v>
      </c>
      <c r="S214" s="72"/>
      <c r="T214" s="74"/>
      <c r="V214" s="74" t="s">
        <v>24</v>
      </c>
      <c r="W214" s="72">
        <v>145</v>
      </c>
      <c r="X214" s="75">
        <f t="shared" si="31"/>
        <v>4860.3999999999996</v>
      </c>
      <c r="Y214" s="76">
        <v>260</v>
      </c>
      <c r="Z214" s="74">
        <f t="shared" si="32"/>
        <v>8715.1999999999989</v>
      </c>
      <c r="AA214" s="74">
        <f t="shared" si="30"/>
        <v>24804.799999999996</v>
      </c>
    </row>
    <row r="215" spans="1:27" s="77" customFormat="1" ht="15.75" x14ac:dyDescent="0.25">
      <c r="A215" s="51">
        <v>212</v>
      </c>
      <c r="B215" s="65">
        <v>45999</v>
      </c>
      <c r="C215" s="65">
        <v>46000</v>
      </c>
      <c r="D215" s="101">
        <v>251209007</v>
      </c>
      <c r="E215" s="67" t="s">
        <v>510</v>
      </c>
      <c r="F215" s="67" t="s">
        <v>511</v>
      </c>
      <c r="G215" s="67">
        <v>32</v>
      </c>
      <c r="H215" s="97">
        <v>24</v>
      </c>
      <c r="I215" s="87" t="s">
        <v>199</v>
      </c>
      <c r="J215" s="18" t="s">
        <v>23</v>
      </c>
      <c r="K215" s="19" t="s">
        <v>32</v>
      </c>
      <c r="L215" s="104" t="s">
        <v>44</v>
      </c>
      <c r="M215" s="67" t="s">
        <v>34</v>
      </c>
      <c r="N215" s="80">
        <v>44.34</v>
      </c>
      <c r="O215" s="80">
        <v>11.8</v>
      </c>
      <c r="P215" s="71">
        <f t="shared" si="34"/>
        <v>32.540000000000006</v>
      </c>
      <c r="Q215" s="72">
        <v>335</v>
      </c>
      <c r="R215" s="73">
        <f t="shared" si="33"/>
        <v>10900.900000000001</v>
      </c>
      <c r="S215" s="72"/>
      <c r="T215" s="74"/>
      <c r="V215" s="74" t="s">
        <v>24</v>
      </c>
      <c r="W215" s="72">
        <v>145</v>
      </c>
      <c r="X215" s="75">
        <f t="shared" si="31"/>
        <v>4718.3000000000011</v>
      </c>
      <c r="Y215" s="76">
        <v>260</v>
      </c>
      <c r="Z215" s="74">
        <f t="shared" si="32"/>
        <v>8460.4000000000015</v>
      </c>
      <c r="AA215" s="74">
        <f t="shared" si="30"/>
        <v>24079.600000000006</v>
      </c>
    </row>
    <row r="216" spans="1:27" s="81" customFormat="1" ht="15.75" x14ac:dyDescent="0.25">
      <c r="A216" s="51">
        <v>213</v>
      </c>
      <c r="B216" s="65">
        <v>45999</v>
      </c>
      <c r="C216" s="65">
        <v>46000</v>
      </c>
      <c r="D216" s="101">
        <v>251209009</v>
      </c>
      <c r="E216" s="67" t="s">
        <v>512</v>
      </c>
      <c r="F216" s="67" t="s">
        <v>513</v>
      </c>
      <c r="G216" s="67">
        <v>43</v>
      </c>
      <c r="H216" s="97">
        <v>53</v>
      </c>
      <c r="I216" s="106" t="s">
        <v>430</v>
      </c>
      <c r="J216" s="18" t="s">
        <v>23</v>
      </c>
      <c r="K216" s="19" t="s">
        <v>32</v>
      </c>
      <c r="L216" s="67" t="s">
        <v>514</v>
      </c>
      <c r="M216" s="67" t="s">
        <v>515</v>
      </c>
      <c r="N216" s="80">
        <v>58.54</v>
      </c>
      <c r="O216" s="80">
        <v>15.32</v>
      </c>
      <c r="P216" s="71">
        <f t="shared" si="34"/>
        <v>43.22</v>
      </c>
      <c r="Q216" s="72">
        <v>355</v>
      </c>
      <c r="R216" s="73">
        <f t="shared" si="33"/>
        <v>15343.1</v>
      </c>
      <c r="S216" s="72"/>
      <c r="T216" s="74"/>
      <c r="V216" s="74" t="s">
        <v>24</v>
      </c>
      <c r="W216" s="72">
        <v>145</v>
      </c>
      <c r="X216" s="75">
        <f t="shared" si="31"/>
        <v>6266.9</v>
      </c>
      <c r="Y216" s="76">
        <v>200</v>
      </c>
      <c r="Z216" s="74">
        <f t="shared" si="32"/>
        <v>8644</v>
      </c>
      <c r="AA216" s="74">
        <f t="shared" si="30"/>
        <v>30254</v>
      </c>
    </row>
    <row r="217" spans="1:27" s="77" customFormat="1" ht="15.75" x14ac:dyDescent="0.25">
      <c r="A217" s="51">
        <v>214</v>
      </c>
      <c r="B217" s="65">
        <v>45999</v>
      </c>
      <c r="C217" s="65">
        <v>46000</v>
      </c>
      <c r="D217" s="101">
        <v>251209010</v>
      </c>
      <c r="E217" s="67" t="s">
        <v>516</v>
      </c>
      <c r="F217" s="67" t="s">
        <v>517</v>
      </c>
      <c r="G217" s="67">
        <v>48</v>
      </c>
      <c r="H217" s="97">
        <v>53</v>
      </c>
      <c r="I217" s="106" t="s">
        <v>430</v>
      </c>
      <c r="J217" s="18" t="s">
        <v>23</v>
      </c>
      <c r="K217" s="19" t="s">
        <v>32</v>
      </c>
      <c r="L217" s="104" t="s">
        <v>482</v>
      </c>
      <c r="M217" s="67" t="s">
        <v>58</v>
      </c>
      <c r="N217" s="80">
        <v>62.38</v>
      </c>
      <c r="O217" s="80">
        <v>14.16</v>
      </c>
      <c r="P217" s="71">
        <f t="shared" si="34"/>
        <v>48.22</v>
      </c>
      <c r="Q217" s="72">
        <v>255</v>
      </c>
      <c r="R217" s="73">
        <f t="shared" si="33"/>
        <v>12296.1</v>
      </c>
      <c r="S217" s="72"/>
      <c r="T217" s="74"/>
      <c r="V217" s="74" t="s">
        <v>24</v>
      </c>
      <c r="W217" s="72">
        <v>145</v>
      </c>
      <c r="X217" s="75">
        <f t="shared" si="31"/>
        <v>6991.9</v>
      </c>
      <c r="Y217" s="76">
        <v>200</v>
      </c>
      <c r="Z217" s="74">
        <f t="shared" si="32"/>
        <v>9644</v>
      </c>
      <c r="AA217" s="74">
        <f t="shared" si="30"/>
        <v>28932</v>
      </c>
    </row>
    <row r="218" spans="1:27" s="77" customFormat="1" ht="15.75" x14ac:dyDescent="0.25">
      <c r="A218" s="51">
        <v>215</v>
      </c>
      <c r="B218" s="65">
        <v>45999</v>
      </c>
      <c r="C218" s="65">
        <v>46000</v>
      </c>
      <c r="D218" s="101">
        <v>251209008</v>
      </c>
      <c r="E218" s="67" t="s">
        <v>518</v>
      </c>
      <c r="F218" s="67" t="s">
        <v>519</v>
      </c>
      <c r="G218" s="67">
        <v>42</v>
      </c>
      <c r="H218" s="97">
        <v>53</v>
      </c>
      <c r="I218" s="106" t="s">
        <v>430</v>
      </c>
      <c r="J218" s="18" t="s">
        <v>23</v>
      </c>
      <c r="K218" s="19" t="s">
        <v>32</v>
      </c>
      <c r="L218" s="104" t="s">
        <v>485</v>
      </c>
      <c r="M218" s="67" t="s">
        <v>515</v>
      </c>
      <c r="N218" s="67">
        <v>57.76</v>
      </c>
      <c r="O218" s="80">
        <v>15.38</v>
      </c>
      <c r="P218" s="71">
        <f t="shared" si="34"/>
        <v>42.379999999999995</v>
      </c>
      <c r="Q218" s="72">
        <v>355</v>
      </c>
      <c r="R218" s="73">
        <f t="shared" si="33"/>
        <v>15044.899999999998</v>
      </c>
      <c r="S218" s="72"/>
      <c r="T218" s="74"/>
      <c r="V218" s="74" t="s">
        <v>24</v>
      </c>
      <c r="W218" s="72">
        <v>145</v>
      </c>
      <c r="X218" s="75">
        <f t="shared" si="31"/>
        <v>6145.0999999999995</v>
      </c>
      <c r="Y218" s="76">
        <v>200</v>
      </c>
      <c r="Z218" s="74">
        <f t="shared" si="32"/>
        <v>8476</v>
      </c>
      <c r="AA218" s="74">
        <f t="shared" si="30"/>
        <v>29665.999999999996</v>
      </c>
    </row>
    <row r="219" spans="1:27" s="81" customFormat="1" ht="15.75" x14ac:dyDescent="0.25">
      <c r="A219" s="51">
        <v>216</v>
      </c>
      <c r="B219" s="65">
        <v>45999</v>
      </c>
      <c r="C219" s="65">
        <v>46000</v>
      </c>
      <c r="D219" s="101">
        <v>251209011</v>
      </c>
      <c r="E219" s="67" t="s">
        <v>520</v>
      </c>
      <c r="F219" s="67" t="s">
        <v>521</v>
      </c>
      <c r="G219" s="67">
        <v>33</v>
      </c>
      <c r="H219" s="79">
        <v>101</v>
      </c>
      <c r="I219" s="107" t="s">
        <v>499</v>
      </c>
      <c r="J219" s="58" t="s">
        <v>23</v>
      </c>
      <c r="K219" s="21" t="s">
        <v>32</v>
      </c>
      <c r="L219" s="101" t="s">
        <v>394</v>
      </c>
      <c r="M219" s="67" t="s">
        <v>36</v>
      </c>
      <c r="N219" s="80">
        <v>46.16</v>
      </c>
      <c r="O219" s="67">
        <v>12.34</v>
      </c>
      <c r="P219" s="71">
        <f t="shared" si="34"/>
        <v>33.819999999999993</v>
      </c>
      <c r="Q219" s="72">
        <v>560</v>
      </c>
      <c r="R219" s="73">
        <f t="shared" si="33"/>
        <v>18939.199999999997</v>
      </c>
      <c r="S219" s="67"/>
      <c r="T219" s="74"/>
      <c r="V219" s="74" t="s">
        <v>24</v>
      </c>
      <c r="W219" s="72">
        <v>145</v>
      </c>
      <c r="X219" s="75">
        <f t="shared" si="31"/>
        <v>4903.8999999999987</v>
      </c>
      <c r="Y219" s="76">
        <v>280</v>
      </c>
      <c r="Z219" s="74">
        <f t="shared" si="32"/>
        <v>9469.5999999999985</v>
      </c>
      <c r="AA219" s="74">
        <f t="shared" si="30"/>
        <v>33312.699999999997</v>
      </c>
    </row>
    <row r="220" spans="1:27" s="77" customFormat="1" ht="15.75" x14ac:dyDescent="0.25">
      <c r="A220" s="51">
        <v>217</v>
      </c>
      <c r="B220" s="65">
        <v>46000</v>
      </c>
      <c r="C220" s="65">
        <v>46000</v>
      </c>
      <c r="D220" s="101">
        <v>251209012</v>
      </c>
      <c r="E220" s="67" t="s">
        <v>522</v>
      </c>
      <c r="F220" s="67" t="s">
        <v>523</v>
      </c>
      <c r="G220" s="67">
        <v>42</v>
      </c>
      <c r="H220" s="97">
        <v>53</v>
      </c>
      <c r="I220" s="106" t="s">
        <v>430</v>
      </c>
      <c r="J220" s="18" t="s">
        <v>23</v>
      </c>
      <c r="K220" s="19" t="s">
        <v>32</v>
      </c>
      <c r="L220" s="104" t="s">
        <v>323</v>
      </c>
      <c r="M220" s="67" t="s">
        <v>515</v>
      </c>
      <c r="N220" s="67">
        <v>57.72</v>
      </c>
      <c r="O220" s="67">
        <v>15.4</v>
      </c>
      <c r="P220" s="71">
        <f t="shared" si="34"/>
        <v>42.32</v>
      </c>
      <c r="Q220" s="72">
        <v>355</v>
      </c>
      <c r="R220" s="73">
        <f t="shared" si="33"/>
        <v>15023.6</v>
      </c>
      <c r="S220" s="72"/>
      <c r="T220" s="74"/>
      <c r="V220" s="74" t="s">
        <v>24</v>
      </c>
      <c r="W220" s="72">
        <v>145</v>
      </c>
      <c r="X220" s="75">
        <f t="shared" ref="X220:X237" si="35">W220*P220</f>
        <v>6136.4</v>
      </c>
      <c r="Y220" s="76">
        <v>200</v>
      </c>
      <c r="Z220" s="74">
        <f t="shared" ref="Z220:Z237" si="36">Y220*P220</f>
        <v>8464</v>
      </c>
      <c r="AA220" s="74">
        <f t="shared" ref="AA220:AA237" si="37">R220+X220+Z220</f>
        <v>29624</v>
      </c>
    </row>
    <row r="221" spans="1:27" s="77" customFormat="1" ht="15.75" x14ac:dyDescent="0.25">
      <c r="A221" s="51">
        <v>218</v>
      </c>
      <c r="B221" s="65">
        <v>46000</v>
      </c>
      <c r="C221" s="65">
        <v>46000</v>
      </c>
      <c r="D221" s="101">
        <v>251209013</v>
      </c>
      <c r="E221" s="67" t="s">
        <v>524</v>
      </c>
      <c r="F221" s="67" t="s">
        <v>525</v>
      </c>
      <c r="G221" s="67">
        <v>47</v>
      </c>
      <c r="H221" s="97">
        <v>53</v>
      </c>
      <c r="I221" s="106" t="s">
        <v>430</v>
      </c>
      <c r="J221" s="18" t="s">
        <v>23</v>
      </c>
      <c r="K221" s="19" t="s">
        <v>32</v>
      </c>
      <c r="L221" s="104" t="s">
        <v>328</v>
      </c>
      <c r="M221" s="67" t="s">
        <v>515</v>
      </c>
      <c r="N221" s="67">
        <v>63.48</v>
      </c>
      <c r="O221" s="67">
        <v>15.62</v>
      </c>
      <c r="P221" s="71">
        <f t="shared" si="34"/>
        <v>47.86</v>
      </c>
      <c r="Q221" s="72">
        <v>355</v>
      </c>
      <c r="R221" s="73">
        <f t="shared" si="33"/>
        <v>16990.3</v>
      </c>
      <c r="S221" s="72"/>
      <c r="T221" s="74"/>
      <c r="V221" s="74" t="s">
        <v>24</v>
      </c>
      <c r="W221" s="72">
        <v>145</v>
      </c>
      <c r="X221" s="75">
        <f t="shared" si="35"/>
        <v>6939.7</v>
      </c>
      <c r="Y221" s="76">
        <v>200</v>
      </c>
      <c r="Z221" s="76">
        <f t="shared" si="36"/>
        <v>9572</v>
      </c>
      <c r="AA221" s="74">
        <f t="shared" si="37"/>
        <v>33502</v>
      </c>
    </row>
    <row r="222" spans="1:27" s="77" customFormat="1" ht="15.75" x14ac:dyDescent="0.25">
      <c r="A222" s="51">
        <v>219</v>
      </c>
      <c r="B222" s="65">
        <v>46000</v>
      </c>
      <c r="C222" s="65">
        <v>46000</v>
      </c>
      <c r="D222" s="110" t="s">
        <v>526</v>
      </c>
      <c r="E222" s="67"/>
      <c r="F222" s="67"/>
      <c r="G222" s="67"/>
      <c r="H222" s="111"/>
      <c r="I222" s="112" t="s">
        <v>527</v>
      </c>
      <c r="J222" s="18" t="s">
        <v>23</v>
      </c>
      <c r="K222" s="19" t="s">
        <v>32</v>
      </c>
      <c r="L222" s="104" t="s">
        <v>528</v>
      </c>
      <c r="M222" s="67" t="s">
        <v>49</v>
      </c>
      <c r="N222" s="67">
        <v>58.78</v>
      </c>
      <c r="O222" s="67">
        <v>18.02</v>
      </c>
      <c r="P222" s="71">
        <f t="shared" si="34"/>
        <v>40.760000000000005</v>
      </c>
      <c r="Q222" s="72">
        <v>150</v>
      </c>
      <c r="R222" s="73">
        <f t="shared" si="33"/>
        <v>6114.0000000000009</v>
      </c>
      <c r="S222" s="72"/>
      <c r="T222" s="74"/>
      <c r="V222" s="74" t="s">
        <v>53</v>
      </c>
      <c r="W222" s="72"/>
      <c r="X222" s="75">
        <f t="shared" si="35"/>
        <v>0</v>
      </c>
      <c r="Y222" s="76"/>
      <c r="Z222" s="76">
        <f t="shared" si="36"/>
        <v>0</v>
      </c>
      <c r="AA222" s="74">
        <f t="shared" si="37"/>
        <v>6114.0000000000009</v>
      </c>
    </row>
    <row r="223" spans="1:27" s="77" customFormat="1" ht="15.75" x14ac:dyDescent="0.25">
      <c r="A223" s="51">
        <v>220</v>
      </c>
      <c r="B223" s="65">
        <v>46000</v>
      </c>
      <c r="C223" s="65">
        <v>46001</v>
      </c>
      <c r="D223" s="101">
        <v>251210001</v>
      </c>
      <c r="E223" s="67" t="s">
        <v>529</v>
      </c>
      <c r="F223" s="67" t="s">
        <v>530</v>
      </c>
      <c r="G223" s="67">
        <v>43</v>
      </c>
      <c r="H223" s="97">
        <v>53</v>
      </c>
      <c r="I223" s="106" t="s">
        <v>430</v>
      </c>
      <c r="J223" s="18" t="s">
        <v>23</v>
      </c>
      <c r="K223" s="19" t="s">
        <v>32</v>
      </c>
      <c r="L223" s="104" t="s">
        <v>39</v>
      </c>
      <c r="M223" s="67" t="s">
        <v>515</v>
      </c>
      <c r="N223" s="67">
        <v>59.2</v>
      </c>
      <c r="O223" s="67">
        <v>15.96</v>
      </c>
      <c r="P223" s="71">
        <f t="shared" si="34"/>
        <v>43.24</v>
      </c>
      <c r="Q223" s="72">
        <v>355</v>
      </c>
      <c r="R223" s="73">
        <f t="shared" si="33"/>
        <v>15350.2</v>
      </c>
      <c r="S223" s="72"/>
      <c r="T223" s="74"/>
      <c r="V223" s="74" t="s">
        <v>24</v>
      </c>
      <c r="W223" s="72">
        <v>145</v>
      </c>
      <c r="X223" s="75">
        <f t="shared" si="35"/>
        <v>6269.8</v>
      </c>
      <c r="Y223" s="76">
        <v>200</v>
      </c>
      <c r="Z223" s="76">
        <f t="shared" si="36"/>
        <v>8648</v>
      </c>
      <c r="AA223" s="74">
        <f t="shared" si="37"/>
        <v>30268</v>
      </c>
    </row>
    <row r="224" spans="1:27" s="77" customFormat="1" ht="15.75" x14ac:dyDescent="0.25">
      <c r="A224" s="51">
        <v>221</v>
      </c>
      <c r="B224" s="65">
        <v>46000</v>
      </c>
      <c r="C224" s="65">
        <v>46001</v>
      </c>
      <c r="D224" s="101">
        <v>251210002</v>
      </c>
      <c r="E224" s="67" t="s">
        <v>531</v>
      </c>
      <c r="F224" s="67" t="s">
        <v>532</v>
      </c>
      <c r="G224" s="67">
        <v>46</v>
      </c>
      <c r="H224" s="97">
        <v>24</v>
      </c>
      <c r="I224" s="87" t="s">
        <v>199</v>
      </c>
      <c r="J224" s="18" t="s">
        <v>23</v>
      </c>
      <c r="K224" s="19" t="s">
        <v>32</v>
      </c>
      <c r="L224" s="104" t="s">
        <v>54</v>
      </c>
      <c r="M224" s="67" t="s">
        <v>34</v>
      </c>
      <c r="N224" s="67">
        <v>61.32</v>
      </c>
      <c r="O224" s="67">
        <v>15.1</v>
      </c>
      <c r="P224" s="71">
        <f t="shared" si="34"/>
        <v>46.22</v>
      </c>
      <c r="Q224" s="72">
        <v>335</v>
      </c>
      <c r="R224" s="73">
        <f t="shared" si="33"/>
        <v>15483.699999999999</v>
      </c>
      <c r="S224" s="72"/>
      <c r="T224" s="74"/>
      <c r="V224" s="74" t="s">
        <v>24</v>
      </c>
      <c r="W224" s="72">
        <v>145</v>
      </c>
      <c r="X224" s="75">
        <f t="shared" si="35"/>
        <v>6701.9</v>
      </c>
      <c r="Y224" s="76">
        <v>260</v>
      </c>
      <c r="Z224" s="76">
        <f t="shared" si="36"/>
        <v>12017.199999999999</v>
      </c>
      <c r="AA224" s="74">
        <f t="shared" si="37"/>
        <v>34202.799999999996</v>
      </c>
    </row>
    <row r="225" spans="1:38" s="81" customFormat="1" ht="15.75" x14ac:dyDescent="0.25">
      <c r="A225" s="51">
        <v>222</v>
      </c>
      <c r="B225" s="65">
        <v>46000</v>
      </c>
      <c r="C225" s="65">
        <v>46001</v>
      </c>
      <c r="D225" s="101">
        <v>251210003</v>
      </c>
      <c r="E225" s="67" t="s">
        <v>533</v>
      </c>
      <c r="F225" s="67" t="s">
        <v>534</v>
      </c>
      <c r="G225" s="67">
        <v>45</v>
      </c>
      <c r="H225" s="97">
        <v>24</v>
      </c>
      <c r="I225" s="87" t="s">
        <v>199</v>
      </c>
      <c r="J225" s="18" t="s">
        <v>23</v>
      </c>
      <c r="K225" s="19" t="s">
        <v>32</v>
      </c>
      <c r="L225" s="104" t="s">
        <v>40</v>
      </c>
      <c r="M225" s="67" t="s">
        <v>34</v>
      </c>
      <c r="N225" s="80">
        <v>60.72</v>
      </c>
      <c r="O225" s="67">
        <v>15.14</v>
      </c>
      <c r="P225" s="71">
        <f t="shared" si="34"/>
        <v>45.58</v>
      </c>
      <c r="Q225" s="72">
        <v>335</v>
      </c>
      <c r="R225" s="73">
        <f t="shared" si="33"/>
        <v>15269.3</v>
      </c>
      <c r="S225" s="72"/>
      <c r="T225" s="74"/>
      <c r="V225" s="74" t="s">
        <v>24</v>
      </c>
      <c r="W225" s="72">
        <v>145</v>
      </c>
      <c r="X225" s="75">
        <f t="shared" si="35"/>
        <v>6609.0999999999995</v>
      </c>
      <c r="Y225" s="76">
        <v>260</v>
      </c>
      <c r="Z225" s="76">
        <f t="shared" si="36"/>
        <v>11850.8</v>
      </c>
      <c r="AA225" s="74">
        <f t="shared" si="37"/>
        <v>33729.199999999997</v>
      </c>
    </row>
    <row r="226" spans="1:38" s="77" customFormat="1" ht="15.75" x14ac:dyDescent="0.25">
      <c r="A226" s="51">
        <v>223</v>
      </c>
      <c r="B226" s="65">
        <v>46000</v>
      </c>
      <c r="C226" s="65">
        <v>46001</v>
      </c>
      <c r="D226" s="101">
        <v>251210004</v>
      </c>
      <c r="E226" s="67" t="s">
        <v>535</v>
      </c>
      <c r="F226" s="67" t="s">
        <v>536</v>
      </c>
      <c r="G226" s="67">
        <v>34</v>
      </c>
      <c r="H226" s="97">
        <v>24</v>
      </c>
      <c r="I226" s="87" t="s">
        <v>199</v>
      </c>
      <c r="J226" s="18" t="s">
        <v>23</v>
      </c>
      <c r="K226" s="19" t="s">
        <v>32</v>
      </c>
      <c r="L226" s="104" t="s">
        <v>44</v>
      </c>
      <c r="M226" s="67" t="s">
        <v>34</v>
      </c>
      <c r="N226" s="80">
        <v>45.96</v>
      </c>
      <c r="O226" s="67">
        <v>11.76</v>
      </c>
      <c r="P226" s="71">
        <f t="shared" si="34"/>
        <v>34.200000000000003</v>
      </c>
      <c r="Q226" s="72">
        <v>335</v>
      </c>
      <c r="R226" s="73">
        <f t="shared" si="33"/>
        <v>11457.000000000002</v>
      </c>
      <c r="S226" s="72"/>
      <c r="T226" s="74"/>
      <c r="V226" s="74" t="s">
        <v>24</v>
      </c>
      <c r="W226" s="72">
        <v>145</v>
      </c>
      <c r="X226" s="75">
        <f t="shared" si="35"/>
        <v>4959</v>
      </c>
      <c r="Y226" s="76">
        <v>260</v>
      </c>
      <c r="Z226" s="74">
        <f t="shared" si="36"/>
        <v>8892</v>
      </c>
      <c r="AA226" s="74">
        <f t="shared" si="37"/>
        <v>25308</v>
      </c>
    </row>
    <row r="227" spans="1:38" s="77" customFormat="1" ht="15.75" x14ac:dyDescent="0.25">
      <c r="A227" s="51">
        <v>224</v>
      </c>
      <c r="B227" s="65">
        <v>46000</v>
      </c>
      <c r="C227" s="65">
        <v>46001</v>
      </c>
      <c r="D227" s="101">
        <v>251210005</v>
      </c>
      <c r="E227" s="67" t="s">
        <v>537</v>
      </c>
      <c r="F227" s="67" t="s">
        <v>538</v>
      </c>
      <c r="G227" s="67">
        <v>33</v>
      </c>
      <c r="H227" s="97">
        <v>24</v>
      </c>
      <c r="I227" s="87" t="s">
        <v>199</v>
      </c>
      <c r="J227" s="18" t="s">
        <v>23</v>
      </c>
      <c r="K227" s="19" t="s">
        <v>32</v>
      </c>
      <c r="L227" s="104" t="s">
        <v>286</v>
      </c>
      <c r="M227" s="67" t="s">
        <v>34</v>
      </c>
      <c r="N227" s="80">
        <v>45.36</v>
      </c>
      <c r="O227" s="80">
        <v>11.48</v>
      </c>
      <c r="P227" s="71">
        <f t="shared" si="34"/>
        <v>33.879999999999995</v>
      </c>
      <c r="Q227" s="72">
        <v>335</v>
      </c>
      <c r="R227" s="73">
        <f t="shared" si="33"/>
        <v>11349.8</v>
      </c>
      <c r="S227" s="72"/>
      <c r="T227" s="74"/>
      <c r="V227" s="74" t="s">
        <v>24</v>
      </c>
      <c r="W227" s="72">
        <v>145</v>
      </c>
      <c r="X227" s="75">
        <f t="shared" si="35"/>
        <v>4912.5999999999995</v>
      </c>
      <c r="Y227" s="76">
        <v>260</v>
      </c>
      <c r="Z227" s="76">
        <f t="shared" si="36"/>
        <v>8808.7999999999993</v>
      </c>
      <c r="AA227" s="74">
        <f t="shared" si="37"/>
        <v>25071.199999999997</v>
      </c>
    </row>
    <row r="228" spans="1:38" s="77" customFormat="1" ht="15.75" x14ac:dyDescent="0.25">
      <c r="A228" s="51">
        <v>225</v>
      </c>
      <c r="B228" s="65">
        <v>46000</v>
      </c>
      <c r="C228" s="65">
        <v>46001</v>
      </c>
      <c r="D228" s="101">
        <v>251210006</v>
      </c>
      <c r="E228" s="67" t="s">
        <v>539</v>
      </c>
      <c r="F228" s="67" t="s">
        <v>540</v>
      </c>
      <c r="G228" s="67">
        <v>44</v>
      </c>
      <c r="H228" s="97">
        <v>53</v>
      </c>
      <c r="I228" s="106" t="s">
        <v>430</v>
      </c>
      <c r="J228" s="18" t="s">
        <v>23</v>
      </c>
      <c r="K228" s="19" t="s">
        <v>32</v>
      </c>
      <c r="L228" s="104" t="s">
        <v>485</v>
      </c>
      <c r="M228" s="67" t="s">
        <v>515</v>
      </c>
      <c r="N228" s="80">
        <v>59.6</v>
      </c>
      <c r="O228" s="80">
        <v>15.5</v>
      </c>
      <c r="P228" s="71">
        <f t="shared" si="34"/>
        <v>44.1</v>
      </c>
      <c r="Q228" s="72">
        <v>355</v>
      </c>
      <c r="R228" s="73">
        <f t="shared" si="33"/>
        <v>15655.5</v>
      </c>
      <c r="S228" s="72"/>
      <c r="T228" s="74"/>
      <c r="V228" s="74" t="s">
        <v>24</v>
      </c>
      <c r="W228" s="72">
        <v>145</v>
      </c>
      <c r="X228" s="75">
        <f t="shared" si="35"/>
        <v>6394.5</v>
      </c>
      <c r="Y228" s="76">
        <v>200</v>
      </c>
      <c r="Z228" s="76">
        <f t="shared" si="36"/>
        <v>8820</v>
      </c>
      <c r="AA228" s="74">
        <f t="shared" si="37"/>
        <v>30870</v>
      </c>
    </row>
    <row r="229" spans="1:38" s="77" customFormat="1" ht="17.100000000000001" customHeight="1" x14ac:dyDescent="0.25">
      <c r="A229" s="51">
        <v>226</v>
      </c>
      <c r="B229" s="65">
        <v>46000</v>
      </c>
      <c r="C229" s="65">
        <v>46001</v>
      </c>
      <c r="D229" s="101">
        <v>251210007</v>
      </c>
      <c r="E229" s="67" t="s">
        <v>541</v>
      </c>
      <c r="F229" s="67" t="s">
        <v>542</v>
      </c>
      <c r="G229" s="67">
        <v>46</v>
      </c>
      <c r="H229" s="97">
        <v>53</v>
      </c>
      <c r="I229" s="106" t="s">
        <v>430</v>
      </c>
      <c r="J229" s="18" t="s">
        <v>23</v>
      </c>
      <c r="K229" s="19" t="s">
        <v>32</v>
      </c>
      <c r="L229" s="104" t="s">
        <v>482</v>
      </c>
      <c r="M229" s="67" t="s">
        <v>58</v>
      </c>
      <c r="N229" s="80">
        <v>60.22</v>
      </c>
      <c r="O229" s="80">
        <v>14.2</v>
      </c>
      <c r="P229" s="71">
        <f t="shared" si="34"/>
        <v>46.019999999999996</v>
      </c>
      <c r="Q229" s="72">
        <v>255</v>
      </c>
      <c r="R229" s="73">
        <f t="shared" si="33"/>
        <v>11735.099999999999</v>
      </c>
      <c r="S229" s="72"/>
      <c r="T229" s="74"/>
      <c r="V229" s="74" t="s">
        <v>24</v>
      </c>
      <c r="W229" s="72">
        <v>145</v>
      </c>
      <c r="X229" s="75">
        <f t="shared" si="35"/>
        <v>6672.9</v>
      </c>
      <c r="Y229" s="76">
        <v>200</v>
      </c>
      <c r="Z229" s="76">
        <f t="shared" si="36"/>
        <v>9204</v>
      </c>
      <c r="AA229" s="74">
        <f t="shared" si="37"/>
        <v>27612</v>
      </c>
      <c r="AB229" s="83"/>
      <c r="AC229" s="82"/>
      <c r="AD229" s="84"/>
      <c r="AE229" s="85"/>
      <c r="AF229" s="82"/>
      <c r="AG229" s="85"/>
      <c r="AH229" s="82"/>
      <c r="AI229" s="84"/>
      <c r="AJ229" s="82"/>
      <c r="AK229" s="84"/>
      <c r="AL229" s="84"/>
    </row>
    <row r="230" spans="1:38" s="77" customFormat="1" ht="15.75" x14ac:dyDescent="0.25">
      <c r="A230" s="51">
        <v>227</v>
      </c>
      <c r="B230" s="65">
        <v>46000</v>
      </c>
      <c r="C230" s="65">
        <v>46001</v>
      </c>
      <c r="D230" s="101">
        <v>251210008</v>
      </c>
      <c r="E230" s="67" t="s">
        <v>543</v>
      </c>
      <c r="F230" s="67" t="s">
        <v>544</v>
      </c>
      <c r="G230" s="67">
        <v>33</v>
      </c>
      <c r="H230" s="97">
        <v>24</v>
      </c>
      <c r="I230" s="87" t="s">
        <v>199</v>
      </c>
      <c r="J230" s="18" t="s">
        <v>23</v>
      </c>
      <c r="K230" s="19" t="s">
        <v>32</v>
      </c>
      <c r="L230" s="104" t="s">
        <v>41</v>
      </c>
      <c r="M230" s="67" t="s">
        <v>34</v>
      </c>
      <c r="N230" s="80">
        <v>45.48</v>
      </c>
      <c r="O230" s="80">
        <v>11.84</v>
      </c>
      <c r="P230" s="71">
        <f t="shared" si="34"/>
        <v>33.64</v>
      </c>
      <c r="Q230" s="72">
        <v>335</v>
      </c>
      <c r="R230" s="73">
        <f t="shared" si="33"/>
        <v>11269.4</v>
      </c>
      <c r="S230" s="72"/>
      <c r="T230" s="74"/>
      <c r="V230" s="74" t="s">
        <v>24</v>
      </c>
      <c r="W230" s="72">
        <v>145</v>
      </c>
      <c r="X230" s="75">
        <f t="shared" si="35"/>
        <v>4877.8</v>
      </c>
      <c r="Y230" s="76">
        <v>260</v>
      </c>
      <c r="Z230" s="76">
        <f t="shared" si="36"/>
        <v>8746.4</v>
      </c>
      <c r="AA230" s="74">
        <f t="shared" si="37"/>
        <v>24893.599999999999</v>
      </c>
    </row>
    <row r="231" spans="1:38" s="77" customFormat="1" ht="15.75" x14ac:dyDescent="0.25">
      <c r="A231" s="51">
        <v>228</v>
      </c>
      <c r="B231" s="65">
        <v>46000</v>
      </c>
      <c r="C231" s="65">
        <v>46001</v>
      </c>
      <c r="D231" s="101">
        <v>251210010</v>
      </c>
      <c r="E231" s="67" t="s">
        <v>545</v>
      </c>
      <c r="F231" s="67" t="s">
        <v>546</v>
      </c>
      <c r="G231" s="67">
        <v>33</v>
      </c>
      <c r="H231" s="97">
        <v>24</v>
      </c>
      <c r="I231" s="87" t="s">
        <v>199</v>
      </c>
      <c r="J231" s="18" t="s">
        <v>23</v>
      </c>
      <c r="K231" s="19" t="s">
        <v>32</v>
      </c>
      <c r="L231" s="104" t="s">
        <v>42</v>
      </c>
      <c r="M231" s="67" t="s">
        <v>34</v>
      </c>
      <c r="N231" s="80">
        <v>44.9</v>
      </c>
      <c r="O231" s="80">
        <v>11.64</v>
      </c>
      <c r="P231" s="71">
        <f t="shared" si="34"/>
        <v>33.26</v>
      </c>
      <c r="Q231" s="72">
        <v>335</v>
      </c>
      <c r="R231" s="73">
        <f t="shared" si="33"/>
        <v>11142.099999999999</v>
      </c>
      <c r="S231" s="72"/>
      <c r="T231" s="74"/>
      <c r="V231" s="74" t="s">
        <v>24</v>
      </c>
      <c r="W231" s="72">
        <v>145</v>
      </c>
      <c r="X231" s="75">
        <f t="shared" si="35"/>
        <v>4822.7</v>
      </c>
      <c r="Y231" s="76">
        <v>260</v>
      </c>
      <c r="Z231" s="76">
        <f t="shared" si="36"/>
        <v>8647.6</v>
      </c>
      <c r="AA231" s="74">
        <f t="shared" si="37"/>
        <v>24612.400000000001</v>
      </c>
    </row>
    <row r="232" spans="1:38" s="77" customFormat="1" ht="15.75" x14ac:dyDescent="0.25">
      <c r="A232" s="51">
        <v>229</v>
      </c>
      <c r="B232" s="65">
        <v>46000</v>
      </c>
      <c r="C232" s="65">
        <v>46001</v>
      </c>
      <c r="D232" s="101">
        <v>251210009</v>
      </c>
      <c r="E232" s="67" t="s">
        <v>547</v>
      </c>
      <c r="F232" s="67" t="s">
        <v>548</v>
      </c>
      <c r="G232" s="67">
        <v>43</v>
      </c>
      <c r="H232" s="97">
        <v>53</v>
      </c>
      <c r="I232" s="106" t="s">
        <v>430</v>
      </c>
      <c r="J232" s="18" t="s">
        <v>23</v>
      </c>
      <c r="K232" s="19" t="s">
        <v>32</v>
      </c>
      <c r="L232" s="101" t="s">
        <v>323</v>
      </c>
      <c r="M232" s="67" t="s">
        <v>515</v>
      </c>
      <c r="N232" s="80">
        <v>59</v>
      </c>
      <c r="O232" s="80">
        <v>15.34</v>
      </c>
      <c r="P232" s="71">
        <f t="shared" si="34"/>
        <v>43.66</v>
      </c>
      <c r="Q232" s="72">
        <v>355</v>
      </c>
      <c r="R232" s="73">
        <f t="shared" si="33"/>
        <v>15499.3</v>
      </c>
      <c r="S232" s="72"/>
      <c r="T232" s="74"/>
      <c r="V232" s="74" t="s">
        <v>24</v>
      </c>
      <c r="W232" s="72">
        <v>145</v>
      </c>
      <c r="X232" s="75">
        <f t="shared" si="35"/>
        <v>6330.7</v>
      </c>
      <c r="Y232" s="76">
        <v>200</v>
      </c>
      <c r="Z232" s="76">
        <f t="shared" si="36"/>
        <v>8732</v>
      </c>
      <c r="AA232" s="74">
        <f t="shared" si="37"/>
        <v>30562</v>
      </c>
    </row>
    <row r="233" spans="1:38" s="77" customFormat="1" ht="15.75" x14ac:dyDescent="0.25">
      <c r="A233" s="51">
        <v>230</v>
      </c>
      <c r="B233" s="65">
        <v>46000</v>
      </c>
      <c r="C233" s="65">
        <v>46001</v>
      </c>
      <c r="D233" s="101">
        <v>251210012</v>
      </c>
      <c r="E233" s="67" t="s">
        <v>549</v>
      </c>
      <c r="F233" s="67" t="s">
        <v>550</v>
      </c>
      <c r="G233" s="67">
        <v>51</v>
      </c>
      <c r="H233" s="97">
        <v>53</v>
      </c>
      <c r="I233" s="106" t="s">
        <v>430</v>
      </c>
      <c r="J233" s="18" t="s">
        <v>23</v>
      </c>
      <c r="K233" s="19" t="s">
        <v>32</v>
      </c>
      <c r="L233" s="104" t="s">
        <v>328</v>
      </c>
      <c r="M233" s="67" t="s">
        <v>58</v>
      </c>
      <c r="N233" s="80">
        <v>69.06</v>
      </c>
      <c r="O233" s="80">
        <v>15.5</v>
      </c>
      <c r="P233" s="71">
        <f t="shared" si="34"/>
        <v>53.56</v>
      </c>
      <c r="Q233" s="72">
        <v>255</v>
      </c>
      <c r="R233" s="73">
        <f t="shared" si="33"/>
        <v>13657.800000000001</v>
      </c>
      <c r="S233" s="72"/>
      <c r="T233" s="74"/>
      <c r="V233" s="74" t="s">
        <v>24</v>
      </c>
      <c r="W233" s="72">
        <v>145</v>
      </c>
      <c r="X233" s="75">
        <f t="shared" si="35"/>
        <v>7766.2000000000007</v>
      </c>
      <c r="Y233" s="76">
        <v>200</v>
      </c>
      <c r="Z233" s="76">
        <f t="shared" si="36"/>
        <v>10712</v>
      </c>
      <c r="AA233" s="74">
        <f t="shared" si="37"/>
        <v>32136</v>
      </c>
    </row>
    <row r="234" spans="1:38" s="81" customFormat="1" ht="15.75" x14ac:dyDescent="0.25">
      <c r="A234" s="51">
        <v>231</v>
      </c>
      <c r="B234" s="65">
        <v>46000</v>
      </c>
      <c r="C234" s="65">
        <v>46001</v>
      </c>
      <c r="D234" s="101">
        <v>251210011</v>
      </c>
      <c r="E234" s="67" t="s">
        <v>551</v>
      </c>
      <c r="F234" s="67" t="s">
        <v>552</v>
      </c>
      <c r="G234" s="67">
        <v>44</v>
      </c>
      <c r="H234" s="113">
        <v>122</v>
      </c>
      <c r="I234" s="19" t="s">
        <v>553</v>
      </c>
      <c r="J234" s="20" t="s">
        <v>23</v>
      </c>
      <c r="K234" s="19" t="s">
        <v>32</v>
      </c>
      <c r="L234" s="104" t="s">
        <v>379</v>
      </c>
      <c r="M234" s="67" t="s">
        <v>306</v>
      </c>
      <c r="N234" s="80">
        <v>60.48</v>
      </c>
      <c r="O234" s="80">
        <v>15.88</v>
      </c>
      <c r="P234" s="71">
        <f t="shared" si="34"/>
        <v>44.599999999999994</v>
      </c>
      <c r="Q234" s="72">
        <v>415</v>
      </c>
      <c r="R234" s="73">
        <f t="shared" si="33"/>
        <v>18508.999999999996</v>
      </c>
      <c r="S234" s="72"/>
      <c r="T234" s="74"/>
      <c r="V234" s="74" t="s">
        <v>24</v>
      </c>
      <c r="W234" s="72">
        <v>145</v>
      </c>
      <c r="X234" s="75">
        <f t="shared" si="35"/>
        <v>6466.9999999999991</v>
      </c>
      <c r="Y234" s="76">
        <v>230</v>
      </c>
      <c r="Z234" s="74">
        <f t="shared" si="36"/>
        <v>10257.999999999998</v>
      </c>
      <c r="AA234" s="74">
        <f t="shared" si="37"/>
        <v>35233.999999999993</v>
      </c>
    </row>
    <row r="235" spans="1:38" s="81" customFormat="1" ht="15.75" x14ac:dyDescent="0.25">
      <c r="A235" s="51">
        <v>232</v>
      </c>
      <c r="B235" s="65">
        <v>46000</v>
      </c>
      <c r="C235" s="65">
        <v>46001</v>
      </c>
      <c r="D235" s="101">
        <v>251210013</v>
      </c>
      <c r="E235" s="67" t="s">
        <v>554</v>
      </c>
      <c r="F235" s="67" t="s">
        <v>555</v>
      </c>
      <c r="G235" s="67">
        <v>31</v>
      </c>
      <c r="H235" s="113">
        <v>122</v>
      </c>
      <c r="I235" s="19" t="s">
        <v>553</v>
      </c>
      <c r="J235" s="20" t="s">
        <v>23</v>
      </c>
      <c r="K235" s="19" t="s">
        <v>32</v>
      </c>
      <c r="L235" s="104" t="s">
        <v>56</v>
      </c>
      <c r="M235" s="67" t="s">
        <v>306</v>
      </c>
      <c r="N235" s="80">
        <v>43.52</v>
      </c>
      <c r="O235" s="80">
        <v>11.68</v>
      </c>
      <c r="P235" s="71">
        <f t="shared" si="34"/>
        <v>31.840000000000003</v>
      </c>
      <c r="Q235" s="72">
        <v>415</v>
      </c>
      <c r="R235" s="73">
        <f t="shared" si="33"/>
        <v>13213.600000000002</v>
      </c>
      <c r="S235" s="72"/>
      <c r="T235" s="74"/>
      <c r="V235" s="74" t="s">
        <v>24</v>
      </c>
      <c r="W235" s="72">
        <v>145</v>
      </c>
      <c r="X235" s="75">
        <f t="shared" si="35"/>
        <v>4616.8</v>
      </c>
      <c r="Y235" s="76">
        <v>230</v>
      </c>
      <c r="Z235" s="74">
        <f t="shared" si="36"/>
        <v>7323.2000000000007</v>
      </c>
      <c r="AA235" s="74">
        <f t="shared" si="37"/>
        <v>25153.600000000002</v>
      </c>
    </row>
    <row r="236" spans="1:38" s="77" customFormat="1" ht="15.75" x14ac:dyDescent="0.25">
      <c r="A236" s="51">
        <v>233</v>
      </c>
      <c r="B236" s="65">
        <v>46000</v>
      </c>
      <c r="C236" s="65">
        <v>46001</v>
      </c>
      <c r="D236" s="101">
        <v>251210014</v>
      </c>
      <c r="E236" s="67" t="s">
        <v>556</v>
      </c>
      <c r="F236" s="67" t="s">
        <v>557</v>
      </c>
      <c r="G236" s="67">
        <v>33</v>
      </c>
      <c r="H236" s="113">
        <v>122</v>
      </c>
      <c r="I236" s="19" t="s">
        <v>553</v>
      </c>
      <c r="J236" s="20" t="s">
        <v>23</v>
      </c>
      <c r="K236" s="19" t="s">
        <v>32</v>
      </c>
      <c r="L236" s="101" t="s">
        <v>45</v>
      </c>
      <c r="M236" s="67" t="s">
        <v>306</v>
      </c>
      <c r="N236" s="80">
        <v>45.36</v>
      </c>
      <c r="O236" s="67">
        <v>11.82</v>
      </c>
      <c r="P236" s="71">
        <f t="shared" si="34"/>
        <v>33.54</v>
      </c>
      <c r="Q236" s="72">
        <v>415</v>
      </c>
      <c r="R236" s="73">
        <f t="shared" si="33"/>
        <v>13919.1</v>
      </c>
      <c r="S236" s="72"/>
      <c r="T236" s="74"/>
      <c r="V236" s="74" t="s">
        <v>24</v>
      </c>
      <c r="W236" s="72">
        <v>145</v>
      </c>
      <c r="X236" s="75">
        <f t="shared" si="35"/>
        <v>4863.3</v>
      </c>
      <c r="Y236" s="76">
        <v>230</v>
      </c>
      <c r="Z236" s="74">
        <f t="shared" si="36"/>
        <v>7714.2</v>
      </c>
      <c r="AA236" s="74">
        <f t="shared" si="37"/>
        <v>26496.600000000002</v>
      </c>
    </row>
    <row r="237" spans="1:38" s="77" customFormat="1" ht="15.75" x14ac:dyDescent="0.25">
      <c r="A237" s="51">
        <v>234</v>
      </c>
      <c r="B237" s="65">
        <v>46000</v>
      </c>
      <c r="C237" s="65">
        <v>46001</v>
      </c>
      <c r="D237" s="101">
        <v>251210015</v>
      </c>
      <c r="E237" s="67" t="s">
        <v>558</v>
      </c>
      <c r="F237" s="67" t="s">
        <v>559</v>
      </c>
      <c r="G237" s="67">
        <v>42</v>
      </c>
      <c r="H237" s="113">
        <v>122</v>
      </c>
      <c r="I237" s="19" t="s">
        <v>553</v>
      </c>
      <c r="J237" s="20" t="s">
        <v>23</v>
      </c>
      <c r="K237" s="19" t="s">
        <v>32</v>
      </c>
      <c r="L237" s="108" t="s">
        <v>165</v>
      </c>
      <c r="M237" s="67" t="s">
        <v>306</v>
      </c>
      <c r="N237" s="80">
        <v>57.88</v>
      </c>
      <c r="O237" s="80">
        <v>15.84</v>
      </c>
      <c r="P237" s="71">
        <f t="shared" si="34"/>
        <v>42.040000000000006</v>
      </c>
      <c r="Q237" s="72">
        <v>415</v>
      </c>
      <c r="R237" s="73">
        <f t="shared" si="33"/>
        <v>17446.600000000002</v>
      </c>
      <c r="S237" s="72"/>
      <c r="T237" s="74"/>
      <c r="V237" s="74" t="s">
        <v>24</v>
      </c>
      <c r="W237" s="72">
        <v>145</v>
      </c>
      <c r="X237" s="75">
        <f t="shared" si="35"/>
        <v>6095.8000000000011</v>
      </c>
      <c r="Y237" s="76">
        <v>230</v>
      </c>
      <c r="Z237" s="74">
        <f t="shared" si="36"/>
        <v>9669.2000000000007</v>
      </c>
      <c r="AA237" s="74">
        <f t="shared" si="37"/>
        <v>33211.600000000006</v>
      </c>
    </row>
    <row r="238" spans="1:38" s="77" customFormat="1" ht="15.75" x14ac:dyDescent="0.25">
      <c r="A238" s="51">
        <v>235</v>
      </c>
      <c r="B238" s="65">
        <v>46001</v>
      </c>
      <c r="C238" s="65">
        <v>46001</v>
      </c>
      <c r="D238" s="101">
        <v>251210016</v>
      </c>
      <c r="E238" s="67" t="s">
        <v>560</v>
      </c>
      <c r="F238" s="67" t="s">
        <v>561</v>
      </c>
      <c r="G238" s="67">
        <v>37</v>
      </c>
      <c r="H238" s="97">
        <v>53</v>
      </c>
      <c r="I238" s="106" t="s">
        <v>430</v>
      </c>
      <c r="J238" s="18" t="s">
        <v>23</v>
      </c>
      <c r="K238" s="19" t="s">
        <v>32</v>
      </c>
      <c r="L238" s="104" t="s">
        <v>331</v>
      </c>
      <c r="M238" s="67" t="s">
        <v>58</v>
      </c>
      <c r="N238" s="67">
        <v>48.82</v>
      </c>
      <c r="O238" s="67">
        <v>11.46</v>
      </c>
      <c r="P238" s="71">
        <f t="shared" si="34"/>
        <v>37.36</v>
      </c>
      <c r="Q238" s="72">
        <v>255</v>
      </c>
      <c r="R238" s="73">
        <f t="shared" si="33"/>
        <v>9526.7999999999993</v>
      </c>
      <c r="S238" s="72"/>
      <c r="T238" s="74"/>
      <c r="V238" s="74" t="s">
        <v>24</v>
      </c>
      <c r="W238" s="72">
        <v>145</v>
      </c>
      <c r="X238" s="75">
        <f t="shared" ref="X238:X267" si="38">W238*P238</f>
        <v>5417.2</v>
      </c>
      <c r="Y238" s="76">
        <v>200</v>
      </c>
      <c r="Z238" s="74">
        <f t="shared" ref="Z238:Z267" si="39">Y238*P238</f>
        <v>7472</v>
      </c>
      <c r="AA238" s="74">
        <f t="shared" ref="AA238:AA267" si="40">R238+X238+Z238</f>
        <v>22416</v>
      </c>
    </row>
    <row r="239" spans="1:38" s="77" customFormat="1" ht="15.75" x14ac:dyDescent="0.25">
      <c r="A239" s="51">
        <v>236</v>
      </c>
      <c r="B239" s="65">
        <v>46001</v>
      </c>
      <c r="C239" s="65">
        <v>46001</v>
      </c>
      <c r="D239" s="101">
        <v>251210017</v>
      </c>
      <c r="E239" s="67" t="s">
        <v>562</v>
      </c>
      <c r="F239" s="67" t="s">
        <v>563</v>
      </c>
      <c r="G239" s="67">
        <v>48</v>
      </c>
      <c r="H239" s="97">
        <v>53</v>
      </c>
      <c r="I239" s="106" t="s">
        <v>430</v>
      </c>
      <c r="J239" s="18" t="s">
        <v>23</v>
      </c>
      <c r="K239" s="19" t="s">
        <v>32</v>
      </c>
      <c r="L239" s="104" t="s">
        <v>40</v>
      </c>
      <c r="M239" s="67" t="s">
        <v>58</v>
      </c>
      <c r="N239" s="67">
        <v>63.54</v>
      </c>
      <c r="O239" s="67">
        <v>15</v>
      </c>
      <c r="P239" s="71">
        <f t="shared" si="34"/>
        <v>48.54</v>
      </c>
      <c r="Q239" s="72">
        <v>255</v>
      </c>
      <c r="R239" s="73">
        <f t="shared" si="33"/>
        <v>12377.699999999999</v>
      </c>
      <c r="S239" s="72"/>
      <c r="T239" s="74"/>
      <c r="V239" s="74" t="s">
        <v>24</v>
      </c>
      <c r="W239" s="72">
        <v>145</v>
      </c>
      <c r="X239" s="75">
        <f t="shared" si="38"/>
        <v>7038.3</v>
      </c>
      <c r="Y239" s="76">
        <v>200</v>
      </c>
      <c r="Z239" s="76">
        <f t="shared" si="39"/>
        <v>9708</v>
      </c>
      <c r="AA239" s="74">
        <f t="shared" si="40"/>
        <v>29124</v>
      </c>
    </row>
    <row r="240" spans="1:38" s="77" customFormat="1" ht="15.75" x14ac:dyDescent="0.25">
      <c r="A240" s="51">
        <v>237</v>
      </c>
      <c r="B240" s="65">
        <v>46001</v>
      </c>
      <c r="C240" s="65">
        <v>46001</v>
      </c>
      <c r="D240" s="101">
        <v>251210018</v>
      </c>
      <c r="E240" s="67" t="s">
        <v>564</v>
      </c>
      <c r="F240" s="67" t="s">
        <v>565</v>
      </c>
      <c r="G240" s="67">
        <v>45</v>
      </c>
      <c r="H240" s="97">
        <v>53</v>
      </c>
      <c r="I240" s="106" t="s">
        <v>430</v>
      </c>
      <c r="J240" s="18" t="s">
        <v>23</v>
      </c>
      <c r="K240" s="19" t="s">
        <v>32</v>
      </c>
      <c r="L240" s="104" t="s">
        <v>54</v>
      </c>
      <c r="M240" s="67" t="s">
        <v>58</v>
      </c>
      <c r="N240" s="67">
        <v>60.94</v>
      </c>
      <c r="O240" s="67">
        <v>14.98</v>
      </c>
      <c r="P240" s="71">
        <f t="shared" si="34"/>
        <v>45.959999999999994</v>
      </c>
      <c r="Q240" s="72">
        <v>255</v>
      </c>
      <c r="R240" s="73">
        <f t="shared" si="33"/>
        <v>11719.8</v>
      </c>
      <c r="S240" s="72"/>
      <c r="T240" s="74"/>
      <c r="V240" s="74" t="s">
        <v>24</v>
      </c>
      <c r="W240" s="72">
        <v>145</v>
      </c>
      <c r="X240" s="75">
        <f t="shared" si="38"/>
        <v>6664.1999999999989</v>
      </c>
      <c r="Y240" s="76">
        <v>200</v>
      </c>
      <c r="Z240" s="76">
        <f t="shared" si="39"/>
        <v>9191.9999999999982</v>
      </c>
      <c r="AA240" s="74">
        <f t="shared" si="40"/>
        <v>27576</v>
      </c>
    </row>
    <row r="241" spans="1:38" s="77" customFormat="1" ht="15.75" x14ac:dyDescent="0.25">
      <c r="A241" s="51">
        <v>238</v>
      </c>
      <c r="B241" s="65">
        <v>46001</v>
      </c>
      <c r="C241" s="65">
        <v>46001</v>
      </c>
      <c r="D241" s="101">
        <v>251210019</v>
      </c>
      <c r="E241" s="67" t="s">
        <v>566</v>
      </c>
      <c r="F241" s="67" t="s">
        <v>567</v>
      </c>
      <c r="G241" s="67">
        <v>48</v>
      </c>
      <c r="H241" s="97">
        <v>53</v>
      </c>
      <c r="I241" s="106" t="s">
        <v>430</v>
      </c>
      <c r="J241" s="18" t="s">
        <v>23</v>
      </c>
      <c r="K241" s="19" t="s">
        <v>32</v>
      </c>
      <c r="L241" s="104" t="s">
        <v>514</v>
      </c>
      <c r="M241" s="67" t="s">
        <v>58</v>
      </c>
      <c r="N241" s="67">
        <v>63.78</v>
      </c>
      <c r="O241" s="67">
        <v>15.3</v>
      </c>
      <c r="P241" s="71">
        <f t="shared" si="34"/>
        <v>48.480000000000004</v>
      </c>
      <c r="Q241" s="72">
        <v>255</v>
      </c>
      <c r="R241" s="73">
        <f t="shared" si="33"/>
        <v>12362.400000000001</v>
      </c>
      <c r="S241" s="72"/>
      <c r="T241" s="74"/>
      <c r="V241" s="74" t="s">
        <v>24</v>
      </c>
      <c r="W241" s="72">
        <v>145</v>
      </c>
      <c r="X241" s="75">
        <f t="shared" si="38"/>
        <v>7029.6</v>
      </c>
      <c r="Y241" s="76">
        <v>200</v>
      </c>
      <c r="Z241" s="76">
        <f t="shared" si="39"/>
        <v>9696</v>
      </c>
      <c r="AA241" s="74">
        <f t="shared" si="40"/>
        <v>29088</v>
      </c>
    </row>
    <row r="242" spans="1:38" s="77" customFormat="1" ht="15.75" x14ac:dyDescent="0.25">
      <c r="A242" s="51">
        <v>239</v>
      </c>
      <c r="B242" s="65">
        <v>46001</v>
      </c>
      <c r="C242" s="65">
        <v>46001</v>
      </c>
      <c r="D242" s="101">
        <v>251210020</v>
      </c>
      <c r="E242" s="67" t="s">
        <v>568</v>
      </c>
      <c r="F242" s="67" t="s">
        <v>569</v>
      </c>
      <c r="G242" s="67">
        <v>36</v>
      </c>
      <c r="H242" s="97">
        <v>53</v>
      </c>
      <c r="I242" s="106" t="s">
        <v>430</v>
      </c>
      <c r="J242" s="18" t="s">
        <v>23</v>
      </c>
      <c r="K242" s="19" t="s">
        <v>32</v>
      </c>
      <c r="L242" s="104" t="s">
        <v>47</v>
      </c>
      <c r="M242" s="67" t="s">
        <v>58</v>
      </c>
      <c r="N242" s="67">
        <v>48.08</v>
      </c>
      <c r="O242" s="67">
        <v>11.26</v>
      </c>
      <c r="P242" s="71">
        <f t="shared" si="34"/>
        <v>36.82</v>
      </c>
      <c r="Q242" s="72">
        <v>255</v>
      </c>
      <c r="R242" s="73">
        <f t="shared" si="33"/>
        <v>9389.1</v>
      </c>
      <c r="S242" s="72"/>
      <c r="T242" s="74"/>
      <c r="V242" s="74" t="s">
        <v>24</v>
      </c>
      <c r="W242" s="72">
        <v>145</v>
      </c>
      <c r="X242" s="75">
        <f t="shared" si="38"/>
        <v>5338.9</v>
      </c>
      <c r="Y242" s="76">
        <v>200</v>
      </c>
      <c r="Z242" s="76">
        <f t="shared" si="39"/>
        <v>7364</v>
      </c>
      <c r="AA242" s="74">
        <f t="shared" si="40"/>
        <v>22092</v>
      </c>
    </row>
    <row r="243" spans="1:38" s="81" customFormat="1" ht="15.75" x14ac:dyDescent="0.25">
      <c r="A243" s="51">
        <v>240</v>
      </c>
      <c r="B243" s="65">
        <v>46001</v>
      </c>
      <c r="C243" s="65">
        <v>46001</v>
      </c>
      <c r="D243" s="101">
        <v>251210021</v>
      </c>
      <c r="E243" s="67" t="s">
        <v>570</v>
      </c>
      <c r="F243" s="67" t="s">
        <v>571</v>
      </c>
      <c r="G243" s="67">
        <v>47</v>
      </c>
      <c r="H243" s="97">
        <v>53</v>
      </c>
      <c r="I243" s="106" t="s">
        <v>430</v>
      </c>
      <c r="J243" s="18" t="s">
        <v>23</v>
      </c>
      <c r="K243" s="19" t="s">
        <v>32</v>
      </c>
      <c r="L243" s="104" t="s">
        <v>418</v>
      </c>
      <c r="M243" s="67" t="s">
        <v>58</v>
      </c>
      <c r="N243" s="80">
        <v>66.2</v>
      </c>
      <c r="O243" s="67">
        <v>18.12</v>
      </c>
      <c r="P243" s="71">
        <f t="shared" si="34"/>
        <v>48.08</v>
      </c>
      <c r="Q243" s="72">
        <v>255</v>
      </c>
      <c r="R243" s="73">
        <f t="shared" si="33"/>
        <v>12260.4</v>
      </c>
      <c r="S243" s="72"/>
      <c r="T243" s="74"/>
      <c r="V243" s="74" t="s">
        <v>24</v>
      </c>
      <c r="W243" s="72">
        <v>145</v>
      </c>
      <c r="X243" s="75">
        <f t="shared" si="38"/>
        <v>6971.5999999999995</v>
      </c>
      <c r="Y243" s="76">
        <v>200</v>
      </c>
      <c r="Z243" s="76">
        <f t="shared" si="39"/>
        <v>9616</v>
      </c>
      <c r="AA243" s="74">
        <f t="shared" si="40"/>
        <v>28848</v>
      </c>
    </row>
    <row r="244" spans="1:38" s="77" customFormat="1" ht="15.75" x14ac:dyDescent="0.25">
      <c r="A244" s="51">
        <v>241</v>
      </c>
      <c r="B244" s="65">
        <v>46001</v>
      </c>
      <c r="C244" s="65">
        <v>46001</v>
      </c>
      <c r="D244" s="101">
        <v>251210022</v>
      </c>
      <c r="E244" s="67" t="s">
        <v>572</v>
      </c>
      <c r="F244" s="67" t="s">
        <v>573</v>
      </c>
      <c r="G244" s="67">
        <v>44</v>
      </c>
      <c r="H244" s="97">
        <v>53</v>
      </c>
      <c r="I244" s="106" t="s">
        <v>430</v>
      </c>
      <c r="J244" s="18" t="s">
        <v>23</v>
      </c>
      <c r="K244" s="19" t="s">
        <v>32</v>
      </c>
      <c r="L244" s="104" t="s">
        <v>38</v>
      </c>
      <c r="M244" s="67" t="s">
        <v>58</v>
      </c>
      <c r="N244" s="80">
        <v>60</v>
      </c>
      <c r="O244" s="67">
        <v>15.86</v>
      </c>
      <c r="P244" s="71">
        <f t="shared" si="34"/>
        <v>44.14</v>
      </c>
      <c r="Q244" s="72">
        <v>255</v>
      </c>
      <c r="R244" s="73">
        <f t="shared" si="33"/>
        <v>11255.7</v>
      </c>
      <c r="S244" s="72"/>
      <c r="T244" s="74"/>
      <c r="V244" s="74" t="s">
        <v>24</v>
      </c>
      <c r="W244" s="72">
        <v>145</v>
      </c>
      <c r="X244" s="75">
        <f t="shared" si="38"/>
        <v>6400.3</v>
      </c>
      <c r="Y244" s="76">
        <v>200</v>
      </c>
      <c r="Z244" s="76">
        <f t="shared" si="39"/>
        <v>8828</v>
      </c>
      <c r="AA244" s="74">
        <f t="shared" si="40"/>
        <v>26484</v>
      </c>
    </row>
    <row r="245" spans="1:38" s="77" customFormat="1" ht="15.75" x14ac:dyDescent="0.25">
      <c r="A245" s="51">
        <v>242</v>
      </c>
      <c r="B245" s="65">
        <v>46001</v>
      </c>
      <c r="C245" s="65">
        <v>46001</v>
      </c>
      <c r="D245" s="66" t="s">
        <v>574</v>
      </c>
      <c r="E245" s="67"/>
      <c r="F245" s="67"/>
      <c r="G245" s="67"/>
      <c r="H245" s="111"/>
      <c r="I245" s="114" t="s">
        <v>527</v>
      </c>
      <c r="J245" s="18" t="s">
        <v>23</v>
      </c>
      <c r="K245" s="19" t="s">
        <v>32</v>
      </c>
      <c r="L245" s="104" t="s">
        <v>575</v>
      </c>
      <c r="M245" s="67" t="s">
        <v>49</v>
      </c>
      <c r="N245" s="80">
        <v>52.78</v>
      </c>
      <c r="O245" s="80">
        <v>18.16</v>
      </c>
      <c r="P245" s="71">
        <f t="shared" si="34"/>
        <v>34.620000000000005</v>
      </c>
      <c r="Q245" s="72">
        <v>150</v>
      </c>
      <c r="R245" s="73">
        <f t="shared" si="33"/>
        <v>5193.0000000000009</v>
      </c>
      <c r="S245" s="72"/>
      <c r="T245" s="74"/>
      <c r="V245" s="74" t="s">
        <v>53</v>
      </c>
      <c r="W245" s="72"/>
      <c r="X245" s="75">
        <f t="shared" si="38"/>
        <v>0</v>
      </c>
      <c r="Y245" s="76"/>
      <c r="Z245" s="76">
        <f t="shared" si="39"/>
        <v>0</v>
      </c>
      <c r="AA245" s="74">
        <f t="shared" si="40"/>
        <v>5193.0000000000009</v>
      </c>
    </row>
    <row r="246" spans="1:38" s="77" customFormat="1" ht="15.75" x14ac:dyDescent="0.25">
      <c r="A246" s="51">
        <v>243</v>
      </c>
      <c r="B246" s="65">
        <v>46001</v>
      </c>
      <c r="C246" s="65">
        <v>46001</v>
      </c>
      <c r="D246" s="66" t="s">
        <v>576</v>
      </c>
      <c r="E246" s="67"/>
      <c r="F246" s="67"/>
      <c r="G246" s="67"/>
      <c r="H246" s="111"/>
      <c r="I246" s="114" t="s">
        <v>527</v>
      </c>
      <c r="J246" s="18" t="s">
        <v>23</v>
      </c>
      <c r="K246" s="19" t="s">
        <v>32</v>
      </c>
      <c r="L246" s="104" t="s">
        <v>528</v>
      </c>
      <c r="M246" s="67" t="s">
        <v>49</v>
      </c>
      <c r="N246" s="80">
        <v>54.84</v>
      </c>
      <c r="O246" s="80">
        <v>18</v>
      </c>
      <c r="P246" s="71">
        <f t="shared" si="34"/>
        <v>36.840000000000003</v>
      </c>
      <c r="Q246" s="72">
        <v>150</v>
      </c>
      <c r="R246" s="73">
        <f t="shared" si="33"/>
        <v>5526.0000000000009</v>
      </c>
      <c r="S246" s="72"/>
      <c r="T246" s="74"/>
      <c r="V246" s="74" t="s">
        <v>53</v>
      </c>
      <c r="W246" s="72"/>
      <c r="X246" s="75">
        <f t="shared" si="38"/>
        <v>0</v>
      </c>
      <c r="Y246" s="76"/>
      <c r="Z246" s="76">
        <f t="shared" si="39"/>
        <v>0</v>
      </c>
      <c r="AA246" s="74">
        <f t="shared" si="40"/>
        <v>5526.0000000000009</v>
      </c>
    </row>
    <row r="247" spans="1:38" s="77" customFormat="1" ht="17.100000000000001" customHeight="1" x14ac:dyDescent="0.25">
      <c r="A247" s="51">
        <v>244</v>
      </c>
      <c r="B247" s="65">
        <v>46001</v>
      </c>
      <c r="C247" s="65">
        <v>46001</v>
      </c>
      <c r="D247" s="66" t="s">
        <v>577</v>
      </c>
      <c r="E247" s="67"/>
      <c r="F247" s="67"/>
      <c r="G247" s="67"/>
      <c r="H247" s="94">
        <v>270</v>
      </c>
      <c r="I247" s="95" t="s">
        <v>578</v>
      </c>
      <c r="J247" s="20" t="s">
        <v>23</v>
      </c>
      <c r="K247" s="19" t="s">
        <v>30</v>
      </c>
      <c r="L247" s="104" t="s">
        <v>579</v>
      </c>
      <c r="M247" s="67" t="s">
        <v>31</v>
      </c>
      <c r="N247" s="80">
        <v>8.2799999999999994</v>
      </c>
      <c r="O247" s="80">
        <v>3.26</v>
      </c>
      <c r="P247" s="71">
        <f t="shared" si="34"/>
        <v>5.0199999999999996</v>
      </c>
      <c r="Q247" s="72">
        <v>150</v>
      </c>
      <c r="R247" s="73">
        <f t="shared" si="33"/>
        <v>752.99999999999989</v>
      </c>
      <c r="S247" s="72">
        <v>753</v>
      </c>
      <c r="T247" s="74"/>
      <c r="V247" s="74" t="s">
        <v>24</v>
      </c>
      <c r="W247" s="72"/>
      <c r="X247" s="75">
        <f t="shared" si="38"/>
        <v>0</v>
      </c>
      <c r="Y247" s="76"/>
      <c r="Z247" s="76">
        <f t="shared" si="39"/>
        <v>0</v>
      </c>
      <c r="AA247" s="74">
        <f t="shared" si="40"/>
        <v>752.99999999999989</v>
      </c>
      <c r="AB247" s="83"/>
      <c r="AC247" s="82"/>
      <c r="AD247" s="84"/>
      <c r="AE247" s="85"/>
      <c r="AF247" s="82"/>
      <c r="AG247" s="85"/>
      <c r="AH247" s="82"/>
      <c r="AI247" s="84"/>
      <c r="AJ247" s="82"/>
      <c r="AK247" s="84"/>
      <c r="AL247" s="84"/>
    </row>
    <row r="248" spans="1:38" s="77" customFormat="1" ht="15.75" x14ac:dyDescent="0.25">
      <c r="A248" s="51">
        <v>245</v>
      </c>
      <c r="B248" s="65">
        <v>46001</v>
      </c>
      <c r="C248" s="65">
        <v>46001</v>
      </c>
      <c r="D248" s="101">
        <v>251210025</v>
      </c>
      <c r="E248" s="67" t="s">
        <v>580</v>
      </c>
      <c r="F248" s="67" t="s">
        <v>581</v>
      </c>
      <c r="G248" s="67">
        <v>49</v>
      </c>
      <c r="H248" s="97">
        <v>24</v>
      </c>
      <c r="I248" s="87" t="s">
        <v>199</v>
      </c>
      <c r="J248" s="18" t="s">
        <v>23</v>
      </c>
      <c r="K248" s="19" t="s">
        <v>32</v>
      </c>
      <c r="L248" s="104" t="s">
        <v>418</v>
      </c>
      <c r="M248" s="67" t="s">
        <v>34</v>
      </c>
      <c r="N248" s="80">
        <v>68.099999999999994</v>
      </c>
      <c r="O248" s="80">
        <v>18.36</v>
      </c>
      <c r="P248" s="71">
        <f t="shared" si="34"/>
        <v>49.739999999999995</v>
      </c>
      <c r="Q248" s="72">
        <v>335</v>
      </c>
      <c r="R248" s="73">
        <f t="shared" si="33"/>
        <v>16662.899999999998</v>
      </c>
      <c r="S248" s="72"/>
      <c r="T248" s="74"/>
      <c r="V248" s="74" t="s">
        <v>24</v>
      </c>
      <c r="W248" s="72">
        <v>145</v>
      </c>
      <c r="X248" s="75">
        <f t="shared" si="38"/>
        <v>7212.2999999999993</v>
      </c>
      <c r="Y248" s="76">
        <v>260</v>
      </c>
      <c r="Z248" s="76">
        <f t="shared" si="39"/>
        <v>12932.399999999998</v>
      </c>
      <c r="AA248" s="74">
        <f t="shared" si="40"/>
        <v>36807.599999999991</v>
      </c>
    </row>
    <row r="249" spans="1:38" s="77" customFormat="1" ht="15.75" x14ac:dyDescent="0.25">
      <c r="A249" s="51">
        <v>246</v>
      </c>
      <c r="B249" s="65">
        <v>46001</v>
      </c>
      <c r="C249" s="65">
        <v>46001</v>
      </c>
      <c r="D249" s="101">
        <v>251210026</v>
      </c>
      <c r="E249" s="67" t="s">
        <v>582</v>
      </c>
      <c r="F249" s="67" t="s">
        <v>583</v>
      </c>
      <c r="G249" s="67">
        <v>43</v>
      </c>
      <c r="H249" s="113">
        <v>125</v>
      </c>
      <c r="I249" s="19" t="s">
        <v>584</v>
      </c>
      <c r="J249" s="20" t="s">
        <v>23</v>
      </c>
      <c r="K249" s="19" t="s">
        <v>32</v>
      </c>
      <c r="L249" s="104" t="s">
        <v>585</v>
      </c>
      <c r="M249" s="67" t="s">
        <v>36</v>
      </c>
      <c r="N249" s="80">
        <v>58.92</v>
      </c>
      <c r="O249" s="80">
        <v>15.08</v>
      </c>
      <c r="P249" s="71">
        <f t="shared" si="34"/>
        <v>43.84</v>
      </c>
      <c r="Q249" s="72">
        <v>575</v>
      </c>
      <c r="R249" s="73">
        <f t="shared" si="33"/>
        <v>25208.000000000004</v>
      </c>
      <c r="S249" s="72"/>
      <c r="T249" s="74"/>
      <c r="V249" s="74" t="s">
        <v>24</v>
      </c>
      <c r="W249" s="72">
        <v>145</v>
      </c>
      <c r="X249" s="75">
        <f t="shared" si="38"/>
        <v>6356.8</v>
      </c>
      <c r="Y249" s="76">
        <v>150</v>
      </c>
      <c r="Z249" s="76">
        <f t="shared" si="39"/>
        <v>6576.0000000000009</v>
      </c>
      <c r="AA249" s="74">
        <f t="shared" si="40"/>
        <v>38140.800000000003</v>
      </c>
    </row>
    <row r="250" spans="1:38" s="77" customFormat="1" ht="15.75" x14ac:dyDescent="0.25">
      <c r="A250" s="51">
        <v>247</v>
      </c>
      <c r="B250" s="65">
        <v>46001</v>
      </c>
      <c r="C250" s="65">
        <v>46001</v>
      </c>
      <c r="D250" s="101">
        <v>251210024</v>
      </c>
      <c r="E250" s="67" t="s">
        <v>586</v>
      </c>
      <c r="F250" s="67" t="s">
        <v>587</v>
      </c>
      <c r="G250" s="67">
        <v>45</v>
      </c>
      <c r="H250" s="113">
        <v>125</v>
      </c>
      <c r="I250" s="19" t="s">
        <v>584</v>
      </c>
      <c r="J250" s="20" t="s">
        <v>23</v>
      </c>
      <c r="K250" s="19" t="s">
        <v>32</v>
      </c>
      <c r="L250" s="101" t="s">
        <v>43</v>
      </c>
      <c r="M250" s="67" t="s">
        <v>36</v>
      </c>
      <c r="N250" s="80">
        <v>61.32</v>
      </c>
      <c r="O250" s="80">
        <v>15.88</v>
      </c>
      <c r="P250" s="71">
        <f t="shared" si="34"/>
        <v>45.44</v>
      </c>
      <c r="Q250" s="72">
        <v>575</v>
      </c>
      <c r="R250" s="73">
        <f t="shared" si="33"/>
        <v>26128</v>
      </c>
      <c r="S250" s="72"/>
      <c r="T250" s="74"/>
      <c r="V250" s="74" t="s">
        <v>24</v>
      </c>
      <c r="W250" s="72">
        <v>145</v>
      </c>
      <c r="X250" s="75">
        <f t="shared" si="38"/>
        <v>6588.7999999999993</v>
      </c>
      <c r="Y250" s="76">
        <v>150</v>
      </c>
      <c r="Z250" s="76">
        <f t="shared" si="39"/>
        <v>6816</v>
      </c>
      <c r="AA250" s="74">
        <f t="shared" si="40"/>
        <v>39532.800000000003</v>
      </c>
    </row>
    <row r="251" spans="1:38" s="77" customFormat="1" ht="15.75" x14ac:dyDescent="0.25">
      <c r="A251" s="51">
        <v>248</v>
      </c>
      <c r="B251" s="65">
        <v>46001</v>
      </c>
      <c r="C251" s="65">
        <v>46001</v>
      </c>
      <c r="D251" s="101">
        <v>251210023</v>
      </c>
      <c r="E251" s="67" t="s">
        <v>588</v>
      </c>
      <c r="F251" s="67" t="s">
        <v>589</v>
      </c>
      <c r="G251" s="67">
        <v>36</v>
      </c>
      <c r="H251" s="113">
        <v>125</v>
      </c>
      <c r="I251" s="19" t="s">
        <v>584</v>
      </c>
      <c r="J251" s="20" t="s">
        <v>23</v>
      </c>
      <c r="K251" s="19" t="s">
        <v>32</v>
      </c>
      <c r="L251" s="104" t="s">
        <v>423</v>
      </c>
      <c r="M251" s="67" t="s">
        <v>36</v>
      </c>
      <c r="N251" s="80">
        <v>48.94</v>
      </c>
      <c r="O251" s="80">
        <v>12.7</v>
      </c>
      <c r="P251" s="71">
        <f t="shared" si="34"/>
        <v>36.239999999999995</v>
      </c>
      <c r="Q251" s="72">
        <v>575</v>
      </c>
      <c r="R251" s="73">
        <f t="shared" si="33"/>
        <v>20837.999999999996</v>
      </c>
      <c r="S251" s="72"/>
      <c r="T251" s="74"/>
      <c r="V251" s="74" t="s">
        <v>24</v>
      </c>
      <c r="W251" s="72">
        <v>145</v>
      </c>
      <c r="X251" s="75">
        <f t="shared" si="38"/>
        <v>5254.7999999999993</v>
      </c>
      <c r="Y251" s="76">
        <v>150</v>
      </c>
      <c r="Z251" s="76">
        <f t="shared" si="39"/>
        <v>5435.9999999999991</v>
      </c>
      <c r="AA251" s="74">
        <f t="shared" si="40"/>
        <v>31528.799999999996</v>
      </c>
    </row>
    <row r="252" spans="1:38" s="81" customFormat="1" ht="15.75" x14ac:dyDescent="0.25">
      <c r="A252" s="51">
        <v>249</v>
      </c>
      <c r="B252" s="65">
        <v>46001</v>
      </c>
      <c r="C252" s="65">
        <v>46002</v>
      </c>
      <c r="D252" s="101">
        <v>251211002</v>
      </c>
      <c r="E252" s="67" t="s">
        <v>590</v>
      </c>
      <c r="F252" s="67" t="s">
        <v>591</v>
      </c>
      <c r="G252" s="67">
        <v>44</v>
      </c>
      <c r="H252" s="113">
        <v>125</v>
      </c>
      <c r="I252" s="19" t="s">
        <v>584</v>
      </c>
      <c r="J252" s="20" t="s">
        <v>23</v>
      </c>
      <c r="K252" s="19" t="s">
        <v>32</v>
      </c>
      <c r="L252" s="104" t="s">
        <v>585</v>
      </c>
      <c r="M252" s="67" t="s">
        <v>36</v>
      </c>
      <c r="N252" s="80">
        <v>59.4</v>
      </c>
      <c r="O252" s="80">
        <v>15.06</v>
      </c>
      <c r="P252" s="71">
        <f t="shared" si="34"/>
        <v>44.339999999999996</v>
      </c>
      <c r="Q252" s="72">
        <v>575</v>
      </c>
      <c r="R252" s="73">
        <f t="shared" si="33"/>
        <v>25495.499999999996</v>
      </c>
      <c r="S252" s="72"/>
      <c r="T252" s="74"/>
      <c r="V252" s="74" t="s">
        <v>24</v>
      </c>
      <c r="W252" s="72">
        <v>145</v>
      </c>
      <c r="X252" s="75">
        <f t="shared" si="38"/>
        <v>6429.2999999999993</v>
      </c>
      <c r="Y252" s="76">
        <v>150</v>
      </c>
      <c r="Z252" s="74">
        <f t="shared" si="39"/>
        <v>6650.9999999999991</v>
      </c>
      <c r="AA252" s="74">
        <f t="shared" si="40"/>
        <v>38575.799999999996</v>
      </c>
    </row>
    <row r="253" spans="1:38" s="81" customFormat="1" ht="15.75" x14ac:dyDescent="0.25">
      <c r="A253" s="51">
        <v>250</v>
      </c>
      <c r="B253" s="65">
        <v>46001</v>
      </c>
      <c r="C253" s="65">
        <v>46002</v>
      </c>
      <c r="D253" s="101">
        <v>251211003</v>
      </c>
      <c r="E253" s="67" t="s">
        <v>592</v>
      </c>
      <c r="F253" s="67" t="s">
        <v>593</v>
      </c>
      <c r="G253" s="67">
        <v>45</v>
      </c>
      <c r="H253" s="113">
        <v>125</v>
      </c>
      <c r="I253" s="19" t="s">
        <v>584</v>
      </c>
      <c r="J253" s="20" t="s">
        <v>23</v>
      </c>
      <c r="K253" s="19" t="s">
        <v>32</v>
      </c>
      <c r="L253" s="104" t="s">
        <v>43</v>
      </c>
      <c r="M253" s="67" t="s">
        <v>36</v>
      </c>
      <c r="N253" s="80">
        <v>61.22</v>
      </c>
      <c r="O253" s="80">
        <v>15.94</v>
      </c>
      <c r="P253" s="71">
        <f t="shared" si="34"/>
        <v>45.28</v>
      </c>
      <c r="Q253" s="72">
        <v>575</v>
      </c>
      <c r="R253" s="73">
        <f t="shared" si="33"/>
        <v>26036</v>
      </c>
      <c r="S253" s="72"/>
      <c r="T253" s="74"/>
      <c r="V253" s="74" t="s">
        <v>24</v>
      </c>
      <c r="W253" s="72">
        <v>145</v>
      </c>
      <c r="X253" s="75">
        <f t="shared" si="38"/>
        <v>6565.6</v>
      </c>
      <c r="Y253" s="76">
        <v>150</v>
      </c>
      <c r="Z253" s="74">
        <f t="shared" si="39"/>
        <v>6792</v>
      </c>
      <c r="AA253" s="74">
        <f t="shared" si="40"/>
        <v>39393.599999999999</v>
      </c>
    </row>
    <row r="254" spans="1:38" s="77" customFormat="1" ht="15.75" x14ac:dyDescent="0.25">
      <c r="A254" s="51">
        <v>251</v>
      </c>
      <c r="B254" s="65">
        <v>46001</v>
      </c>
      <c r="C254" s="65">
        <v>46002</v>
      </c>
      <c r="D254" s="101">
        <v>251211001</v>
      </c>
      <c r="E254" s="67" t="s">
        <v>594</v>
      </c>
      <c r="F254" s="67" t="s">
        <v>595</v>
      </c>
      <c r="G254" s="67">
        <v>37</v>
      </c>
      <c r="H254" s="113">
        <v>125</v>
      </c>
      <c r="I254" s="19" t="s">
        <v>584</v>
      </c>
      <c r="J254" s="20" t="s">
        <v>23</v>
      </c>
      <c r="K254" s="19" t="s">
        <v>32</v>
      </c>
      <c r="L254" s="101" t="s">
        <v>423</v>
      </c>
      <c r="M254" s="67" t="s">
        <v>36</v>
      </c>
      <c r="N254" s="80">
        <v>49.8</v>
      </c>
      <c r="O254" s="67">
        <v>12.66</v>
      </c>
      <c r="P254" s="71">
        <f t="shared" si="34"/>
        <v>37.14</v>
      </c>
      <c r="Q254" s="72">
        <v>575</v>
      </c>
      <c r="R254" s="73">
        <f t="shared" si="33"/>
        <v>21355.5</v>
      </c>
      <c r="S254" s="72"/>
      <c r="T254" s="74"/>
      <c r="V254" s="74" t="s">
        <v>24</v>
      </c>
      <c r="W254" s="72">
        <v>145</v>
      </c>
      <c r="X254" s="75">
        <f t="shared" si="38"/>
        <v>5385.3</v>
      </c>
      <c r="Y254" s="76">
        <v>150</v>
      </c>
      <c r="Z254" s="74">
        <f t="shared" si="39"/>
        <v>5571</v>
      </c>
      <c r="AA254" s="74">
        <f t="shared" si="40"/>
        <v>32311.8</v>
      </c>
    </row>
    <row r="255" spans="1:38" s="77" customFormat="1" ht="15.75" x14ac:dyDescent="0.25">
      <c r="A255" s="51">
        <v>252</v>
      </c>
      <c r="B255" s="65">
        <v>46001</v>
      </c>
      <c r="C255" s="65">
        <v>46002</v>
      </c>
      <c r="D255" s="101">
        <v>251210027</v>
      </c>
      <c r="E255" s="67" t="s">
        <v>596</v>
      </c>
      <c r="F255" s="67" t="s">
        <v>597</v>
      </c>
      <c r="G255" s="67">
        <v>44</v>
      </c>
      <c r="H255" s="100">
        <v>130</v>
      </c>
      <c r="I255" s="19" t="s">
        <v>598</v>
      </c>
      <c r="J255" s="20" t="s">
        <v>23</v>
      </c>
      <c r="K255" s="19" t="s">
        <v>32</v>
      </c>
      <c r="L255" s="108" t="s">
        <v>599</v>
      </c>
      <c r="M255" s="67" t="s">
        <v>36</v>
      </c>
      <c r="N255" s="80">
        <v>60.36</v>
      </c>
      <c r="O255" s="80">
        <v>15.5</v>
      </c>
      <c r="P255" s="71">
        <f t="shared" si="34"/>
        <v>44.86</v>
      </c>
      <c r="Q255" s="72">
        <v>520</v>
      </c>
      <c r="R255" s="73">
        <f t="shared" si="33"/>
        <v>23327.200000000001</v>
      </c>
      <c r="S255" s="72"/>
      <c r="T255" s="74"/>
      <c r="V255" s="74" t="s">
        <v>24</v>
      </c>
      <c r="W255" s="72">
        <v>145</v>
      </c>
      <c r="X255" s="75">
        <f t="shared" si="38"/>
        <v>6504.7</v>
      </c>
      <c r="Y255" s="76"/>
      <c r="Z255" s="74">
        <f t="shared" si="39"/>
        <v>0</v>
      </c>
      <c r="AA255" s="74">
        <f t="shared" si="40"/>
        <v>29831.9</v>
      </c>
    </row>
    <row r="256" spans="1:38" s="77" customFormat="1" ht="15.75" x14ac:dyDescent="0.25">
      <c r="A256" s="51">
        <v>253</v>
      </c>
      <c r="B256" s="65">
        <v>46001</v>
      </c>
      <c r="C256" s="65">
        <v>46002</v>
      </c>
      <c r="D256" s="101">
        <v>251210028</v>
      </c>
      <c r="E256" s="67" t="s">
        <v>600</v>
      </c>
      <c r="F256" s="67" t="s">
        <v>601</v>
      </c>
      <c r="G256" s="67">
        <v>42</v>
      </c>
      <c r="H256" s="100">
        <v>130</v>
      </c>
      <c r="I256" s="19" t="s">
        <v>598</v>
      </c>
      <c r="J256" s="20" t="s">
        <v>23</v>
      </c>
      <c r="K256" s="19" t="s">
        <v>32</v>
      </c>
      <c r="L256" s="104" t="s">
        <v>602</v>
      </c>
      <c r="M256" s="67" t="s">
        <v>34</v>
      </c>
      <c r="N256" s="80">
        <v>58.12</v>
      </c>
      <c r="O256" s="80">
        <v>15.58</v>
      </c>
      <c r="P256" s="71">
        <f t="shared" si="34"/>
        <v>42.54</v>
      </c>
      <c r="Q256" s="72">
        <v>305</v>
      </c>
      <c r="R256" s="73">
        <f t="shared" si="33"/>
        <v>12974.699999999999</v>
      </c>
      <c r="S256" s="72"/>
      <c r="T256" s="74"/>
      <c r="V256" s="74" t="s">
        <v>24</v>
      </c>
      <c r="W256" s="72">
        <v>145</v>
      </c>
      <c r="X256" s="75">
        <f t="shared" si="38"/>
        <v>6168.3</v>
      </c>
      <c r="Y256" s="76"/>
      <c r="Z256" s="74">
        <f t="shared" si="39"/>
        <v>0</v>
      </c>
      <c r="AA256" s="74">
        <f t="shared" si="40"/>
        <v>19143</v>
      </c>
    </row>
    <row r="257" spans="1:27" s="81" customFormat="1" ht="15.75" x14ac:dyDescent="0.25">
      <c r="A257" s="51">
        <v>254</v>
      </c>
      <c r="B257" s="65">
        <v>46001</v>
      </c>
      <c r="C257" s="65">
        <v>46002</v>
      </c>
      <c r="D257" s="101" t="s">
        <v>603</v>
      </c>
      <c r="E257" s="67"/>
      <c r="F257" s="67"/>
      <c r="G257" s="67"/>
      <c r="H257" s="94">
        <v>313</v>
      </c>
      <c r="I257" s="95" t="s">
        <v>604</v>
      </c>
      <c r="J257" s="20" t="s">
        <v>23</v>
      </c>
      <c r="K257" s="19" t="s">
        <v>30</v>
      </c>
      <c r="L257" s="109" t="s">
        <v>250</v>
      </c>
      <c r="M257" s="67" t="s">
        <v>36</v>
      </c>
      <c r="N257" s="80">
        <v>16.48</v>
      </c>
      <c r="O257" s="80">
        <v>7.38</v>
      </c>
      <c r="P257" s="71">
        <f t="shared" si="34"/>
        <v>9.1000000000000014</v>
      </c>
      <c r="Q257" s="72">
        <v>540</v>
      </c>
      <c r="R257" s="73">
        <f t="shared" si="33"/>
        <v>4914.0000000000009</v>
      </c>
      <c r="S257" s="72">
        <v>4910</v>
      </c>
      <c r="T257" s="74"/>
      <c r="V257" s="74" t="s">
        <v>605</v>
      </c>
      <c r="W257" s="72"/>
      <c r="X257" s="75">
        <f t="shared" si="38"/>
        <v>0</v>
      </c>
      <c r="Y257" s="76"/>
      <c r="Z257" s="74">
        <f t="shared" si="39"/>
        <v>0</v>
      </c>
      <c r="AA257" s="74">
        <f t="shared" si="40"/>
        <v>4914.0000000000009</v>
      </c>
    </row>
    <row r="258" spans="1:27" s="81" customFormat="1" ht="15.75" x14ac:dyDescent="0.25">
      <c r="A258" s="51">
        <v>255</v>
      </c>
      <c r="B258" s="65">
        <v>46001</v>
      </c>
      <c r="C258" s="65">
        <v>46002</v>
      </c>
      <c r="D258" s="101">
        <v>251211004</v>
      </c>
      <c r="E258" s="67" t="s">
        <v>606</v>
      </c>
      <c r="F258" s="67" t="s">
        <v>607</v>
      </c>
      <c r="G258" s="67">
        <v>40</v>
      </c>
      <c r="H258" s="97">
        <v>53</v>
      </c>
      <c r="I258" s="106" t="s">
        <v>430</v>
      </c>
      <c r="J258" s="18" t="s">
        <v>23</v>
      </c>
      <c r="K258" s="19" t="s">
        <v>32</v>
      </c>
      <c r="L258" s="104" t="s">
        <v>41</v>
      </c>
      <c r="M258" s="67" t="s">
        <v>58</v>
      </c>
      <c r="N258" s="80">
        <v>52.14</v>
      </c>
      <c r="O258" s="80">
        <v>11.8</v>
      </c>
      <c r="P258" s="71">
        <f t="shared" si="34"/>
        <v>40.340000000000003</v>
      </c>
      <c r="Q258" s="72">
        <v>255</v>
      </c>
      <c r="R258" s="73">
        <f t="shared" si="33"/>
        <v>10286.700000000001</v>
      </c>
      <c r="S258" s="72"/>
      <c r="T258" s="74"/>
      <c r="V258" s="74" t="s">
        <v>24</v>
      </c>
      <c r="W258" s="72">
        <v>145</v>
      </c>
      <c r="X258" s="75">
        <f t="shared" si="38"/>
        <v>5849.3</v>
      </c>
      <c r="Y258" s="76">
        <v>200</v>
      </c>
      <c r="Z258" s="74">
        <f t="shared" si="39"/>
        <v>8068.0000000000009</v>
      </c>
      <c r="AA258" s="74">
        <f t="shared" si="40"/>
        <v>24204</v>
      </c>
    </row>
    <row r="259" spans="1:27" s="77" customFormat="1" ht="15.75" x14ac:dyDescent="0.25">
      <c r="A259" s="51">
        <v>256</v>
      </c>
      <c r="B259" s="65">
        <v>46001</v>
      </c>
      <c r="C259" s="65">
        <v>46002</v>
      </c>
      <c r="D259" s="101">
        <v>251211005</v>
      </c>
      <c r="E259" s="67" t="s">
        <v>608</v>
      </c>
      <c r="F259" s="67" t="s">
        <v>609</v>
      </c>
      <c r="G259" s="67">
        <v>42</v>
      </c>
      <c r="H259" s="97">
        <v>53</v>
      </c>
      <c r="I259" s="106" t="s">
        <v>430</v>
      </c>
      <c r="J259" s="18" t="s">
        <v>23</v>
      </c>
      <c r="K259" s="19" t="s">
        <v>32</v>
      </c>
      <c r="L259" s="104" t="s">
        <v>40</v>
      </c>
      <c r="M259" s="67" t="s">
        <v>515</v>
      </c>
      <c r="N259" s="67">
        <v>57.32</v>
      </c>
      <c r="O259" s="80">
        <v>15.08</v>
      </c>
      <c r="P259" s="71">
        <f t="shared" si="34"/>
        <v>42.24</v>
      </c>
      <c r="Q259" s="72">
        <v>355</v>
      </c>
      <c r="R259" s="73">
        <f t="shared" si="33"/>
        <v>14995.2</v>
      </c>
      <c r="S259" s="72"/>
      <c r="T259" s="74"/>
      <c r="V259" s="74" t="s">
        <v>24</v>
      </c>
      <c r="W259" s="72">
        <v>145</v>
      </c>
      <c r="X259" s="75">
        <f t="shared" si="38"/>
        <v>6124.8</v>
      </c>
      <c r="Y259" s="76">
        <v>200</v>
      </c>
      <c r="Z259" s="74">
        <f t="shared" si="39"/>
        <v>8448</v>
      </c>
      <c r="AA259" s="74">
        <f t="shared" si="40"/>
        <v>29568</v>
      </c>
    </row>
    <row r="260" spans="1:27" s="77" customFormat="1" ht="15.75" x14ac:dyDescent="0.25">
      <c r="A260" s="51">
        <v>257</v>
      </c>
      <c r="B260" s="65">
        <v>46001</v>
      </c>
      <c r="C260" s="65">
        <v>46002</v>
      </c>
      <c r="D260" s="101">
        <v>251211009</v>
      </c>
      <c r="E260" s="67" t="s">
        <v>610</v>
      </c>
      <c r="F260" s="67" t="s">
        <v>611</v>
      </c>
      <c r="G260" s="67">
        <v>42</v>
      </c>
      <c r="H260" s="97">
        <v>53</v>
      </c>
      <c r="I260" s="106" t="s">
        <v>430</v>
      </c>
      <c r="J260" s="18" t="s">
        <v>23</v>
      </c>
      <c r="K260" s="19" t="s">
        <v>32</v>
      </c>
      <c r="L260" s="104" t="s">
        <v>39</v>
      </c>
      <c r="M260" s="67" t="s">
        <v>515</v>
      </c>
      <c r="N260" s="80">
        <v>58.2</v>
      </c>
      <c r="O260" s="80">
        <v>15.82</v>
      </c>
      <c r="P260" s="71">
        <f t="shared" si="34"/>
        <v>42.38</v>
      </c>
      <c r="Q260" s="72">
        <v>355</v>
      </c>
      <c r="R260" s="73">
        <f t="shared" si="33"/>
        <v>15044.900000000001</v>
      </c>
      <c r="S260" s="72"/>
      <c r="T260" s="74"/>
      <c r="V260" s="74" t="s">
        <v>24</v>
      </c>
      <c r="W260" s="72">
        <v>145</v>
      </c>
      <c r="X260" s="75">
        <f t="shared" si="38"/>
        <v>6145.1</v>
      </c>
      <c r="Y260" s="76">
        <v>200</v>
      </c>
      <c r="Z260" s="74">
        <f t="shared" si="39"/>
        <v>8476</v>
      </c>
      <c r="AA260" s="74">
        <f t="shared" si="40"/>
        <v>29666</v>
      </c>
    </row>
    <row r="261" spans="1:27" s="81" customFormat="1" ht="15.75" x14ac:dyDescent="0.25">
      <c r="A261" s="51">
        <v>258</v>
      </c>
      <c r="B261" s="65">
        <v>46001</v>
      </c>
      <c r="C261" s="65">
        <v>46002</v>
      </c>
      <c r="D261" s="101">
        <v>251211008</v>
      </c>
      <c r="E261" s="67" t="s">
        <v>612</v>
      </c>
      <c r="F261" s="67" t="s">
        <v>613</v>
      </c>
      <c r="G261" s="67">
        <v>46</v>
      </c>
      <c r="H261" s="97">
        <v>53</v>
      </c>
      <c r="I261" s="106" t="s">
        <v>430</v>
      </c>
      <c r="J261" s="18" t="s">
        <v>23</v>
      </c>
      <c r="K261" s="19" t="s">
        <v>32</v>
      </c>
      <c r="L261" s="67" t="s">
        <v>54</v>
      </c>
      <c r="M261" s="67" t="s">
        <v>58</v>
      </c>
      <c r="N261" s="80">
        <v>61.92</v>
      </c>
      <c r="O261" s="80">
        <v>14.98</v>
      </c>
      <c r="P261" s="71">
        <f t="shared" si="34"/>
        <v>46.94</v>
      </c>
      <c r="Q261" s="72">
        <v>255</v>
      </c>
      <c r="R261" s="73">
        <f t="shared" si="33"/>
        <v>11969.699999999999</v>
      </c>
      <c r="S261" s="72"/>
      <c r="T261" s="74"/>
      <c r="V261" s="74" t="s">
        <v>24</v>
      </c>
      <c r="W261" s="72">
        <v>145</v>
      </c>
      <c r="X261" s="75">
        <f t="shared" si="38"/>
        <v>6806.2999999999993</v>
      </c>
      <c r="Y261" s="76">
        <v>200</v>
      </c>
      <c r="Z261" s="74">
        <f t="shared" si="39"/>
        <v>9388</v>
      </c>
      <c r="AA261" s="74">
        <f t="shared" si="40"/>
        <v>28164</v>
      </c>
    </row>
    <row r="262" spans="1:27" s="77" customFormat="1" ht="15.75" x14ac:dyDescent="0.25">
      <c r="A262" s="51">
        <v>259</v>
      </c>
      <c r="B262" s="65">
        <v>46001</v>
      </c>
      <c r="C262" s="65">
        <v>46002</v>
      </c>
      <c r="D262" s="101">
        <v>251211006</v>
      </c>
      <c r="E262" s="67" t="s">
        <v>614</v>
      </c>
      <c r="F262" s="67" t="s">
        <v>615</v>
      </c>
      <c r="G262" s="67">
        <v>59</v>
      </c>
      <c r="H262" s="97">
        <v>24</v>
      </c>
      <c r="I262" s="87" t="s">
        <v>199</v>
      </c>
      <c r="J262" s="18" t="s">
        <v>23</v>
      </c>
      <c r="K262" s="19" t="s">
        <v>32</v>
      </c>
      <c r="L262" s="104" t="s">
        <v>46</v>
      </c>
      <c r="M262" s="67" t="s">
        <v>34</v>
      </c>
      <c r="N262" s="80">
        <v>76.86</v>
      </c>
      <c r="O262" s="80">
        <v>17.32</v>
      </c>
      <c r="P262" s="71">
        <f t="shared" si="34"/>
        <v>59.54</v>
      </c>
      <c r="Q262" s="72">
        <v>335</v>
      </c>
      <c r="R262" s="73">
        <f t="shared" si="33"/>
        <v>19945.900000000001</v>
      </c>
      <c r="S262" s="72"/>
      <c r="T262" s="74"/>
      <c r="V262" s="74" t="s">
        <v>24</v>
      </c>
      <c r="W262" s="72">
        <v>145</v>
      </c>
      <c r="X262" s="75">
        <f t="shared" si="38"/>
        <v>8633.2999999999993</v>
      </c>
      <c r="Y262" s="76">
        <v>260</v>
      </c>
      <c r="Z262" s="74">
        <f t="shared" si="39"/>
        <v>15480.4</v>
      </c>
      <c r="AA262" s="74">
        <f t="shared" si="40"/>
        <v>44059.6</v>
      </c>
    </row>
    <row r="263" spans="1:27" s="77" customFormat="1" ht="15.75" x14ac:dyDescent="0.25">
      <c r="A263" s="51">
        <v>260</v>
      </c>
      <c r="B263" s="65">
        <v>46001</v>
      </c>
      <c r="C263" s="65">
        <v>46002</v>
      </c>
      <c r="D263" s="101">
        <v>251211007</v>
      </c>
      <c r="E263" s="67" t="s">
        <v>616</v>
      </c>
      <c r="F263" s="67" t="s">
        <v>617</v>
      </c>
      <c r="G263" s="67">
        <v>32</v>
      </c>
      <c r="H263" s="97">
        <v>24</v>
      </c>
      <c r="I263" s="87" t="s">
        <v>199</v>
      </c>
      <c r="J263" s="18" t="s">
        <v>23</v>
      </c>
      <c r="K263" s="19" t="s">
        <v>32</v>
      </c>
      <c r="L263" s="104" t="s">
        <v>286</v>
      </c>
      <c r="M263" s="67" t="s">
        <v>34</v>
      </c>
      <c r="N263" s="67">
        <v>44.08</v>
      </c>
      <c r="O263" s="80">
        <v>11.52</v>
      </c>
      <c r="P263" s="71">
        <f t="shared" si="34"/>
        <v>32.56</v>
      </c>
      <c r="Q263" s="72">
        <v>335</v>
      </c>
      <c r="R263" s="73">
        <f t="shared" si="33"/>
        <v>10907.6</v>
      </c>
      <c r="S263" s="72"/>
      <c r="T263" s="74"/>
      <c r="V263" s="74" t="s">
        <v>24</v>
      </c>
      <c r="W263" s="72">
        <v>145</v>
      </c>
      <c r="X263" s="75">
        <f t="shared" si="38"/>
        <v>4721.2000000000007</v>
      </c>
      <c r="Y263" s="76">
        <v>260</v>
      </c>
      <c r="Z263" s="74">
        <f t="shared" si="39"/>
        <v>8465.6</v>
      </c>
      <c r="AA263" s="74">
        <f t="shared" si="40"/>
        <v>24094.400000000001</v>
      </c>
    </row>
    <row r="264" spans="1:27" s="81" customFormat="1" ht="15.75" x14ac:dyDescent="0.25">
      <c r="A264" s="51">
        <v>261</v>
      </c>
      <c r="B264" s="65">
        <v>46001</v>
      </c>
      <c r="C264" s="65">
        <v>46002</v>
      </c>
      <c r="D264" s="101">
        <v>251211010</v>
      </c>
      <c r="E264" s="67" t="s">
        <v>618</v>
      </c>
      <c r="F264" s="67" t="s">
        <v>619</v>
      </c>
      <c r="G264" s="67">
        <v>41</v>
      </c>
      <c r="H264" s="97">
        <v>53</v>
      </c>
      <c r="I264" s="106" t="s">
        <v>430</v>
      </c>
      <c r="J264" s="18" t="s">
        <v>23</v>
      </c>
      <c r="K264" s="19" t="s">
        <v>32</v>
      </c>
      <c r="L264" s="101" t="s">
        <v>379</v>
      </c>
      <c r="M264" s="67" t="s">
        <v>515</v>
      </c>
      <c r="N264" s="80">
        <v>57.34</v>
      </c>
      <c r="O264" s="67">
        <v>15.72</v>
      </c>
      <c r="P264" s="71">
        <f t="shared" si="34"/>
        <v>41.620000000000005</v>
      </c>
      <c r="Q264" s="72">
        <v>355</v>
      </c>
      <c r="R264" s="73">
        <f t="shared" si="33"/>
        <v>14775.100000000002</v>
      </c>
      <c r="S264" s="67"/>
      <c r="T264" s="74"/>
      <c r="V264" s="74" t="s">
        <v>24</v>
      </c>
      <c r="W264" s="72">
        <v>145</v>
      </c>
      <c r="X264" s="75">
        <f t="shared" si="38"/>
        <v>6034.9000000000005</v>
      </c>
      <c r="Y264" s="76">
        <v>200</v>
      </c>
      <c r="Z264" s="74">
        <f t="shared" si="39"/>
        <v>8324</v>
      </c>
      <c r="AA264" s="74">
        <f t="shared" si="40"/>
        <v>29134.000000000004</v>
      </c>
    </row>
    <row r="265" spans="1:27" s="81" customFormat="1" ht="15.75" x14ac:dyDescent="0.25">
      <c r="A265" s="51">
        <v>262</v>
      </c>
      <c r="B265" s="65">
        <v>46001</v>
      </c>
      <c r="C265" s="65">
        <v>46002</v>
      </c>
      <c r="D265" s="101">
        <v>251211012</v>
      </c>
      <c r="E265" s="67" t="s">
        <v>620</v>
      </c>
      <c r="F265" s="67" t="s">
        <v>621</v>
      </c>
      <c r="G265" s="67">
        <v>44</v>
      </c>
      <c r="H265" s="97">
        <v>53</v>
      </c>
      <c r="I265" s="106" t="s">
        <v>430</v>
      </c>
      <c r="J265" s="18" t="s">
        <v>23</v>
      </c>
      <c r="K265" s="19" t="s">
        <v>32</v>
      </c>
      <c r="L265" s="104" t="s">
        <v>482</v>
      </c>
      <c r="M265" s="67" t="s">
        <v>58</v>
      </c>
      <c r="N265" s="80">
        <v>59.06</v>
      </c>
      <c r="O265" s="80">
        <v>14.12</v>
      </c>
      <c r="P265" s="71">
        <f t="shared" si="34"/>
        <v>44.940000000000005</v>
      </c>
      <c r="Q265" s="67">
        <v>255</v>
      </c>
      <c r="R265" s="73">
        <f t="shared" si="33"/>
        <v>11459.7</v>
      </c>
      <c r="S265" s="67"/>
      <c r="T265" s="74"/>
      <c r="V265" s="74" t="s">
        <v>24</v>
      </c>
      <c r="W265" s="72">
        <v>145</v>
      </c>
      <c r="X265" s="75">
        <f t="shared" si="38"/>
        <v>6516.3000000000011</v>
      </c>
      <c r="Y265" s="76">
        <v>200</v>
      </c>
      <c r="Z265" s="74">
        <f t="shared" si="39"/>
        <v>8988.0000000000018</v>
      </c>
      <c r="AA265" s="74">
        <f t="shared" si="40"/>
        <v>26964</v>
      </c>
    </row>
    <row r="266" spans="1:27" s="81" customFormat="1" ht="15.75" x14ac:dyDescent="0.25">
      <c r="A266" s="51">
        <v>263</v>
      </c>
      <c r="B266" s="65">
        <v>46001</v>
      </c>
      <c r="C266" s="65">
        <v>46002</v>
      </c>
      <c r="D266" s="104">
        <v>251211011</v>
      </c>
      <c r="E266" s="67" t="s">
        <v>622</v>
      </c>
      <c r="F266" s="67" t="s">
        <v>623</v>
      </c>
      <c r="G266" s="67">
        <v>42</v>
      </c>
      <c r="H266" s="97">
        <v>53</v>
      </c>
      <c r="I266" s="106" t="s">
        <v>430</v>
      </c>
      <c r="J266" s="18" t="s">
        <v>23</v>
      </c>
      <c r="K266" s="19" t="s">
        <v>32</v>
      </c>
      <c r="L266" s="104" t="s">
        <v>485</v>
      </c>
      <c r="M266" s="67" t="s">
        <v>515</v>
      </c>
      <c r="N266" s="80">
        <v>57.8</v>
      </c>
      <c r="O266" s="80">
        <v>15.38</v>
      </c>
      <c r="P266" s="71">
        <f t="shared" si="34"/>
        <v>42.419999999999995</v>
      </c>
      <c r="Q266" s="67">
        <v>355</v>
      </c>
      <c r="R266" s="73">
        <f t="shared" si="33"/>
        <v>15059.099999999999</v>
      </c>
      <c r="S266" s="67"/>
      <c r="T266" s="74"/>
      <c r="V266" s="74" t="s">
        <v>24</v>
      </c>
      <c r="W266" s="72">
        <v>145</v>
      </c>
      <c r="X266" s="75">
        <f t="shared" si="38"/>
        <v>6150.9</v>
      </c>
      <c r="Y266" s="76">
        <v>200</v>
      </c>
      <c r="Z266" s="74">
        <f t="shared" si="39"/>
        <v>8483.9999999999982</v>
      </c>
      <c r="AA266" s="74">
        <f t="shared" si="40"/>
        <v>29694</v>
      </c>
    </row>
    <row r="267" spans="1:27" s="81" customFormat="1" ht="15.75" x14ac:dyDescent="0.25">
      <c r="A267" s="51">
        <v>264</v>
      </c>
      <c r="B267" s="65">
        <v>46001</v>
      </c>
      <c r="C267" s="65">
        <v>46002</v>
      </c>
      <c r="D267" s="101">
        <v>251211013</v>
      </c>
      <c r="E267" s="67" t="s">
        <v>624</v>
      </c>
      <c r="F267" s="67" t="s">
        <v>625</v>
      </c>
      <c r="G267" s="67">
        <v>37</v>
      </c>
      <c r="H267" s="97">
        <v>53</v>
      </c>
      <c r="I267" s="106" t="s">
        <v>430</v>
      </c>
      <c r="J267" s="18" t="s">
        <v>23</v>
      </c>
      <c r="K267" s="19" t="s">
        <v>32</v>
      </c>
      <c r="L267" s="108" t="s">
        <v>331</v>
      </c>
      <c r="M267" s="67" t="s">
        <v>58</v>
      </c>
      <c r="N267" s="80">
        <v>49.3</v>
      </c>
      <c r="O267" s="80">
        <v>11.48</v>
      </c>
      <c r="P267" s="71">
        <f t="shared" si="34"/>
        <v>37.819999999999993</v>
      </c>
      <c r="Q267" s="67">
        <v>255</v>
      </c>
      <c r="R267" s="73">
        <f t="shared" si="33"/>
        <v>9644.0999999999985</v>
      </c>
      <c r="S267" s="67"/>
      <c r="T267" s="74"/>
      <c r="V267" s="74" t="s">
        <v>24</v>
      </c>
      <c r="W267" s="72">
        <v>145</v>
      </c>
      <c r="X267" s="75">
        <f t="shared" si="38"/>
        <v>5483.8999999999987</v>
      </c>
      <c r="Y267" s="76">
        <v>200</v>
      </c>
      <c r="Z267" s="74">
        <f t="shared" si="39"/>
        <v>7563.9999999999982</v>
      </c>
      <c r="AA267" s="74">
        <f t="shared" si="40"/>
        <v>22691.999999999993</v>
      </c>
    </row>
    <row r="268" spans="1:27" s="77" customFormat="1" ht="15.75" x14ac:dyDescent="0.25">
      <c r="A268" s="51">
        <v>265</v>
      </c>
      <c r="B268" s="65">
        <v>46002</v>
      </c>
      <c r="C268" s="65">
        <v>46002</v>
      </c>
      <c r="D268" s="101">
        <v>251211014</v>
      </c>
      <c r="E268" s="67" t="s">
        <v>626</v>
      </c>
      <c r="F268" s="67" t="s">
        <v>627</v>
      </c>
      <c r="G268" s="67">
        <v>44</v>
      </c>
      <c r="H268" s="79">
        <v>117</v>
      </c>
      <c r="I268" s="86" t="s">
        <v>55</v>
      </c>
      <c r="J268" s="20" t="s">
        <v>23</v>
      </c>
      <c r="K268" s="19" t="s">
        <v>32</v>
      </c>
      <c r="L268" s="104" t="s">
        <v>165</v>
      </c>
      <c r="M268" s="67" t="s">
        <v>34</v>
      </c>
      <c r="N268" s="67">
        <v>60.86</v>
      </c>
      <c r="O268" s="67">
        <v>15.9</v>
      </c>
      <c r="P268" s="71">
        <f t="shared" si="34"/>
        <v>44.96</v>
      </c>
      <c r="Q268" s="72">
        <v>335</v>
      </c>
      <c r="R268" s="73">
        <f t="shared" si="33"/>
        <v>15061.6</v>
      </c>
      <c r="S268" s="72"/>
      <c r="T268" s="74"/>
      <c r="V268" s="74" t="s">
        <v>24</v>
      </c>
      <c r="W268" s="72">
        <v>145</v>
      </c>
      <c r="X268" s="75">
        <f t="shared" ref="X268:X276" si="41">W268*P268</f>
        <v>6519.2</v>
      </c>
      <c r="Y268" s="76">
        <v>230</v>
      </c>
      <c r="Z268" s="74">
        <f t="shared" ref="Z268:Z276" si="42">Y268*P268</f>
        <v>10340.800000000001</v>
      </c>
      <c r="AA268" s="74">
        <f t="shared" ref="AA268:AA276" si="43">R268+X268+Z268</f>
        <v>31921.599999999999</v>
      </c>
    </row>
    <row r="269" spans="1:27" s="77" customFormat="1" ht="15.75" x14ac:dyDescent="0.25">
      <c r="A269" s="51">
        <v>266</v>
      </c>
      <c r="B269" s="65">
        <v>46002</v>
      </c>
      <c r="C269" s="65">
        <v>46002</v>
      </c>
      <c r="D269" s="101">
        <v>251211015</v>
      </c>
      <c r="E269" s="67" t="s">
        <v>628</v>
      </c>
      <c r="F269" s="67" t="s">
        <v>629</v>
      </c>
      <c r="G269" s="67">
        <v>50</v>
      </c>
      <c r="H269" s="97">
        <v>53</v>
      </c>
      <c r="I269" s="106" t="s">
        <v>430</v>
      </c>
      <c r="J269" s="18" t="s">
        <v>23</v>
      </c>
      <c r="K269" s="19" t="s">
        <v>32</v>
      </c>
      <c r="L269" s="104" t="s">
        <v>59</v>
      </c>
      <c r="M269" s="67" t="s">
        <v>58</v>
      </c>
      <c r="N269" s="67">
        <v>67.900000000000006</v>
      </c>
      <c r="O269" s="67">
        <v>17.54</v>
      </c>
      <c r="P269" s="71">
        <f t="shared" si="34"/>
        <v>50.360000000000007</v>
      </c>
      <c r="Q269" s="72">
        <v>255</v>
      </c>
      <c r="R269" s="73">
        <f t="shared" si="33"/>
        <v>12841.800000000001</v>
      </c>
      <c r="S269" s="72"/>
      <c r="T269" s="74"/>
      <c r="V269" s="74" t="s">
        <v>24</v>
      </c>
      <c r="W269" s="72">
        <v>145</v>
      </c>
      <c r="X269" s="75">
        <f t="shared" si="41"/>
        <v>7302.2000000000007</v>
      </c>
      <c r="Y269" s="76">
        <v>200</v>
      </c>
      <c r="Z269" s="76">
        <f t="shared" si="42"/>
        <v>10072.000000000002</v>
      </c>
      <c r="AA269" s="74">
        <f t="shared" si="43"/>
        <v>30216</v>
      </c>
    </row>
    <row r="270" spans="1:27" s="77" customFormat="1" ht="15.75" x14ac:dyDescent="0.25">
      <c r="A270" s="51">
        <v>267</v>
      </c>
      <c r="B270" s="65">
        <v>46002</v>
      </c>
      <c r="C270" s="65">
        <v>46002</v>
      </c>
      <c r="D270" s="101">
        <v>251211016</v>
      </c>
      <c r="E270" s="67" t="s">
        <v>630</v>
      </c>
      <c r="F270" s="67" t="s">
        <v>631</v>
      </c>
      <c r="G270" s="67">
        <v>45</v>
      </c>
      <c r="H270" s="94">
        <v>388</v>
      </c>
      <c r="I270" s="115" t="s">
        <v>598</v>
      </c>
      <c r="J270" s="20" t="s">
        <v>23</v>
      </c>
      <c r="K270" s="19" t="s">
        <v>32</v>
      </c>
      <c r="L270" s="104" t="s">
        <v>632</v>
      </c>
      <c r="M270" s="67" t="s">
        <v>36</v>
      </c>
      <c r="N270" s="67">
        <v>61.34</v>
      </c>
      <c r="O270" s="67">
        <v>15.88</v>
      </c>
      <c r="P270" s="71">
        <f t="shared" si="34"/>
        <v>45.46</v>
      </c>
      <c r="Q270" s="72">
        <v>520</v>
      </c>
      <c r="R270" s="73">
        <f t="shared" si="33"/>
        <v>23639.200000000001</v>
      </c>
      <c r="S270" s="72"/>
      <c r="T270" s="74"/>
      <c r="V270" s="74" t="s">
        <v>152</v>
      </c>
      <c r="W270" s="72">
        <v>150</v>
      </c>
      <c r="X270" s="75">
        <f t="shared" si="41"/>
        <v>6819</v>
      </c>
      <c r="Y270" s="76"/>
      <c r="Z270" s="76">
        <f t="shared" si="42"/>
        <v>0</v>
      </c>
      <c r="AA270" s="74">
        <f t="shared" si="43"/>
        <v>30458.2</v>
      </c>
    </row>
    <row r="271" spans="1:27" s="77" customFormat="1" ht="15.75" x14ac:dyDescent="0.25">
      <c r="A271" s="51">
        <v>268</v>
      </c>
      <c r="B271" s="65">
        <v>46002</v>
      </c>
      <c r="C271" s="65">
        <v>46002</v>
      </c>
      <c r="D271" s="101">
        <v>251211017</v>
      </c>
      <c r="E271" s="67" t="s">
        <v>633</v>
      </c>
      <c r="F271" s="67" t="s">
        <v>634</v>
      </c>
      <c r="G271" s="67">
        <v>45</v>
      </c>
      <c r="H271" s="94">
        <v>388</v>
      </c>
      <c r="I271" s="115" t="s">
        <v>598</v>
      </c>
      <c r="J271" s="20" t="s">
        <v>23</v>
      </c>
      <c r="K271" s="19" t="s">
        <v>32</v>
      </c>
      <c r="L271" s="104" t="s">
        <v>635</v>
      </c>
      <c r="M271" s="67" t="s">
        <v>36</v>
      </c>
      <c r="N271" s="67">
        <v>61.18</v>
      </c>
      <c r="O271" s="67">
        <v>15.84</v>
      </c>
      <c r="P271" s="71">
        <f t="shared" si="34"/>
        <v>45.34</v>
      </c>
      <c r="Q271" s="72">
        <v>520</v>
      </c>
      <c r="R271" s="73">
        <f t="shared" si="33"/>
        <v>23576.800000000003</v>
      </c>
      <c r="S271" s="72"/>
      <c r="T271" s="74"/>
      <c r="V271" s="74" t="s">
        <v>152</v>
      </c>
      <c r="W271" s="72">
        <v>150</v>
      </c>
      <c r="X271" s="75">
        <f t="shared" si="41"/>
        <v>6801.0000000000009</v>
      </c>
      <c r="Y271" s="76"/>
      <c r="Z271" s="76">
        <f t="shared" si="42"/>
        <v>0</v>
      </c>
      <c r="AA271" s="74">
        <f t="shared" si="43"/>
        <v>30377.800000000003</v>
      </c>
    </row>
    <row r="272" spans="1:27" s="77" customFormat="1" ht="15.75" x14ac:dyDescent="0.25">
      <c r="A272" s="51">
        <v>269</v>
      </c>
      <c r="B272" s="65">
        <v>46002</v>
      </c>
      <c r="C272" s="65">
        <v>46002</v>
      </c>
      <c r="D272" s="101">
        <v>251211018</v>
      </c>
      <c r="E272" s="67" t="s">
        <v>636</v>
      </c>
      <c r="F272" s="67" t="s">
        <v>637</v>
      </c>
      <c r="G272" s="67">
        <v>46</v>
      </c>
      <c r="H272" s="97">
        <v>53</v>
      </c>
      <c r="I272" s="106" t="s">
        <v>430</v>
      </c>
      <c r="J272" s="18" t="s">
        <v>23</v>
      </c>
      <c r="K272" s="19" t="s">
        <v>32</v>
      </c>
      <c r="L272" s="104" t="s">
        <v>418</v>
      </c>
      <c r="M272" s="67" t="s">
        <v>515</v>
      </c>
      <c r="N272" s="67">
        <v>65.58</v>
      </c>
      <c r="O272" s="67">
        <v>18.5</v>
      </c>
      <c r="P272" s="71">
        <f t="shared" si="34"/>
        <v>47.08</v>
      </c>
      <c r="Q272" s="72">
        <v>255</v>
      </c>
      <c r="R272" s="73">
        <f t="shared" si="33"/>
        <v>12005.4</v>
      </c>
      <c r="S272" s="72"/>
      <c r="T272" s="74"/>
      <c r="V272" s="74" t="s">
        <v>24</v>
      </c>
      <c r="W272" s="72">
        <v>145</v>
      </c>
      <c r="X272" s="75">
        <f t="shared" si="41"/>
        <v>6826.5999999999995</v>
      </c>
      <c r="Y272" s="76">
        <v>200</v>
      </c>
      <c r="Z272" s="76">
        <f t="shared" si="42"/>
        <v>9416</v>
      </c>
      <c r="AA272" s="74">
        <f t="shared" si="43"/>
        <v>28248</v>
      </c>
    </row>
    <row r="273" spans="1:38" s="81" customFormat="1" ht="15.75" x14ac:dyDescent="0.25">
      <c r="A273" s="51">
        <v>270</v>
      </c>
      <c r="B273" s="65">
        <v>46002</v>
      </c>
      <c r="C273" s="65">
        <v>46002</v>
      </c>
      <c r="D273" s="66" t="s">
        <v>638</v>
      </c>
      <c r="E273" s="67"/>
      <c r="F273" s="67"/>
      <c r="G273" s="67"/>
      <c r="H273" s="98">
        <v>5</v>
      </c>
      <c r="I273" s="87" t="s">
        <v>228</v>
      </c>
      <c r="J273" s="20" t="s">
        <v>23</v>
      </c>
      <c r="K273" s="19" t="s">
        <v>30</v>
      </c>
      <c r="L273" s="104" t="s">
        <v>68</v>
      </c>
      <c r="M273" s="67" t="s">
        <v>31</v>
      </c>
      <c r="N273" s="80">
        <v>8.3800000000000008</v>
      </c>
      <c r="O273" s="67">
        <v>3.58</v>
      </c>
      <c r="P273" s="71">
        <f t="shared" si="34"/>
        <v>4.8000000000000007</v>
      </c>
      <c r="Q273" s="72">
        <v>150</v>
      </c>
      <c r="R273" s="73">
        <f t="shared" si="33"/>
        <v>720.00000000000011</v>
      </c>
      <c r="S273" s="72">
        <v>720</v>
      </c>
      <c r="T273" s="74"/>
      <c r="V273" s="74" t="s">
        <v>24</v>
      </c>
      <c r="W273" s="72"/>
      <c r="X273" s="75">
        <f t="shared" si="41"/>
        <v>0</v>
      </c>
      <c r="Y273" s="76"/>
      <c r="Z273" s="76">
        <f t="shared" si="42"/>
        <v>0</v>
      </c>
      <c r="AA273" s="74">
        <f t="shared" si="43"/>
        <v>720.00000000000011</v>
      </c>
    </row>
    <row r="274" spans="1:38" s="77" customFormat="1" ht="15.75" x14ac:dyDescent="0.25">
      <c r="A274" s="51">
        <v>271</v>
      </c>
      <c r="B274" s="65">
        <v>46002</v>
      </c>
      <c r="C274" s="65">
        <v>46002</v>
      </c>
      <c r="D274" s="66" t="s">
        <v>639</v>
      </c>
      <c r="E274" s="67"/>
      <c r="F274" s="67"/>
      <c r="G274" s="67"/>
      <c r="H274" s="98">
        <v>5</v>
      </c>
      <c r="I274" s="87" t="s">
        <v>228</v>
      </c>
      <c r="J274" s="20" t="s">
        <v>23</v>
      </c>
      <c r="K274" s="19" t="s">
        <v>30</v>
      </c>
      <c r="L274" s="104" t="s">
        <v>640</v>
      </c>
      <c r="M274" s="67" t="s">
        <v>31</v>
      </c>
      <c r="N274" s="80">
        <v>8.08</v>
      </c>
      <c r="O274" s="67">
        <v>3.46</v>
      </c>
      <c r="P274" s="71">
        <f t="shared" si="34"/>
        <v>4.62</v>
      </c>
      <c r="Q274" s="72">
        <v>150</v>
      </c>
      <c r="R274" s="73">
        <f t="shared" ref="R274:R337" si="44">Q274*P274</f>
        <v>693</v>
      </c>
      <c r="S274" s="72">
        <v>693</v>
      </c>
      <c r="T274" s="74"/>
      <c r="V274" s="74" t="s">
        <v>24</v>
      </c>
      <c r="W274" s="72"/>
      <c r="X274" s="75">
        <f t="shared" si="41"/>
        <v>0</v>
      </c>
      <c r="Y274" s="76"/>
      <c r="Z274" s="76">
        <f t="shared" si="42"/>
        <v>0</v>
      </c>
      <c r="AA274" s="74">
        <f t="shared" si="43"/>
        <v>693</v>
      </c>
    </row>
    <row r="275" spans="1:38" s="77" customFormat="1" ht="15.75" x14ac:dyDescent="0.25">
      <c r="A275" s="51">
        <v>272</v>
      </c>
      <c r="B275" s="65">
        <v>46002</v>
      </c>
      <c r="C275" s="65">
        <v>46002</v>
      </c>
      <c r="D275" s="66" t="s">
        <v>641</v>
      </c>
      <c r="E275" s="67"/>
      <c r="F275" s="67"/>
      <c r="G275" s="67"/>
      <c r="H275" s="98">
        <v>5</v>
      </c>
      <c r="I275" s="87" t="s">
        <v>228</v>
      </c>
      <c r="J275" s="20" t="s">
        <v>23</v>
      </c>
      <c r="K275" s="19" t="s">
        <v>30</v>
      </c>
      <c r="L275" s="104" t="s">
        <v>89</v>
      </c>
      <c r="M275" s="67" t="s">
        <v>31</v>
      </c>
      <c r="N275" s="80">
        <v>8.74</v>
      </c>
      <c r="O275" s="80">
        <v>3.42</v>
      </c>
      <c r="P275" s="71">
        <f t="shared" ref="P275:P338" si="45">N275-O275</f>
        <v>5.32</v>
      </c>
      <c r="Q275" s="72">
        <v>150</v>
      </c>
      <c r="R275" s="73">
        <f t="shared" si="44"/>
        <v>798</v>
      </c>
      <c r="S275" s="72">
        <v>798</v>
      </c>
      <c r="T275" s="74"/>
      <c r="V275" s="74" t="s">
        <v>24</v>
      </c>
      <c r="W275" s="72"/>
      <c r="X275" s="75">
        <f t="shared" si="41"/>
        <v>0</v>
      </c>
      <c r="Y275" s="76"/>
      <c r="Z275" s="76">
        <f t="shared" si="42"/>
        <v>0</v>
      </c>
      <c r="AA275" s="74">
        <f t="shared" si="43"/>
        <v>798</v>
      </c>
    </row>
    <row r="276" spans="1:38" s="77" customFormat="1" ht="15.75" x14ac:dyDescent="0.25">
      <c r="A276" s="51">
        <v>273</v>
      </c>
      <c r="B276" s="65">
        <v>46002</v>
      </c>
      <c r="C276" s="65">
        <v>46002</v>
      </c>
      <c r="D276" s="66" t="s">
        <v>642</v>
      </c>
      <c r="E276" s="67"/>
      <c r="F276" s="67"/>
      <c r="G276" s="67"/>
      <c r="H276" s="98">
        <v>5</v>
      </c>
      <c r="I276" s="87" t="s">
        <v>228</v>
      </c>
      <c r="J276" s="20" t="s">
        <v>23</v>
      </c>
      <c r="K276" s="19" t="s">
        <v>30</v>
      </c>
      <c r="L276" s="104" t="s">
        <v>68</v>
      </c>
      <c r="M276" s="67" t="s">
        <v>31</v>
      </c>
      <c r="N276" s="80">
        <v>8.18</v>
      </c>
      <c r="O276" s="80">
        <v>3.56</v>
      </c>
      <c r="P276" s="71">
        <f t="shared" si="45"/>
        <v>4.6199999999999992</v>
      </c>
      <c r="Q276" s="72">
        <v>150</v>
      </c>
      <c r="R276" s="73">
        <f t="shared" si="44"/>
        <v>692.99999999999989</v>
      </c>
      <c r="S276" s="72">
        <v>693</v>
      </c>
      <c r="T276" s="74"/>
      <c r="V276" s="74" t="s">
        <v>24</v>
      </c>
      <c r="W276" s="72"/>
      <c r="X276" s="75">
        <f t="shared" si="41"/>
        <v>0</v>
      </c>
      <c r="Y276" s="76"/>
      <c r="Z276" s="76">
        <f t="shared" si="42"/>
        <v>0</v>
      </c>
      <c r="AA276" s="74">
        <f t="shared" si="43"/>
        <v>692.99999999999989</v>
      </c>
    </row>
    <row r="277" spans="1:38" s="77" customFormat="1" ht="15.75" x14ac:dyDescent="0.25">
      <c r="A277" s="51">
        <v>274</v>
      </c>
      <c r="B277" s="65">
        <v>46003</v>
      </c>
      <c r="C277" s="65">
        <v>46003</v>
      </c>
      <c r="D277" s="105" t="s">
        <v>643</v>
      </c>
      <c r="E277" s="67"/>
      <c r="F277" s="67"/>
      <c r="G277" s="67"/>
      <c r="H277" s="98">
        <v>5</v>
      </c>
      <c r="I277" s="87" t="s">
        <v>228</v>
      </c>
      <c r="J277" s="20" t="s">
        <v>23</v>
      </c>
      <c r="K277" s="19" t="s">
        <v>30</v>
      </c>
      <c r="L277" s="104" t="s">
        <v>89</v>
      </c>
      <c r="M277" s="67" t="s">
        <v>31</v>
      </c>
      <c r="N277" s="67">
        <v>8.98</v>
      </c>
      <c r="O277" s="67">
        <v>3.46</v>
      </c>
      <c r="P277" s="71">
        <f t="shared" si="45"/>
        <v>5.5200000000000005</v>
      </c>
      <c r="Q277" s="72">
        <v>150</v>
      </c>
      <c r="R277" s="73">
        <f t="shared" si="44"/>
        <v>828.00000000000011</v>
      </c>
      <c r="S277" s="72">
        <v>828</v>
      </c>
      <c r="T277" s="74"/>
      <c r="V277" s="74" t="s">
        <v>24</v>
      </c>
      <c r="W277" s="72"/>
      <c r="X277" s="75">
        <f t="shared" ref="X277:X292" si="46">W277*P277</f>
        <v>0</v>
      </c>
      <c r="Y277" s="76"/>
      <c r="Z277" s="74">
        <f t="shared" ref="Z277:Z292" si="47">Y277*P277</f>
        <v>0</v>
      </c>
      <c r="AA277" s="74">
        <f t="shared" ref="AA277:AA292" si="48">R277+X277+Z277</f>
        <v>828.00000000000011</v>
      </c>
    </row>
    <row r="278" spans="1:38" s="77" customFormat="1" ht="15.75" x14ac:dyDescent="0.25">
      <c r="A278" s="51">
        <v>275</v>
      </c>
      <c r="B278" s="65">
        <v>46003</v>
      </c>
      <c r="C278" s="65">
        <v>46003</v>
      </c>
      <c r="D278" s="105" t="s">
        <v>644</v>
      </c>
      <c r="E278" s="67"/>
      <c r="F278" s="67"/>
      <c r="G278" s="67"/>
      <c r="H278" s="98">
        <v>5</v>
      </c>
      <c r="I278" s="87" t="s">
        <v>228</v>
      </c>
      <c r="J278" s="20" t="s">
        <v>23</v>
      </c>
      <c r="K278" s="19" t="s">
        <v>30</v>
      </c>
      <c r="L278" s="104" t="s">
        <v>640</v>
      </c>
      <c r="M278" s="67" t="s">
        <v>31</v>
      </c>
      <c r="N278" s="67">
        <v>8.66</v>
      </c>
      <c r="O278" s="67">
        <v>3.4</v>
      </c>
      <c r="P278" s="71">
        <f t="shared" si="45"/>
        <v>5.26</v>
      </c>
      <c r="Q278" s="72">
        <v>150</v>
      </c>
      <c r="R278" s="73">
        <f t="shared" si="44"/>
        <v>789</v>
      </c>
      <c r="S278" s="72">
        <v>789</v>
      </c>
      <c r="T278" s="74"/>
      <c r="V278" s="74" t="s">
        <v>24</v>
      </c>
      <c r="W278" s="72"/>
      <c r="X278" s="75">
        <f t="shared" si="46"/>
        <v>0</v>
      </c>
      <c r="Y278" s="76"/>
      <c r="Z278" s="76">
        <f t="shared" si="47"/>
        <v>0</v>
      </c>
      <c r="AA278" s="74">
        <f t="shared" si="48"/>
        <v>789</v>
      </c>
    </row>
    <row r="279" spans="1:38" s="77" customFormat="1" ht="15.75" x14ac:dyDescent="0.25">
      <c r="A279" s="51">
        <v>276</v>
      </c>
      <c r="B279" s="65">
        <v>46003</v>
      </c>
      <c r="C279" s="65">
        <v>46003</v>
      </c>
      <c r="D279" s="105" t="s">
        <v>645</v>
      </c>
      <c r="E279" s="67"/>
      <c r="F279" s="67"/>
      <c r="G279" s="67"/>
      <c r="H279" s="98">
        <v>5</v>
      </c>
      <c r="I279" s="87" t="s">
        <v>228</v>
      </c>
      <c r="J279" s="20" t="s">
        <v>23</v>
      </c>
      <c r="K279" s="19" t="s">
        <v>30</v>
      </c>
      <c r="L279" s="104" t="s">
        <v>68</v>
      </c>
      <c r="M279" s="67" t="s">
        <v>31</v>
      </c>
      <c r="N279" s="67">
        <v>8.5399999999999991</v>
      </c>
      <c r="O279" s="67">
        <v>3.56</v>
      </c>
      <c r="P279" s="71">
        <f t="shared" si="45"/>
        <v>4.9799999999999986</v>
      </c>
      <c r="Q279" s="72">
        <v>150</v>
      </c>
      <c r="R279" s="73">
        <f t="shared" si="44"/>
        <v>746.99999999999977</v>
      </c>
      <c r="S279" s="72">
        <v>747</v>
      </c>
      <c r="T279" s="74"/>
      <c r="V279" s="74" t="s">
        <v>24</v>
      </c>
      <c r="W279" s="72"/>
      <c r="X279" s="75">
        <f t="shared" si="46"/>
        <v>0</v>
      </c>
      <c r="Y279" s="76"/>
      <c r="Z279" s="76">
        <f t="shared" si="47"/>
        <v>0</v>
      </c>
      <c r="AA279" s="74">
        <f t="shared" si="48"/>
        <v>746.99999999999977</v>
      </c>
    </row>
    <row r="280" spans="1:38" s="77" customFormat="1" ht="15.75" x14ac:dyDescent="0.25">
      <c r="A280" s="51">
        <v>277</v>
      </c>
      <c r="B280" s="65">
        <v>46003</v>
      </c>
      <c r="C280" s="65">
        <v>46003</v>
      </c>
      <c r="D280" s="105">
        <v>251212001</v>
      </c>
      <c r="E280" s="67" t="s">
        <v>646</v>
      </c>
      <c r="F280" s="67" t="s">
        <v>647</v>
      </c>
      <c r="G280" s="67">
        <v>32</v>
      </c>
      <c r="H280" s="97">
        <v>24</v>
      </c>
      <c r="I280" s="87" t="s">
        <v>199</v>
      </c>
      <c r="J280" s="18" t="s">
        <v>23</v>
      </c>
      <c r="K280" s="19" t="s">
        <v>32</v>
      </c>
      <c r="L280" s="104" t="s">
        <v>44</v>
      </c>
      <c r="M280" s="67" t="s">
        <v>34</v>
      </c>
      <c r="N280" s="67">
        <v>44.68</v>
      </c>
      <c r="O280" s="67">
        <v>11.78</v>
      </c>
      <c r="P280" s="71">
        <f t="shared" si="45"/>
        <v>32.9</v>
      </c>
      <c r="Q280" s="72">
        <v>335</v>
      </c>
      <c r="R280" s="73">
        <f t="shared" si="44"/>
        <v>11021.5</v>
      </c>
      <c r="S280" s="72"/>
      <c r="T280" s="74"/>
      <c r="V280" s="74" t="s">
        <v>24</v>
      </c>
      <c r="W280" s="72">
        <v>145</v>
      </c>
      <c r="X280" s="75">
        <f t="shared" si="46"/>
        <v>4770.5</v>
      </c>
      <c r="Y280" s="76">
        <v>260</v>
      </c>
      <c r="Z280" s="76">
        <f t="shared" si="47"/>
        <v>8554</v>
      </c>
      <c r="AA280" s="74">
        <f t="shared" si="48"/>
        <v>24346</v>
      </c>
    </row>
    <row r="281" spans="1:38" s="77" customFormat="1" ht="15.75" x14ac:dyDescent="0.25">
      <c r="A281" s="51">
        <v>278</v>
      </c>
      <c r="B281" s="65">
        <v>46003</v>
      </c>
      <c r="C281" s="65">
        <v>46003</v>
      </c>
      <c r="D281" s="105">
        <v>251212002</v>
      </c>
      <c r="E281" s="67" t="s">
        <v>648</v>
      </c>
      <c r="F281" s="67" t="s">
        <v>649</v>
      </c>
      <c r="G281" s="67">
        <v>31</v>
      </c>
      <c r="H281" s="97">
        <v>24</v>
      </c>
      <c r="I281" s="87" t="s">
        <v>199</v>
      </c>
      <c r="J281" s="18" t="s">
        <v>23</v>
      </c>
      <c r="K281" s="19" t="s">
        <v>32</v>
      </c>
      <c r="L281" s="104" t="s">
        <v>42</v>
      </c>
      <c r="M281" s="67" t="s">
        <v>34</v>
      </c>
      <c r="N281" s="67">
        <v>43.28</v>
      </c>
      <c r="O281" s="67">
        <v>11.58</v>
      </c>
      <c r="P281" s="71">
        <f t="shared" si="45"/>
        <v>31.700000000000003</v>
      </c>
      <c r="Q281" s="72">
        <v>335</v>
      </c>
      <c r="R281" s="73">
        <f t="shared" si="44"/>
        <v>10619.500000000002</v>
      </c>
      <c r="S281" s="72"/>
      <c r="T281" s="74"/>
      <c r="V281" s="74" t="s">
        <v>24</v>
      </c>
      <c r="W281" s="72">
        <v>145</v>
      </c>
      <c r="X281" s="75">
        <f t="shared" si="46"/>
        <v>4596.5</v>
      </c>
      <c r="Y281" s="76">
        <v>260</v>
      </c>
      <c r="Z281" s="76">
        <f t="shared" si="47"/>
        <v>8242</v>
      </c>
      <c r="AA281" s="74">
        <f t="shared" si="48"/>
        <v>23458</v>
      </c>
    </row>
    <row r="282" spans="1:38" s="81" customFormat="1" ht="15.75" x14ac:dyDescent="0.25">
      <c r="A282" s="51">
        <v>279</v>
      </c>
      <c r="B282" s="65">
        <v>46003</v>
      </c>
      <c r="C282" s="65">
        <v>46003</v>
      </c>
      <c r="D282" s="105" t="s">
        <v>650</v>
      </c>
      <c r="E282" s="67"/>
      <c r="F282" s="67"/>
      <c r="G282" s="67"/>
      <c r="H282" s="114"/>
      <c r="I282" s="114" t="s">
        <v>48</v>
      </c>
      <c r="J282" s="18" t="s">
        <v>23</v>
      </c>
      <c r="K282" s="19" t="s">
        <v>32</v>
      </c>
      <c r="L282" s="104" t="s">
        <v>651</v>
      </c>
      <c r="M282" s="67" t="s">
        <v>31</v>
      </c>
      <c r="N282" s="80">
        <v>35.5</v>
      </c>
      <c r="O282" s="67">
        <v>13.98</v>
      </c>
      <c r="P282" s="71">
        <f t="shared" si="45"/>
        <v>21.52</v>
      </c>
      <c r="Q282" s="72">
        <v>0</v>
      </c>
      <c r="R282" s="73">
        <f t="shared" si="44"/>
        <v>0</v>
      </c>
      <c r="S282" s="72"/>
      <c r="T282" s="74"/>
      <c r="V282" s="74" t="s">
        <v>24</v>
      </c>
      <c r="W282" s="72"/>
      <c r="X282" s="75">
        <f t="shared" si="46"/>
        <v>0</v>
      </c>
      <c r="Y282" s="76"/>
      <c r="Z282" s="76">
        <f t="shared" si="47"/>
        <v>0</v>
      </c>
      <c r="AA282" s="74">
        <f t="shared" si="48"/>
        <v>0</v>
      </c>
    </row>
    <row r="283" spans="1:38" s="77" customFormat="1" ht="15.75" x14ac:dyDescent="0.25">
      <c r="A283" s="51">
        <v>280</v>
      </c>
      <c r="B283" s="65">
        <v>46003</v>
      </c>
      <c r="C283" s="65">
        <v>46003</v>
      </c>
      <c r="D283" s="105" t="s">
        <v>652</v>
      </c>
      <c r="E283" s="67"/>
      <c r="F283" s="67"/>
      <c r="G283" s="67"/>
      <c r="H283" s="98">
        <v>5</v>
      </c>
      <c r="I283" s="87" t="s">
        <v>228</v>
      </c>
      <c r="J283" s="20" t="s">
        <v>23</v>
      </c>
      <c r="K283" s="19" t="s">
        <v>30</v>
      </c>
      <c r="L283" s="104" t="s">
        <v>68</v>
      </c>
      <c r="M283" s="67" t="s">
        <v>31</v>
      </c>
      <c r="N283" s="80">
        <v>8.52</v>
      </c>
      <c r="O283" s="80">
        <v>3.6</v>
      </c>
      <c r="P283" s="71">
        <f t="shared" si="45"/>
        <v>4.92</v>
      </c>
      <c r="Q283" s="72">
        <v>150</v>
      </c>
      <c r="R283" s="73">
        <f t="shared" si="44"/>
        <v>738</v>
      </c>
      <c r="S283" s="72">
        <v>738</v>
      </c>
      <c r="T283" s="74"/>
      <c r="V283" s="74" t="s">
        <v>24</v>
      </c>
      <c r="W283" s="72"/>
      <c r="X283" s="75">
        <f t="shared" si="46"/>
        <v>0</v>
      </c>
      <c r="Y283" s="76"/>
      <c r="Z283" s="76">
        <f t="shared" si="47"/>
        <v>0</v>
      </c>
      <c r="AA283" s="74">
        <f t="shared" si="48"/>
        <v>738</v>
      </c>
    </row>
    <row r="284" spans="1:38" s="77" customFormat="1" ht="15.75" x14ac:dyDescent="0.25">
      <c r="A284" s="51">
        <v>281</v>
      </c>
      <c r="B284" s="65">
        <v>46003</v>
      </c>
      <c r="C284" s="65">
        <v>46003</v>
      </c>
      <c r="D284" s="105" t="s">
        <v>653</v>
      </c>
      <c r="E284" s="67"/>
      <c r="F284" s="67"/>
      <c r="G284" s="67"/>
      <c r="H284" s="114"/>
      <c r="I284" s="114" t="s">
        <v>48</v>
      </c>
      <c r="J284" s="18" t="s">
        <v>23</v>
      </c>
      <c r="K284" s="19" t="s">
        <v>32</v>
      </c>
      <c r="L284" s="104" t="s">
        <v>253</v>
      </c>
      <c r="M284" s="67" t="s">
        <v>31</v>
      </c>
      <c r="N284" s="80">
        <v>30.66</v>
      </c>
      <c r="O284" s="80">
        <v>14.16</v>
      </c>
      <c r="P284" s="71">
        <f t="shared" si="45"/>
        <v>16.5</v>
      </c>
      <c r="Q284" s="72">
        <v>0</v>
      </c>
      <c r="R284" s="73">
        <f t="shared" si="44"/>
        <v>0</v>
      </c>
      <c r="S284" s="72"/>
      <c r="T284" s="74"/>
      <c r="V284" s="74" t="s">
        <v>24</v>
      </c>
      <c r="W284" s="72"/>
      <c r="X284" s="75">
        <f t="shared" si="46"/>
        <v>0</v>
      </c>
      <c r="Y284" s="76"/>
      <c r="Z284" s="76">
        <f t="shared" si="47"/>
        <v>0</v>
      </c>
      <c r="AA284" s="74">
        <f t="shared" si="48"/>
        <v>0</v>
      </c>
    </row>
    <row r="285" spans="1:38" s="77" customFormat="1" ht="15.75" x14ac:dyDescent="0.25">
      <c r="A285" s="51">
        <v>282</v>
      </c>
      <c r="B285" s="65">
        <v>46003</v>
      </c>
      <c r="C285" s="65">
        <v>46003</v>
      </c>
      <c r="D285" s="101">
        <v>251213006</v>
      </c>
      <c r="E285" s="67" t="s">
        <v>654</v>
      </c>
      <c r="F285" s="67" t="s">
        <v>655</v>
      </c>
      <c r="G285" s="67">
        <v>47</v>
      </c>
      <c r="H285" s="97">
        <v>53</v>
      </c>
      <c r="I285" s="106" t="s">
        <v>430</v>
      </c>
      <c r="J285" s="18" t="s">
        <v>23</v>
      </c>
      <c r="K285" s="19" t="s">
        <v>32</v>
      </c>
      <c r="L285" s="104" t="s">
        <v>418</v>
      </c>
      <c r="M285" s="67" t="s">
        <v>515</v>
      </c>
      <c r="N285" s="80">
        <v>66.08</v>
      </c>
      <c r="O285" s="80">
        <v>18.18</v>
      </c>
      <c r="P285" s="71">
        <f t="shared" si="45"/>
        <v>47.9</v>
      </c>
      <c r="Q285" s="72">
        <v>355</v>
      </c>
      <c r="R285" s="73">
        <f t="shared" si="44"/>
        <v>17004.5</v>
      </c>
      <c r="S285" s="72"/>
      <c r="T285" s="74"/>
      <c r="V285" s="74" t="s">
        <v>24</v>
      </c>
      <c r="W285" s="72">
        <v>145</v>
      </c>
      <c r="X285" s="75">
        <f t="shared" si="46"/>
        <v>6945.5</v>
      </c>
      <c r="Y285" s="76">
        <v>200</v>
      </c>
      <c r="Z285" s="76">
        <f t="shared" si="47"/>
        <v>9580</v>
      </c>
      <c r="AA285" s="74">
        <f t="shared" si="48"/>
        <v>33530</v>
      </c>
    </row>
    <row r="286" spans="1:38" s="77" customFormat="1" ht="17.100000000000001" customHeight="1" x14ac:dyDescent="0.25">
      <c r="A286" s="51">
        <v>283</v>
      </c>
      <c r="B286" s="65">
        <v>46003</v>
      </c>
      <c r="C286" s="65">
        <v>46003</v>
      </c>
      <c r="D286" s="101">
        <v>251213003</v>
      </c>
      <c r="E286" s="67" t="s">
        <v>656</v>
      </c>
      <c r="F286" s="67" t="s">
        <v>657</v>
      </c>
      <c r="G286" s="67">
        <v>42</v>
      </c>
      <c r="H286" s="97">
        <v>53</v>
      </c>
      <c r="I286" s="106" t="s">
        <v>430</v>
      </c>
      <c r="J286" s="18" t="s">
        <v>23</v>
      </c>
      <c r="K286" s="19" t="s">
        <v>32</v>
      </c>
      <c r="L286" s="104" t="s">
        <v>59</v>
      </c>
      <c r="M286" s="67" t="s">
        <v>515</v>
      </c>
      <c r="N286" s="80">
        <v>60.78</v>
      </c>
      <c r="O286" s="80">
        <v>17.899999999999999</v>
      </c>
      <c r="P286" s="71">
        <f t="shared" si="45"/>
        <v>42.88</v>
      </c>
      <c r="Q286" s="72">
        <v>355</v>
      </c>
      <c r="R286" s="73">
        <f t="shared" si="44"/>
        <v>15222.400000000001</v>
      </c>
      <c r="S286" s="72"/>
      <c r="T286" s="74"/>
      <c r="V286" s="74" t="s">
        <v>24</v>
      </c>
      <c r="W286" s="72">
        <v>145</v>
      </c>
      <c r="X286" s="75">
        <f t="shared" si="46"/>
        <v>6217.6</v>
      </c>
      <c r="Y286" s="76">
        <v>200</v>
      </c>
      <c r="Z286" s="76">
        <f t="shared" si="47"/>
        <v>8576</v>
      </c>
      <c r="AA286" s="74">
        <f t="shared" si="48"/>
        <v>30016</v>
      </c>
      <c r="AB286" s="83"/>
      <c r="AC286" s="82"/>
      <c r="AD286" s="84"/>
      <c r="AE286" s="85"/>
      <c r="AF286" s="82"/>
      <c r="AG286" s="85"/>
      <c r="AH286" s="82"/>
      <c r="AI286" s="84"/>
      <c r="AJ286" s="82"/>
      <c r="AK286" s="84"/>
      <c r="AL286" s="84"/>
    </row>
    <row r="287" spans="1:38" s="77" customFormat="1" ht="15.75" x14ac:dyDescent="0.25">
      <c r="A287" s="51">
        <v>284</v>
      </c>
      <c r="B287" s="65">
        <v>46003</v>
      </c>
      <c r="C287" s="65">
        <v>46003</v>
      </c>
      <c r="D287" s="101">
        <v>251213001</v>
      </c>
      <c r="E287" s="67" t="s">
        <v>658</v>
      </c>
      <c r="F287" s="67" t="s">
        <v>659</v>
      </c>
      <c r="G287" s="67">
        <v>42</v>
      </c>
      <c r="H287" s="97">
        <v>53</v>
      </c>
      <c r="I287" s="106" t="s">
        <v>430</v>
      </c>
      <c r="J287" s="18" t="s">
        <v>23</v>
      </c>
      <c r="K287" s="19" t="s">
        <v>32</v>
      </c>
      <c r="L287" s="104" t="s">
        <v>40</v>
      </c>
      <c r="M287" s="67" t="s">
        <v>515</v>
      </c>
      <c r="N287" s="80">
        <v>57.26</v>
      </c>
      <c r="O287" s="80">
        <v>15.04</v>
      </c>
      <c r="P287" s="71">
        <f t="shared" si="45"/>
        <v>42.22</v>
      </c>
      <c r="Q287" s="72">
        <v>355</v>
      </c>
      <c r="R287" s="73">
        <f t="shared" si="44"/>
        <v>14988.1</v>
      </c>
      <c r="S287" s="72"/>
      <c r="T287" s="74"/>
      <c r="V287" s="74" t="s">
        <v>24</v>
      </c>
      <c r="W287" s="72">
        <v>145</v>
      </c>
      <c r="X287" s="75">
        <f t="shared" si="46"/>
        <v>6121.9</v>
      </c>
      <c r="Y287" s="76">
        <v>200</v>
      </c>
      <c r="Z287" s="76">
        <f t="shared" si="47"/>
        <v>8444</v>
      </c>
      <c r="AA287" s="74">
        <f t="shared" si="48"/>
        <v>29554</v>
      </c>
    </row>
    <row r="288" spans="1:38" s="77" customFormat="1" ht="15.75" x14ac:dyDescent="0.25">
      <c r="A288" s="51">
        <v>285</v>
      </c>
      <c r="B288" s="65">
        <v>46003</v>
      </c>
      <c r="C288" s="65">
        <v>46003</v>
      </c>
      <c r="D288" s="101">
        <v>251213002</v>
      </c>
      <c r="E288" s="67" t="s">
        <v>660</v>
      </c>
      <c r="F288" s="67" t="s">
        <v>661</v>
      </c>
      <c r="G288" s="67">
        <v>39</v>
      </c>
      <c r="H288" s="97">
        <v>53</v>
      </c>
      <c r="I288" s="106" t="s">
        <v>430</v>
      </c>
      <c r="J288" s="18" t="s">
        <v>23</v>
      </c>
      <c r="K288" s="19" t="s">
        <v>32</v>
      </c>
      <c r="L288" s="104" t="s">
        <v>41</v>
      </c>
      <c r="M288" s="67" t="s">
        <v>58</v>
      </c>
      <c r="N288" s="80">
        <v>51.14</v>
      </c>
      <c r="O288" s="80">
        <v>11.84</v>
      </c>
      <c r="P288" s="71">
        <f t="shared" si="45"/>
        <v>39.299999999999997</v>
      </c>
      <c r="Q288" s="72">
        <v>255</v>
      </c>
      <c r="R288" s="73">
        <f t="shared" si="44"/>
        <v>10021.5</v>
      </c>
      <c r="S288" s="72"/>
      <c r="T288" s="74"/>
      <c r="V288" s="74" t="s">
        <v>24</v>
      </c>
      <c r="W288" s="72">
        <v>145</v>
      </c>
      <c r="X288" s="75">
        <f t="shared" si="46"/>
        <v>5698.5</v>
      </c>
      <c r="Y288" s="76">
        <v>200</v>
      </c>
      <c r="Z288" s="76">
        <f t="shared" si="47"/>
        <v>7859.9999999999991</v>
      </c>
      <c r="AA288" s="74">
        <f t="shared" si="48"/>
        <v>23580</v>
      </c>
    </row>
    <row r="289" spans="1:38" s="77" customFormat="1" ht="15.75" x14ac:dyDescent="0.25">
      <c r="A289" s="51">
        <v>286</v>
      </c>
      <c r="B289" s="65">
        <v>46003</v>
      </c>
      <c r="C289" s="65">
        <v>46003</v>
      </c>
      <c r="D289" s="101">
        <v>251213004</v>
      </c>
      <c r="E289" s="67" t="s">
        <v>662</v>
      </c>
      <c r="F289" s="67" t="s">
        <v>663</v>
      </c>
      <c r="G289" s="67">
        <v>47</v>
      </c>
      <c r="H289" s="97">
        <v>53</v>
      </c>
      <c r="I289" s="106" t="s">
        <v>430</v>
      </c>
      <c r="J289" s="18" t="s">
        <v>23</v>
      </c>
      <c r="K289" s="19" t="s">
        <v>32</v>
      </c>
      <c r="L289" s="101" t="s">
        <v>54</v>
      </c>
      <c r="M289" s="67" t="s">
        <v>58</v>
      </c>
      <c r="N289" s="80">
        <v>62.22</v>
      </c>
      <c r="O289" s="80">
        <v>14.96</v>
      </c>
      <c r="P289" s="71">
        <f t="shared" si="45"/>
        <v>47.26</v>
      </c>
      <c r="Q289" s="72">
        <v>255</v>
      </c>
      <c r="R289" s="73">
        <f t="shared" si="44"/>
        <v>12051.3</v>
      </c>
      <c r="S289" s="72"/>
      <c r="T289" s="74"/>
      <c r="V289" s="74" t="s">
        <v>24</v>
      </c>
      <c r="W289" s="72">
        <v>145</v>
      </c>
      <c r="X289" s="75">
        <f t="shared" si="46"/>
        <v>6852.7</v>
      </c>
      <c r="Y289" s="76">
        <v>200</v>
      </c>
      <c r="Z289" s="76">
        <f t="shared" si="47"/>
        <v>9452</v>
      </c>
      <c r="AA289" s="74">
        <f t="shared" si="48"/>
        <v>28356</v>
      </c>
    </row>
    <row r="290" spans="1:38" s="77" customFormat="1" ht="15.75" x14ac:dyDescent="0.25">
      <c r="A290" s="51">
        <v>287</v>
      </c>
      <c r="B290" s="65">
        <v>46003</v>
      </c>
      <c r="C290" s="65">
        <v>46003</v>
      </c>
      <c r="D290" s="101">
        <v>251213005</v>
      </c>
      <c r="E290" s="67" t="s">
        <v>664</v>
      </c>
      <c r="F290" s="67" t="s">
        <v>665</v>
      </c>
      <c r="G290" s="67">
        <v>33</v>
      </c>
      <c r="H290" s="97">
        <v>24</v>
      </c>
      <c r="I290" s="87" t="s">
        <v>199</v>
      </c>
      <c r="J290" s="18" t="s">
        <v>23</v>
      </c>
      <c r="K290" s="19" t="s">
        <v>32</v>
      </c>
      <c r="L290" s="104" t="s">
        <v>286</v>
      </c>
      <c r="M290" s="67" t="s">
        <v>34</v>
      </c>
      <c r="N290" s="80">
        <v>44.72</v>
      </c>
      <c r="O290" s="80">
        <v>11.48</v>
      </c>
      <c r="P290" s="71">
        <f t="shared" si="45"/>
        <v>33.239999999999995</v>
      </c>
      <c r="Q290" s="72">
        <v>335</v>
      </c>
      <c r="R290" s="73">
        <f t="shared" si="44"/>
        <v>11135.399999999998</v>
      </c>
      <c r="S290" s="72"/>
      <c r="T290" s="74"/>
      <c r="V290" s="74" t="s">
        <v>24</v>
      </c>
      <c r="W290" s="72">
        <v>145</v>
      </c>
      <c r="X290" s="75">
        <f t="shared" si="46"/>
        <v>4819.7999999999993</v>
      </c>
      <c r="Y290" s="76">
        <v>260</v>
      </c>
      <c r="Z290" s="76">
        <f t="shared" si="47"/>
        <v>8642.3999999999978</v>
      </c>
      <c r="AA290" s="74">
        <f t="shared" si="48"/>
        <v>24597.599999999995</v>
      </c>
    </row>
    <row r="291" spans="1:38" s="81" customFormat="1" ht="15.75" x14ac:dyDescent="0.25">
      <c r="A291" s="51">
        <v>288</v>
      </c>
      <c r="B291" s="65">
        <v>46003</v>
      </c>
      <c r="C291" s="65">
        <v>46003</v>
      </c>
      <c r="D291" s="101">
        <v>251213008</v>
      </c>
      <c r="E291" s="67" t="s">
        <v>666</v>
      </c>
      <c r="F291" s="67" t="s">
        <v>667</v>
      </c>
      <c r="G291" s="67">
        <v>32</v>
      </c>
      <c r="H291" s="97">
        <v>24</v>
      </c>
      <c r="I291" s="87" t="s">
        <v>199</v>
      </c>
      <c r="J291" s="18" t="s">
        <v>23</v>
      </c>
      <c r="K291" s="19" t="s">
        <v>32</v>
      </c>
      <c r="L291" s="104" t="s">
        <v>42</v>
      </c>
      <c r="M291" s="67" t="s">
        <v>34</v>
      </c>
      <c r="N291" s="80">
        <v>44.32</v>
      </c>
      <c r="O291" s="80">
        <v>11.6</v>
      </c>
      <c r="P291" s="71">
        <f t="shared" si="45"/>
        <v>32.72</v>
      </c>
      <c r="Q291" s="72">
        <v>335</v>
      </c>
      <c r="R291" s="73">
        <f t="shared" si="44"/>
        <v>10961.199999999999</v>
      </c>
      <c r="S291" s="72"/>
      <c r="T291" s="74"/>
      <c r="V291" s="74" t="s">
        <v>24</v>
      </c>
      <c r="W291" s="72">
        <v>145</v>
      </c>
      <c r="X291" s="75">
        <f t="shared" si="46"/>
        <v>4744.3999999999996</v>
      </c>
      <c r="Y291" s="76">
        <v>260</v>
      </c>
      <c r="Z291" s="74">
        <f t="shared" si="47"/>
        <v>8507.1999999999989</v>
      </c>
      <c r="AA291" s="74">
        <f t="shared" si="48"/>
        <v>24212.799999999996</v>
      </c>
    </row>
    <row r="292" spans="1:38" s="81" customFormat="1" ht="15.75" x14ac:dyDescent="0.25">
      <c r="A292" s="51">
        <v>289</v>
      </c>
      <c r="B292" s="65">
        <v>46003</v>
      </c>
      <c r="C292" s="65">
        <v>46003</v>
      </c>
      <c r="D292" s="101">
        <v>251213007</v>
      </c>
      <c r="E292" s="67" t="s">
        <v>668</v>
      </c>
      <c r="F292" s="67" t="s">
        <v>669</v>
      </c>
      <c r="G292" s="67">
        <v>33</v>
      </c>
      <c r="H292" s="97">
        <v>24</v>
      </c>
      <c r="I292" s="87" t="s">
        <v>199</v>
      </c>
      <c r="J292" s="18" t="s">
        <v>23</v>
      </c>
      <c r="K292" s="19" t="s">
        <v>32</v>
      </c>
      <c r="L292" s="104" t="s">
        <v>44</v>
      </c>
      <c r="M292" s="67" t="s">
        <v>34</v>
      </c>
      <c r="N292" s="80">
        <v>44.98</v>
      </c>
      <c r="O292" s="80">
        <v>11.74</v>
      </c>
      <c r="P292" s="71">
        <f t="shared" si="45"/>
        <v>33.239999999999995</v>
      </c>
      <c r="Q292" s="72">
        <v>335</v>
      </c>
      <c r="R292" s="73">
        <f t="shared" si="44"/>
        <v>11135.399999999998</v>
      </c>
      <c r="S292" s="72"/>
      <c r="T292" s="74"/>
      <c r="V292" s="74" t="s">
        <v>24</v>
      </c>
      <c r="W292" s="72">
        <v>145</v>
      </c>
      <c r="X292" s="75">
        <f t="shared" si="46"/>
        <v>4819.7999999999993</v>
      </c>
      <c r="Y292" s="76">
        <v>260</v>
      </c>
      <c r="Z292" s="74">
        <f t="shared" si="47"/>
        <v>8642.3999999999978</v>
      </c>
      <c r="AA292" s="74">
        <f t="shared" si="48"/>
        <v>24597.599999999995</v>
      </c>
    </row>
    <row r="293" spans="1:38" s="77" customFormat="1" ht="15.75" x14ac:dyDescent="0.25">
      <c r="A293" s="51">
        <v>290</v>
      </c>
      <c r="B293" s="65">
        <v>46004</v>
      </c>
      <c r="C293" s="65">
        <v>46004</v>
      </c>
      <c r="D293" s="101">
        <v>251213009</v>
      </c>
      <c r="E293" s="67" t="s">
        <v>670</v>
      </c>
      <c r="F293" s="67" t="s">
        <v>671</v>
      </c>
      <c r="G293" s="67">
        <v>33</v>
      </c>
      <c r="H293" s="113">
        <v>125</v>
      </c>
      <c r="I293" s="19" t="s">
        <v>584</v>
      </c>
      <c r="J293" s="20" t="s">
        <v>23</v>
      </c>
      <c r="K293" s="19" t="s">
        <v>32</v>
      </c>
      <c r="L293" s="104" t="s">
        <v>57</v>
      </c>
      <c r="M293" s="67" t="s">
        <v>36</v>
      </c>
      <c r="N293" s="67">
        <v>45.26</v>
      </c>
      <c r="O293" s="67">
        <v>11.3</v>
      </c>
      <c r="P293" s="71">
        <f t="shared" si="45"/>
        <v>33.959999999999994</v>
      </c>
      <c r="Q293" s="72">
        <v>575</v>
      </c>
      <c r="R293" s="73">
        <f t="shared" si="44"/>
        <v>19526.999999999996</v>
      </c>
      <c r="S293" s="72"/>
      <c r="T293" s="74"/>
      <c r="V293" s="74" t="s">
        <v>152</v>
      </c>
      <c r="W293" s="72">
        <v>145</v>
      </c>
      <c r="X293" s="75">
        <f t="shared" ref="X293:X324" si="49">W293*P293</f>
        <v>4924.1999999999989</v>
      </c>
      <c r="Y293" s="76">
        <v>150</v>
      </c>
      <c r="Z293" s="74">
        <f t="shared" ref="Z293:Z324" si="50">Y293*P293</f>
        <v>5093.9999999999991</v>
      </c>
      <c r="AA293" s="74">
        <f t="shared" ref="AA293:AA324" si="51">R293+X293+Z293</f>
        <v>29545.199999999997</v>
      </c>
    </row>
    <row r="294" spans="1:38" s="77" customFormat="1" ht="15.75" x14ac:dyDescent="0.25">
      <c r="A294" s="51">
        <v>291</v>
      </c>
      <c r="B294" s="65">
        <v>46004</v>
      </c>
      <c r="C294" s="65">
        <v>46004</v>
      </c>
      <c r="D294" s="101">
        <v>251213010</v>
      </c>
      <c r="E294" s="67" t="s">
        <v>672</v>
      </c>
      <c r="F294" s="67" t="s">
        <v>673</v>
      </c>
      <c r="G294" s="67">
        <v>45</v>
      </c>
      <c r="H294" s="113">
        <v>125</v>
      </c>
      <c r="I294" s="19" t="s">
        <v>584</v>
      </c>
      <c r="J294" s="20" t="s">
        <v>23</v>
      </c>
      <c r="K294" s="19" t="s">
        <v>32</v>
      </c>
      <c r="L294" s="104" t="s">
        <v>674</v>
      </c>
      <c r="M294" s="67" t="s">
        <v>515</v>
      </c>
      <c r="N294" s="67">
        <v>61.4</v>
      </c>
      <c r="O294" s="67">
        <v>16.3</v>
      </c>
      <c r="P294" s="71">
        <f t="shared" si="45"/>
        <v>45.099999999999994</v>
      </c>
      <c r="Q294" s="72">
        <v>475</v>
      </c>
      <c r="R294" s="73">
        <f t="shared" si="44"/>
        <v>21422.499999999996</v>
      </c>
      <c r="S294" s="72"/>
      <c r="T294" s="74"/>
      <c r="V294" s="74" t="s">
        <v>152</v>
      </c>
      <c r="W294" s="72">
        <v>145</v>
      </c>
      <c r="X294" s="75">
        <f t="shared" si="49"/>
        <v>6539.4999999999991</v>
      </c>
      <c r="Y294" s="76">
        <v>150</v>
      </c>
      <c r="Z294" s="76">
        <f t="shared" si="50"/>
        <v>6764.9999999999991</v>
      </c>
      <c r="AA294" s="74">
        <f t="shared" si="51"/>
        <v>34726.999999999993</v>
      </c>
    </row>
    <row r="295" spans="1:38" s="77" customFormat="1" ht="15.75" x14ac:dyDescent="0.25">
      <c r="A295" s="51">
        <v>292</v>
      </c>
      <c r="B295" s="65">
        <v>46004</v>
      </c>
      <c r="C295" s="65">
        <v>46004</v>
      </c>
      <c r="D295" s="101">
        <v>251213011</v>
      </c>
      <c r="E295" s="67" t="s">
        <v>675</v>
      </c>
      <c r="F295" s="67" t="s">
        <v>676</v>
      </c>
      <c r="G295" s="67">
        <v>36</v>
      </c>
      <c r="H295" s="113">
        <v>125</v>
      </c>
      <c r="I295" s="19" t="s">
        <v>584</v>
      </c>
      <c r="J295" s="20" t="s">
        <v>23</v>
      </c>
      <c r="K295" s="19" t="s">
        <v>32</v>
      </c>
      <c r="L295" s="104" t="s">
        <v>202</v>
      </c>
      <c r="M295" s="67" t="s">
        <v>36</v>
      </c>
      <c r="N295" s="67">
        <v>48.32</v>
      </c>
      <c r="O295" s="67">
        <v>11.4</v>
      </c>
      <c r="P295" s="71">
        <f t="shared" si="45"/>
        <v>36.92</v>
      </c>
      <c r="Q295" s="72">
        <v>575</v>
      </c>
      <c r="R295" s="73">
        <f t="shared" si="44"/>
        <v>21229</v>
      </c>
      <c r="S295" s="72"/>
      <c r="T295" s="74"/>
      <c r="V295" s="74" t="s">
        <v>152</v>
      </c>
      <c r="W295" s="72">
        <v>145</v>
      </c>
      <c r="X295" s="75">
        <f t="shared" si="49"/>
        <v>5353.4000000000005</v>
      </c>
      <c r="Y295" s="76">
        <v>150</v>
      </c>
      <c r="Z295" s="76">
        <f t="shared" si="50"/>
        <v>5538</v>
      </c>
      <c r="AA295" s="74">
        <f t="shared" si="51"/>
        <v>32120.400000000001</v>
      </c>
    </row>
    <row r="296" spans="1:38" s="77" customFormat="1" ht="15.75" x14ac:dyDescent="0.25">
      <c r="A296" s="51">
        <v>293</v>
      </c>
      <c r="B296" s="65">
        <v>46004</v>
      </c>
      <c r="C296" s="65">
        <v>46004</v>
      </c>
      <c r="D296" s="101">
        <v>251213012</v>
      </c>
      <c r="E296" s="67" t="s">
        <v>677</v>
      </c>
      <c r="F296" s="67" t="s">
        <v>678</v>
      </c>
      <c r="G296" s="67">
        <v>39</v>
      </c>
      <c r="H296" s="113">
        <v>125</v>
      </c>
      <c r="I296" s="19" t="s">
        <v>584</v>
      </c>
      <c r="J296" s="20" t="s">
        <v>23</v>
      </c>
      <c r="K296" s="19" t="s">
        <v>32</v>
      </c>
      <c r="L296" s="104" t="s">
        <v>679</v>
      </c>
      <c r="M296" s="67" t="s">
        <v>36</v>
      </c>
      <c r="N296" s="67">
        <v>51.7</v>
      </c>
      <c r="O296" s="67">
        <v>12.1</v>
      </c>
      <c r="P296" s="71">
        <f t="shared" si="45"/>
        <v>39.6</v>
      </c>
      <c r="Q296" s="72">
        <v>575</v>
      </c>
      <c r="R296" s="73">
        <f t="shared" si="44"/>
        <v>22770</v>
      </c>
      <c r="S296" s="72"/>
      <c r="T296" s="74"/>
      <c r="V296" s="74" t="s">
        <v>152</v>
      </c>
      <c r="W296" s="72">
        <v>145</v>
      </c>
      <c r="X296" s="75">
        <f t="shared" si="49"/>
        <v>5742</v>
      </c>
      <c r="Y296" s="76">
        <v>150</v>
      </c>
      <c r="Z296" s="76">
        <f t="shared" si="50"/>
        <v>5940</v>
      </c>
      <c r="AA296" s="74">
        <f t="shared" si="51"/>
        <v>34452</v>
      </c>
    </row>
    <row r="297" spans="1:38" s="77" customFormat="1" ht="15.75" x14ac:dyDescent="0.25">
      <c r="A297" s="51">
        <v>294</v>
      </c>
      <c r="B297" s="65">
        <v>46004</v>
      </c>
      <c r="C297" s="65">
        <v>46004</v>
      </c>
      <c r="D297" s="101">
        <v>251213013</v>
      </c>
      <c r="E297" s="67" t="s">
        <v>680</v>
      </c>
      <c r="F297" s="67" t="s">
        <v>681</v>
      </c>
      <c r="G297" s="67">
        <v>37</v>
      </c>
      <c r="H297" s="113">
        <v>125</v>
      </c>
      <c r="I297" s="19" t="s">
        <v>584</v>
      </c>
      <c r="J297" s="20" t="s">
        <v>23</v>
      </c>
      <c r="K297" s="19" t="s">
        <v>32</v>
      </c>
      <c r="L297" s="104" t="s">
        <v>682</v>
      </c>
      <c r="M297" s="67" t="s">
        <v>36</v>
      </c>
      <c r="N297" s="67">
        <v>49.12</v>
      </c>
      <c r="O297" s="67">
        <v>11.6</v>
      </c>
      <c r="P297" s="71">
        <f t="shared" si="45"/>
        <v>37.519999999999996</v>
      </c>
      <c r="Q297" s="72">
        <v>575</v>
      </c>
      <c r="R297" s="73">
        <f t="shared" si="44"/>
        <v>21573.999999999996</v>
      </c>
      <c r="S297" s="72"/>
      <c r="T297" s="74"/>
      <c r="V297" s="74" t="s">
        <v>152</v>
      </c>
      <c r="W297" s="72">
        <v>145</v>
      </c>
      <c r="X297" s="75">
        <f t="shared" si="49"/>
        <v>5440.4</v>
      </c>
      <c r="Y297" s="76">
        <v>150</v>
      </c>
      <c r="Z297" s="76">
        <f t="shared" si="50"/>
        <v>5627.9999999999991</v>
      </c>
      <c r="AA297" s="74">
        <f t="shared" si="51"/>
        <v>32642.399999999994</v>
      </c>
    </row>
    <row r="298" spans="1:38" s="81" customFormat="1" ht="15.75" x14ac:dyDescent="0.25">
      <c r="A298" s="51">
        <v>295</v>
      </c>
      <c r="B298" s="65">
        <v>46004</v>
      </c>
      <c r="C298" s="65">
        <v>46004</v>
      </c>
      <c r="D298" s="101" t="s">
        <v>683</v>
      </c>
      <c r="E298" s="67"/>
      <c r="F298" s="67"/>
      <c r="G298" s="67"/>
      <c r="H298" s="98">
        <v>15</v>
      </c>
      <c r="I298" s="87" t="s">
        <v>684</v>
      </c>
      <c r="J298" s="20" t="s">
        <v>23</v>
      </c>
      <c r="K298" s="19" t="s">
        <v>30</v>
      </c>
      <c r="L298" s="104" t="s">
        <v>685</v>
      </c>
      <c r="M298" s="67" t="s">
        <v>36</v>
      </c>
      <c r="N298" s="80">
        <v>19.940000000000001</v>
      </c>
      <c r="O298" s="67">
        <v>7.5</v>
      </c>
      <c r="P298" s="71">
        <f t="shared" si="45"/>
        <v>12.440000000000001</v>
      </c>
      <c r="Q298" s="72">
        <v>540</v>
      </c>
      <c r="R298" s="73">
        <f t="shared" si="44"/>
        <v>6717.6</v>
      </c>
      <c r="S298" s="72">
        <v>6718</v>
      </c>
      <c r="T298" s="74"/>
      <c r="V298" s="74" t="s">
        <v>152</v>
      </c>
      <c r="W298" s="72"/>
      <c r="X298" s="75">
        <f t="shared" si="49"/>
        <v>0</v>
      </c>
      <c r="Y298" s="76"/>
      <c r="Z298" s="76">
        <f t="shared" si="50"/>
        <v>0</v>
      </c>
      <c r="AA298" s="74">
        <f t="shared" si="51"/>
        <v>6717.6</v>
      </c>
    </row>
    <row r="299" spans="1:38" s="77" customFormat="1" ht="15.75" x14ac:dyDescent="0.25">
      <c r="A299" s="51">
        <v>296</v>
      </c>
      <c r="B299" s="65">
        <v>46004</v>
      </c>
      <c r="C299" s="65">
        <v>46004</v>
      </c>
      <c r="D299" s="101">
        <v>251213014</v>
      </c>
      <c r="E299" s="67" t="s">
        <v>686</v>
      </c>
      <c r="F299" s="67" t="s">
        <v>687</v>
      </c>
      <c r="G299" s="67">
        <v>45</v>
      </c>
      <c r="H299" s="97">
        <v>53</v>
      </c>
      <c r="I299" s="106" t="s">
        <v>430</v>
      </c>
      <c r="J299" s="18" t="s">
        <v>23</v>
      </c>
      <c r="K299" s="19" t="s">
        <v>32</v>
      </c>
      <c r="L299" s="104" t="s">
        <v>467</v>
      </c>
      <c r="M299" s="67" t="s">
        <v>515</v>
      </c>
      <c r="N299" s="80">
        <v>61.6</v>
      </c>
      <c r="O299" s="80">
        <v>16.34</v>
      </c>
      <c r="P299" s="71">
        <f t="shared" si="45"/>
        <v>45.260000000000005</v>
      </c>
      <c r="Q299" s="72">
        <v>355</v>
      </c>
      <c r="R299" s="73">
        <f t="shared" si="44"/>
        <v>16067.300000000001</v>
      </c>
      <c r="S299" s="72"/>
      <c r="T299" s="74"/>
      <c r="V299" s="74" t="s">
        <v>152</v>
      </c>
      <c r="W299" s="72">
        <v>145</v>
      </c>
      <c r="X299" s="75">
        <f t="shared" si="49"/>
        <v>6562.7000000000007</v>
      </c>
      <c r="Y299" s="76">
        <v>200</v>
      </c>
      <c r="Z299" s="76">
        <f t="shared" si="50"/>
        <v>9052.0000000000018</v>
      </c>
      <c r="AA299" s="74">
        <f t="shared" si="51"/>
        <v>31682</v>
      </c>
    </row>
    <row r="300" spans="1:38" s="77" customFormat="1" ht="15.75" x14ac:dyDescent="0.25">
      <c r="A300" s="51">
        <v>297</v>
      </c>
      <c r="B300" s="65">
        <v>46004</v>
      </c>
      <c r="C300" s="65">
        <v>46004</v>
      </c>
      <c r="D300" s="101">
        <v>251213015</v>
      </c>
      <c r="E300" s="67" t="s">
        <v>688</v>
      </c>
      <c r="F300" s="67" t="s">
        <v>689</v>
      </c>
      <c r="G300" s="67">
        <v>45</v>
      </c>
      <c r="H300" s="113">
        <v>125</v>
      </c>
      <c r="I300" s="19" t="s">
        <v>584</v>
      </c>
      <c r="J300" s="20" t="s">
        <v>23</v>
      </c>
      <c r="K300" s="19" t="s">
        <v>32</v>
      </c>
      <c r="L300" s="104" t="s">
        <v>75</v>
      </c>
      <c r="M300" s="67" t="s">
        <v>515</v>
      </c>
      <c r="N300" s="80">
        <v>62.26</v>
      </c>
      <c r="O300" s="80">
        <v>16.64</v>
      </c>
      <c r="P300" s="71">
        <f t="shared" si="45"/>
        <v>45.62</v>
      </c>
      <c r="Q300" s="72">
        <v>475</v>
      </c>
      <c r="R300" s="73">
        <f t="shared" si="44"/>
        <v>21669.5</v>
      </c>
      <c r="S300" s="72"/>
      <c r="T300" s="74"/>
      <c r="V300" s="74" t="s">
        <v>152</v>
      </c>
      <c r="W300" s="72">
        <v>145</v>
      </c>
      <c r="X300" s="75">
        <f t="shared" si="49"/>
        <v>6614.9</v>
      </c>
      <c r="Y300" s="76">
        <v>150</v>
      </c>
      <c r="Z300" s="76">
        <f t="shared" si="50"/>
        <v>6843</v>
      </c>
      <c r="AA300" s="74">
        <f t="shared" si="51"/>
        <v>35127.4</v>
      </c>
    </row>
    <row r="301" spans="1:38" s="77" customFormat="1" ht="15.75" x14ac:dyDescent="0.25">
      <c r="A301" s="51">
        <v>298</v>
      </c>
      <c r="B301" s="65">
        <v>46004</v>
      </c>
      <c r="C301" s="65">
        <v>46004</v>
      </c>
      <c r="D301" s="101">
        <v>251213016</v>
      </c>
      <c r="E301" s="67" t="s">
        <v>690</v>
      </c>
      <c r="F301" s="67" t="s">
        <v>691</v>
      </c>
      <c r="G301" s="67">
        <v>33</v>
      </c>
      <c r="H301" s="97">
        <v>53</v>
      </c>
      <c r="I301" s="106" t="s">
        <v>430</v>
      </c>
      <c r="J301" s="18" t="s">
        <v>23</v>
      </c>
      <c r="K301" s="19" t="s">
        <v>32</v>
      </c>
      <c r="L301" s="104" t="s">
        <v>41</v>
      </c>
      <c r="M301" s="67" t="s">
        <v>515</v>
      </c>
      <c r="N301" s="80">
        <v>45.68</v>
      </c>
      <c r="O301" s="80">
        <v>11.78</v>
      </c>
      <c r="P301" s="71">
        <f t="shared" si="45"/>
        <v>33.9</v>
      </c>
      <c r="Q301" s="72">
        <v>355</v>
      </c>
      <c r="R301" s="73">
        <f t="shared" si="44"/>
        <v>12034.5</v>
      </c>
      <c r="S301" s="72"/>
      <c r="T301" s="74"/>
      <c r="V301" s="74" t="s">
        <v>152</v>
      </c>
      <c r="W301" s="72">
        <v>145</v>
      </c>
      <c r="X301" s="75">
        <f t="shared" si="49"/>
        <v>4915.5</v>
      </c>
      <c r="Y301" s="76">
        <v>200</v>
      </c>
      <c r="Z301" s="76">
        <f t="shared" si="50"/>
        <v>6780</v>
      </c>
      <c r="AA301" s="74">
        <f t="shared" si="51"/>
        <v>23730</v>
      </c>
    </row>
    <row r="302" spans="1:38" s="77" customFormat="1" ht="17.100000000000001" customHeight="1" x14ac:dyDescent="0.25">
      <c r="A302" s="51">
        <v>299</v>
      </c>
      <c r="B302" s="65">
        <v>46004</v>
      </c>
      <c r="C302" s="65">
        <v>46004</v>
      </c>
      <c r="D302" s="101">
        <v>251213017</v>
      </c>
      <c r="E302" s="67" t="s">
        <v>692</v>
      </c>
      <c r="F302" s="67" t="s">
        <v>693</v>
      </c>
      <c r="G302" s="67">
        <v>42</v>
      </c>
      <c r="H302" s="97">
        <v>53</v>
      </c>
      <c r="I302" s="106" t="s">
        <v>430</v>
      </c>
      <c r="J302" s="18" t="s">
        <v>23</v>
      </c>
      <c r="K302" s="19" t="s">
        <v>32</v>
      </c>
      <c r="L302" s="104" t="s">
        <v>54</v>
      </c>
      <c r="M302" s="67" t="s">
        <v>515</v>
      </c>
      <c r="N302" s="80">
        <v>57.92</v>
      </c>
      <c r="O302" s="80">
        <v>14.88</v>
      </c>
      <c r="P302" s="71">
        <f t="shared" si="45"/>
        <v>43.04</v>
      </c>
      <c r="Q302" s="72">
        <v>355</v>
      </c>
      <c r="R302" s="73">
        <f t="shared" si="44"/>
        <v>15279.199999999999</v>
      </c>
      <c r="S302" s="72"/>
      <c r="T302" s="74"/>
      <c r="V302" s="74" t="s">
        <v>152</v>
      </c>
      <c r="W302" s="72">
        <v>145</v>
      </c>
      <c r="X302" s="75">
        <f t="shared" si="49"/>
        <v>6240.8</v>
      </c>
      <c r="Y302" s="76">
        <v>200</v>
      </c>
      <c r="Z302" s="76">
        <f t="shared" si="50"/>
        <v>8608</v>
      </c>
      <c r="AA302" s="74">
        <f t="shared" si="51"/>
        <v>30128</v>
      </c>
      <c r="AB302" s="83"/>
      <c r="AC302" s="82"/>
      <c r="AD302" s="84"/>
      <c r="AE302" s="85"/>
      <c r="AF302" s="82"/>
      <c r="AG302" s="85"/>
      <c r="AH302" s="82"/>
      <c r="AI302" s="84"/>
      <c r="AJ302" s="82"/>
      <c r="AK302" s="84"/>
      <c r="AL302" s="84"/>
    </row>
    <row r="303" spans="1:38" s="77" customFormat="1" ht="15.75" x14ac:dyDescent="0.25">
      <c r="A303" s="51">
        <v>300</v>
      </c>
      <c r="B303" s="65">
        <v>46004</v>
      </c>
      <c r="C303" s="65">
        <v>46004</v>
      </c>
      <c r="D303" s="101">
        <v>251213018</v>
      </c>
      <c r="E303" s="67" t="s">
        <v>694</v>
      </c>
      <c r="F303" s="67" t="s">
        <v>695</v>
      </c>
      <c r="G303" s="67">
        <v>42</v>
      </c>
      <c r="H303" s="97">
        <v>53</v>
      </c>
      <c r="I303" s="106" t="s">
        <v>430</v>
      </c>
      <c r="J303" s="18" t="s">
        <v>23</v>
      </c>
      <c r="K303" s="19" t="s">
        <v>32</v>
      </c>
      <c r="L303" s="104" t="s">
        <v>40</v>
      </c>
      <c r="M303" s="67" t="s">
        <v>515</v>
      </c>
      <c r="N303" s="80">
        <v>57.18</v>
      </c>
      <c r="O303" s="80">
        <v>14.94</v>
      </c>
      <c r="P303" s="71">
        <f t="shared" si="45"/>
        <v>42.24</v>
      </c>
      <c r="Q303" s="72">
        <v>355</v>
      </c>
      <c r="R303" s="73">
        <f t="shared" si="44"/>
        <v>14995.2</v>
      </c>
      <c r="S303" s="72"/>
      <c r="T303" s="74"/>
      <c r="V303" s="74" t="s">
        <v>152</v>
      </c>
      <c r="W303" s="72">
        <v>145</v>
      </c>
      <c r="X303" s="75">
        <f t="shared" si="49"/>
        <v>6124.8</v>
      </c>
      <c r="Y303" s="76">
        <v>200</v>
      </c>
      <c r="Z303" s="76">
        <f t="shared" si="50"/>
        <v>8448</v>
      </c>
      <c r="AA303" s="74">
        <f t="shared" si="51"/>
        <v>29568</v>
      </c>
    </row>
    <row r="304" spans="1:38" s="77" customFormat="1" ht="15.75" x14ac:dyDescent="0.25">
      <c r="A304" s="51">
        <v>301</v>
      </c>
      <c r="B304" s="65">
        <v>46004</v>
      </c>
      <c r="C304" s="65">
        <v>46004</v>
      </c>
      <c r="D304" s="101">
        <v>251213019</v>
      </c>
      <c r="E304" s="67" t="s">
        <v>696</v>
      </c>
      <c r="F304" s="67" t="s">
        <v>697</v>
      </c>
      <c r="G304" s="67">
        <v>44</v>
      </c>
      <c r="H304" s="97">
        <v>53</v>
      </c>
      <c r="I304" s="106" t="s">
        <v>430</v>
      </c>
      <c r="J304" s="18" t="s">
        <v>23</v>
      </c>
      <c r="K304" s="19" t="s">
        <v>32</v>
      </c>
      <c r="L304" s="104" t="s">
        <v>38</v>
      </c>
      <c r="M304" s="67" t="s">
        <v>515</v>
      </c>
      <c r="N304" s="80">
        <v>60.28</v>
      </c>
      <c r="O304" s="80">
        <v>15.88</v>
      </c>
      <c r="P304" s="71">
        <f t="shared" si="45"/>
        <v>44.4</v>
      </c>
      <c r="Q304" s="72">
        <v>355</v>
      </c>
      <c r="R304" s="73">
        <f t="shared" si="44"/>
        <v>15762</v>
      </c>
      <c r="S304" s="72"/>
      <c r="T304" s="74"/>
      <c r="V304" s="74" t="s">
        <v>152</v>
      </c>
      <c r="W304" s="72">
        <v>145</v>
      </c>
      <c r="X304" s="75">
        <f t="shared" si="49"/>
        <v>6438</v>
      </c>
      <c r="Y304" s="76">
        <v>200</v>
      </c>
      <c r="Z304" s="76">
        <f t="shared" si="50"/>
        <v>8880</v>
      </c>
      <c r="AA304" s="74">
        <f t="shared" si="51"/>
        <v>31080</v>
      </c>
    </row>
    <row r="305" spans="1:27" s="77" customFormat="1" ht="15.75" x14ac:dyDescent="0.25">
      <c r="A305" s="51">
        <v>302</v>
      </c>
      <c r="B305" s="65">
        <v>46004</v>
      </c>
      <c r="C305" s="65">
        <v>46004</v>
      </c>
      <c r="D305" s="101">
        <v>251213020</v>
      </c>
      <c r="E305" s="67" t="s">
        <v>698</v>
      </c>
      <c r="F305" s="67" t="s">
        <v>699</v>
      </c>
      <c r="G305" s="67">
        <v>47</v>
      </c>
      <c r="H305" s="113">
        <v>131</v>
      </c>
      <c r="I305" s="19" t="s">
        <v>700</v>
      </c>
      <c r="J305" s="20" t="s">
        <v>23</v>
      </c>
      <c r="K305" s="19" t="s">
        <v>32</v>
      </c>
      <c r="L305" s="101" t="s">
        <v>59</v>
      </c>
      <c r="M305" s="67" t="s">
        <v>34</v>
      </c>
      <c r="N305" s="80">
        <v>65.42</v>
      </c>
      <c r="O305" s="80">
        <v>17.600000000000001</v>
      </c>
      <c r="P305" s="71">
        <f t="shared" si="45"/>
        <v>47.82</v>
      </c>
      <c r="Q305" s="72">
        <v>285</v>
      </c>
      <c r="R305" s="73">
        <f t="shared" si="44"/>
        <v>13628.7</v>
      </c>
      <c r="S305" s="72"/>
      <c r="T305" s="74"/>
      <c r="V305" s="74" t="s">
        <v>152</v>
      </c>
      <c r="W305" s="72">
        <v>145</v>
      </c>
      <c r="X305" s="75">
        <f t="shared" si="49"/>
        <v>6933.9</v>
      </c>
      <c r="Y305" s="76">
        <v>200</v>
      </c>
      <c r="Z305" s="76">
        <f t="shared" si="50"/>
        <v>9564</v>
      </c>
      <c r="AA305" s="74">
        <f t="shared" si="51"/>
        <v>30126.6</v>
      </c>
    </row>
    <row r="306" spans="1:27" s="77" customFormat="1" ht="15.75" x14ac:dyDescent="0.25">
      <c r="A306" s="51">
        <v>303</v>
      </c>
      <c r="B306" s="65">
        <v>46004</v>
      </c>
      <c r="C306" s="65">
        <v>46004</v>
      </c>
      <c r="D306" s="101">
        <v>251213021</v>
      </c>
      <c r="E306" s="67" t="s">
        <v>701</v>
      </c>
      <c r="F306" s="67" t="s">
        <v>702</v>
      </c>
      <c r="G306" s="67">
        <v>43</v>
      </c>
      <c r="H306" s="113">
        <v>131</v>
      </c>
      <c r="I306" s="19" t="s">
        <v>700</v>
      </c>
      <c r="J306" s="20" t="s">
        <v>23</v>
      </c>
      <c r="K306" s="19" t="s">
        <v>32</v>
      </c>
      <c r="L306" s="104" t="s">
        <v>39</v>
      </c>
      <c r="M306" s="67" t="s">
        <v>34</v>
      </c>
      <c r="N306" s="80">
        <v>59.62</v>
      </c>
      <c r="O306" s="80">
        <v>15.7</v>
      </c>
      <c r="P306" s="71">
        <f t="shared" si="45"/>
        <v>43.92</v>
      </c>
      <c r="Q306" s="72">
        <v>285</v>
      </c>
      <c r="R306" s="73">
        <f t="shared" si="44"/>
        <v>12517.2</v>
      </c>
      <c r="S306" s="72"/>
      <c r="T306" s="74"/>
      <c r="V306" s="74" t="s">
        <v>152</v>
      </c>
      <c r="W306" s="72">
        <v>145</v>
      </c>
      <c r="X306" s="75">
        <f t="shared" si="49"/>
        <v>6368.4000000000005</v>
      </c>
      <c r="Y306" s="76">
        <v>200</v>
      </c>
      <c r="Z306" s="76">
        <f t="shared" si="50"/>
        <v>8784</v>
      </c>
      <c r="AA306" s="74">
        <f t="shared" si="51"/>
        <v>27669.600000000002</v>
      </c>
    </row>
    <row r="307" spans="1:27" s="81" customFormat="1" ht="15.75" x14ac:dyDescent="0.25">
      <c r="A307" s="51">
        <v>304</v>
      </c>
      <c r="B307" s="65">
        <v>46004</v>
      </c>
      <c r="C307" s="65">
        <v>46004</v>
      </c>
      <c r="D307" s="101">
        <v>251213022</v>
      </c>
      <c r="E307" s="67" t="s">
        <v>703</v>
      </c>
      <c r="F307" s="67" t="s">
        <v>704</v>
      </c>
      <c r="G307" s="67">
        <v>33</v>
      </c>
      <c r="H307" s="113">
        <v>125</v>
      </c>
      <c r="I307" s="19" t="s">
        <v>584</v>
      </c>
      <c r="J307" s="20" t="s">
        <v>23</v>
      </c>
      <c r="K307" s="19" t="s">
        <v>32</v>
      </c>
      <c r="L307" s="104" t="s">
        <v>286</v>
      </c>
      <c r="M307" s="67" t="s">
        <v>515</v>
      </c>
      <c r="N307" s="80">
        <v>45.1</v>
      </c>
      <c r="O307" s="80">
        <v>11.5</v>
      </c>
      <c r="P307" s="71">
        <f t="shared" si="45"/>
        <v>33.6</v>
      </c>
      <c r="Q307" s="72">
        <v>475</v>
      </c>
      <c r="R307" s="73">
        <f t="shared" si="44"/>
        <v>15960</v>
      </c>
      <c r="S307" s="72"/>
      <c r="T307" s="74"/>
      <c r="V307" s="74" t="s">
        <v>152</v>
      </c>
      <c r="W307" s="72">
        <v>145</v>
      </c>
      <c r="X307" s="75">
        <f t="shared" si="49"/>
        <v>4872</v>
      </c>
      <c r="Y307" s="76">
        <v>150</v>
      </c>
      <c r="Z307" s="74">
        <f t="shared" si="50"/>
        <v>5040</v>
      </c>
      <c r="AA307" s="74">
        <f t="shared" si="51"/>
        <v>25872</v>
      </c>
    </row>
    <row r="308" spans="1:27" s="81" customFormat="1" ht="15.75" x14ac:dyDescent="0.25">
      <c r="A308" s="51">
        <v>305</v>
      </c>
      <c r="B308" s="65">
        <v>46004</v>
      </c>
      <c r="C308" s="65">
        <v>46004</v>
      </c>
      <c r="D308" s="101" t="s">
        <v>705</v>
      </c>
      <c r="E308" s="67"/>
      <c r="F308" s="67"/>
      <c r="G308" s="67"/>
      <c r="H308" s="98">
        <v>15</v>
      </c>
      <c r="I308" s="87" t="s">
        <v>684</v>
      </c>
      <c r="J308" s="20" t="s">
        <v>23</v>
      </c>
      <c r="K308" s="19" t="s">
        <v>30</v>
      </c>
      <c r="L308" s="104" t="s">
        <v>685</v>
      </c>
      <c r="M308" s="67" t="s">
        <v>36</v>
      </c>
      <c r="N308" s="80">
        <v>19.48</v>
      </c>
      <c r="O308" s="80">
        <v>7.5</v>
      </c>
      <c r="P308" s="71">
        <f t="shared" si="45"/>
        <v>11.98</v>
      </c>
      <c r="Q308" s="72">
        <v>540</v>
      </c>
      <c r="R308" s="73">
        <f t="shared" si="44"/>
        <v>6469.2</v>
      </c>
      <c r="S308" s="72">
        <v>6469</v>
      </c>
      <c r="T308" s="74"/>
      <c r="V308" s="74" t="s">
        <v>152</v>
      </c>
      <c r="W308" s="72"/>
      <c r="X308" s="75">
        <f t="shared" si="49"/>
        <v>0</v>
      </c>
      <c r="Y308" s="76"/>
      <c r="Z308" s="74">
        <f t="shared" si="50"/>
        <v>0</v>
      </c>
      <c r="AA308" s="74">
        <f t="shared" si="51"/>
        <v>6469.2</v>
      </c>
    </row>
    <row r="309" spans="1:27" s="77" customFormat="1" ht="15.75" x14ac:dyDescent="0.25">
      <c r="A309" s="51">
        <v>306</v>
      </c>
      <c r="B309" s="65">
        <v>46004</v>
      </c>
      <c r="C309" s="65">
        <v>46004</v>
      </c>
      <c r="D309" s="101">
        <v>251213023</v>
      </c>
      <c r="E309" s="67" t="s">
        <v>706</v>
      </c>
      <c r="F309" s="67" t="s">
        <v>707</v>
      </c>
      <c r="G309" s="67">
        <v>45</v>
      </c>
      <c r="H309" s="113">
        <v>131</v>
      </c>
      <c r="I309" s="19" t="s">
        <v>700</v>
      </c>
      <c r="J309" s="20" t="s">
        <v>23</v>
      </c>
      <c r="K309" s="19" t="s">
        <v>32</v>
      </c>
      <c r="L309" s="101" t="s">
        <v>514</v>
      </c>
      <c r="M309" s="67" t="s">
        <v>36</v>
      </c>
      <c r="N309" s="80">
        <v>60.84</v>
      </c>
      <c r="O309" s="80">
        <v>15.4</v>
      </c>
      <c r="P309" s="71">
        <f t="shared" si="45"/>
        <v>45.440000000000005</v>
      </c>
      <c r="Q309" s="72">
        <v>535</v>
      </c>
      <c r="R309" s="73">
        <f t="shared" si="44"/>
        <v>24310.400000000001</v>
      </c>
      <c r="S309" s="72"/>
      <c r="T309" s="74"/>
      <c r="V309" s="74" t="s">
        <v>152</v>
      </c>
      <c r="W309" s="72">
        <v>145</v>
      </c>
      <c r="X309" s="75">
        <f t="shared" si="49"/>
        <v>6588.8000000000011</v>
      </c>
      <c r="Y309" s="76">
        <v>200</v>
      </c>
      <c r="Z309" s="74">
        <f t="shared" si="50"/>
        <v>9088.0000000000018</v>
      </c>
      <c r="AA309" s="74">
        <f t="shared" si="51"/>
        <v>39987.200000000004</v>
      </c>
    </row>
    <row r="310" spans="1:27" s="77" customFormat="1" ht="15.75" x14ac:dyDescent="0.25">
      <c r="A310" s="51">
        <v>307</v>
      </c>
      <c r="B310" s="65">
        <v>46004</v>
      </c>
      <c r="C310" s="65">
        <v>46004</v>
      </c>
      <c r="D310" s="101">
        <v>251213024</v>
      </c>
      <c r="E310" s="67" t="s">
        <v>708</v>
      </c>
      <c r="F310" s="67" t="s">
        <v>709</v>
      </c>
      <c r="G310" s="67">
        <v>34</v>
      </c>
      <c r="H310" s="113">
        <v>125</v>
      </c>
      <c r="I310" s="19" t="s">
        <v>584</v>
      </c>
      <c r="J310" s="20" t="s">
        <v>23</v>
      </c>
      <c r="K310" s="19" t="s">
        <v>32</v>
      </c>
      <c r="L310" s="104" t="s">
        <v>57</v>
      </c>
      <c r="M310" s="67" t="s">
        <v>515</v>
      </c>
      <c r="N310" s="80">
        <v>45.58</v>
      </c>
      <c r="O310" s="80">
        <v>11.3</v>
      </c>
      <c r="P310" s="71">
        <f t="shared" si="45"/>
        <v>34.28</v>
      </c>
      <c r="Q310" s="72">
        <v>475</v>
      </c>
      <c r="R310" s="73">
        <f t="shared" si="44"/>
        <v>16283</v>
      </c>
      <c r="S310" s="72"/>
      <c r="T310" s="74"/>
      <c r="V310" s="74" t="s">
        <v>152</v>
      </c>
      <c r="W310" s="72">
        <v>145</v>
      </c>
      <c r="X310" s="75">
        <f t="shared" si="49"/>
        <v>4970.6000000000004</v>
      </c>
      <c r="Y310" s="76">
        <v>150</v>
      </c>
      <c r="Z310" s="74">
        <f t="shared" si="50"/>
        <v>5142</v>
      </c>
      <c r="AA310" s="74">
        <f t="shared" si="51"/>
        <v>26395.599999999999</v>
      </c>
    </row>
    <row r="311" spans="1:27" s="77" customFormat="1" ht="15.75" x14ac:dyDescent="0.25">
      <c r="A311" s="51">
        <v>308</v>
      </c>
      <c r="B311" s="65">
        <v>46004</v>
      </c>
      <c r="C311" s="65">
        <v>46004</v>
      </c>
      <c r="D311" s="101">
        <v>251213025</v>
      </c>
      <c r="E311" s="67" t="s">
        <v>710</v>
      </c>
      <c r="F311" s="67" t="s">
        <v>711</v>
      </c>
      <c r="G311" s="67">
        <v>45</v>
      </c>
      <c r="H311" s="113">
        <v>131</v>
      </c>
      <c r="I311" s="19" t="s">
        <v>700</v>
      </c>
      <c r="J311" s="20" t="s">
        <v>23</v>
      </c>
      <c r="K311" s="19" t="s">
        <v>32</v>
      </c>
      <c r="L311" s="104" t="s">
        <v>585</v>
      </c>
      <c r="M311" s="67" t="s">
        <v>34</v>
      </c>
      <c r="N311" s="80">
        <v>60.16</v>
      </c>
      <c r="O311" s="80">
        <v>15.04</v>
      </c>
      <c r="P311" s="71">
        <f t="shared" si="45"/>
        <v>45.12</v>
      </c>
      <c r="Q311" s="72">
        <v>285</v>
      </c>
      <c r="R311" s="73">
        <f t="shared" si="44"/>
        <v>12859.199999999999</v>
      </c>
      <c r="S311" s="72"/>
      <c r="T311" s="74"/>
      <c r="V311" s="74" t="s">
        <v>152</v>
      </c>
      <c r="W311" s="72">
        <v>145</v>
      </c>
      <c r="X311" s="75">
        <f t="shared" si="49"/>
        <v>6542.4</v>
      </c>
      <c r="Y311" s="76">
        <v>200</v>
      </c>
      <c r="Z311" s="74">
        <f t="shared" si="50"/>
        <v>9024</v>
      </c>
      <c r="AA311" s="74">
        <f t="shared" si="51"/>
        <v>28425.599999999999</v>
      </c>
    </row>
    <row r="312" spans="1:27" s="81" customFormat="1" ht="15.75" x14ac:dyDescent="0.25">
      <c r="A312" s="51">
        <v>309</v>
      </c>
      <c r="B312" s="65">
        <v>46004</v>
      </c>
      <c r="C312" s="65">
        <v>46004</v>
      </c>
      <c r="D312" s="101">
        <v>251213026</v>
      </c>
      <c r="E312" s="67" t="s">
        <v>712</v>
      </c>
      <c r="F312" s="67" t="s">
        <v>713</v>
      </c>
      <c r="G312" s="67">
        <v>44</v>
      </c>
      <c r="H312" s="113">
        <v>131</v>
      </c>
      <c r="I312" s="19" t="s">
        <v>700</v>
      </c>
      <c r="J312" s="20" t="s">
        <v>23</v>
      </c>
      <c r="K312" s="19" t="s">
        <v>32</v>
      </c>
      <c r="L312" s="109" t="s">
        <v>43</v>
      </c>
      <c r="M312" s="67" t="s">
        <v>36</v>
      </c>
      <c r="N312" s="80">
        <v>60.56</v>
      </c>
      <c r="O312" s="80">
        <v>15.84</v>
      </c>
      <c r="P312" s="71">
        <f t="shared" si="45"/>
        <v>44.72</v>
      </c>
      <c r="Q312" s="72">
        <v>535</v>
      </c>
      <c r="R312" s="73">
        <f t="shared" si="44"/>
        <v>23925.200000000001</v>
      </c>
      <c r="S312" s="72"/>
      <c r="T312" s="74"/>
      <c r="V312" s="74" t="s">
        <v>152</v>
      </c>
      <c r="W312" s="72">
        <v>145</v>
      </c>
      <c r="X312" s="75">
        <f t="shared" si="49"/>
        <v>6484.4</v>
      </c>
      <c r="Y312" s="76">
        <v>200</v>
      </c>
      <c r="Z312" s="74">
        <f t="shared" si="50"/>
        <v>8944</v>
      </c>
      <c r="AA312" s="74">
        <f t="shared" si="51"/>
        <v>39353.599999999999</v>
      </c>
    </row>
    <row r="313" spans="1:27" s="81" customFormat="1" ht="15.75" x14ac:dyDescent="0.25">
      <c r="A313" s="51">
        <v>310</v>
      </c>
      <c r="B313" s="65">
        <v>46004</v>
      </c>
      <c r="C313" s="65">
        <v>46004</v>
      </c>
      <c r="D313" s="101">
        <v>251213027</v>
      </c>
      <c r="E313" s="67" t="s">
        <v>714</v>
      </c>
      <c r="F313" s="67" t="s">
        <v>715</v>
      </c>
      <c r="G313" s="67">
        <v>38</v>
      </c>
      <c r="H313" s="97">
        <v>24</v>
      </c>
      <c r="I313" s="87" t="s">
        <v>199</v>
      </c>
      <c r="J313" s="18" t="s">
        <v>23</v>
      </c>
      <c r="K313" s="19" t="s">
        <v>32</v>
      </c>
      <c r="L313" s="104" t="s">
        <v>423</v>
      </c>
      <c r="M313" s="67" t="s">
        <v>34</v>
      </c>
      <c r="N313" s="80">
        <v>51.52</v>
      </c>
      <c r="O313" s="80">
        <v>13.16</v>
      </c>
      <c r="P313" s="71">
        <f t="shared" si="45"/>
        <v>38.36</v>
      </c>
      <c r="Q313" s="72">
        <v>335</v>
      </c>
      <c r="R313" s="73">
        <f t="shared" si="44"/>
        <v>12850.6</v>
      </c>
      <c r="S313" s="72"/>
      <c r="T313" s="74"/>
      <c r="V313" s="74" t="s">
        <v>24</v>
      </c>
      <c r="W313" s="72">
        <v>145</v>
      </c>
      <c r="X313" s="75">
        <f t="shared" si="49"/>
        <v>5562.2</v>
      </c>
      <c r="Y313" s="76">
        <v>260</v>
      </c>
      <c r="Z313" s="74">
        <f t="shared" si="50"/>
        <v>9973.6</v>
      </c>
      <c r="AA313" s="74">
        <f t="shared" si="51"/>
        <v>28386.400000000001</v>
      </c>
    </row>
    <row r="314" spans="1:27" s="77" customFormat="1" ht="15.75" x14ac:dyDescent="0.25">
      <c r="A314" s="51">
        <v>311</v>
      </c>
      <c r="B314" s="65">
        <v>46004</v>
      </c>
      <c r="C314" s="65">
        <v>46004</v>
      </c>
      <c r="D314" s="101">
        <v>251213028</v>
      </c>
      <c r="E314" s="67" t="s">
        <v>716</v>
      </c>
      <c r="F314" s="67" t="s">
        <v>717</v>
      </c>
      <c r="G314" s="67">
        <v>58</v>
      </c>
      <c r="H314" s="97">
        <v>24</v>
      </c>
      <c r="I314" s="87" t="s">
        <v>199</v>
      </c>
      <c r="J314" s="18" t="s">
        <v>23</v>
      </c>
      <c r="K314" s="19" t="s">
        <v>32</v>
      </c>
      <c r="L314" s="104" t="s">
        <v>46</v>
      </c>
      <c r="M314" s="67" t="s">
        <v>34</v>
      </c>
      <c r="N314" s="67">
        <v>76.08</v>
      </c>
      <c r="O314" s="80">
        <v>17.22</v>
      </c>
      <c r="P314" s="71">
        <f t="shared" si="45"/>
        <v>58.86</v>
      </c>
      <c r="Q314" s="72">
        <v>335</v>
      </c>
      <c r="R314" s="73">
        <f t="shared" si="44"/>
        <v>19718.099999999999</v>
      </c>
      <c r="S314" s="72"/>
      <c r="T314" s="74"/>
      <c r="V314" s="74" t="s">
        <v>24</v>
      </c>
      <c r="W314" s="72">
        <v>145</v>
      </c>
      <c r="X314" s="75">
        <f t="shared" si="49"/>
        <v>8534.7000000000007</v>
      </c>
      <c r="Y314" s="76">
        <v>260</v>
      </c>
      <c r="Z314" s="74">
        <f t="shared" si="50"/>
        <v>15303.6</v>
      </c>
      <c r="AA314" s="74">
        <f t="shared" si="51"/>
        <v>43556.4</v>
      </c>
    </row>
    <row r="315" spans="1:27" s="77" customFormat="1" ht="15.75" x14ac:dyDescent="0.25">
      <c r="A315" s="51">
        <v>312</v>
      </c>
      <c r="B315" s="65">
        <v>46004</v>
      </c>
      <c r="C315" s="65">
        <v>46004</v>
      </c>
      <c r="D315" s="101">
        <v>251213029</v>
      </c>
      <c r="E315" s="67" t="s">
        <v>718</v>
      </c>
      <c r="F315" s="67" t="s">
        <v>719</v>
      </c>
      <c r="G315" s="67">
        <v>33</v>
      </c>
      <c r="H315" s="97">
        <v>24</v>
      </c>
      <c r="I315" s="87" t="s">
        <v>199</v>
      </c>
      <c r="J315" s="18" t="s">
        <v>23</v>
      </c>
      <c r="K315" s="19" t="s">
        <v>32</v>
      </c>
      <c r="L315" s="104" t="s">
        <v>42</v>
      </c>
      <c r="M315" s="67" t="s">
        <v>34</v>
      </c>
      <c r="N315" s="80">
        <v>45.36</v>
      </c>
      <c r="O315" s="80">
        <v>11.58</v>
      </c>
      <c r="P315" s="71">
        <f t="shared" si="45"/>
        <v>33.78</v>
      </c>
      <c r="Q315" s="72">
        <v>335</v>
      </c>
      <c r="R315" s="73">
        <f t="shared" si="44"/>
        <v>11316.300000000001</v>
      </c>
      <c r="S315" s="72"/>
      <c r="T315" s="74"/>
      <c r="V315" s="74" t="s">
        <v>24</v>
      </c>
      <c r="W315" s="72">
        <v>145</v>
      </c>
      <c r="X315" s="75">
        <f t="shared" si="49"/>
        <v>4898.1000000000004</v>
      </c>
      <c r="Y315" s="76">
        <v>260</v>
      </c>
      <c r="Z315" s="74">
        <f t="shared" si="50"/>
        <v>8782.8000000000011</v>
      </c>
      <c r="AA315" s="74">
        <f t="shared" si="51"/>
        <v>24997.200000000004</v>
      </c>
    </row>
    <row r="316" spans="1:27" s="81" customFormat="1" ht="15.75" x14ac:dyDescent="0.25">
      <c r="A316" s="51">
        <v>313</v>
      </c>
      <c r="B316" s="65">
        <v>46004</v>
      </c>
      <c r="C316" s="65">
        <v>46004</v>
      </c>
      <c r="D316" s="101">
        <v>251213030</v>
      </c>
      <c r="E316" s="67" t="s">
        <v>720</v>
      </c>
      <c r="F316" s="67" t="s">
        <v>721</v>
      </c>
      <c r="G316" s="67">
        <v>33</v>
      </c>
      <c r="H316" s="97">
        <v>24</v>
      </c>
      <c r="I316" s="87" t="s">
        <v>199</v>
      </c>
      <c r="J316" s="18" t="s">
        <v>23</v>
      </c>
      <c r="K316" s="19" t="s">
        <v>32</v>
      </c>
      <c r="L316" s="67" t="s">
        <v>44</v>
      </c>
      <c r="M316" s="67" t="s">
        <v>34</v>
      </c>
      <c r="N316" s="80">
        <v>45.02</v>
      </c>
      <c r="O316" s="80">
        <v>11.8</v>
      </c>
      <c r="P316" s="71">
        <f t="shared" si="45"/>
        <v>33.22</v>
      </c>
      <c r="Q316" s="72">
        <v>335</v>
      </c>
      <c r="R316" s="73">
        <f t="shared" si="44"/>
        <v>11128.699999999999</v>
      </c>
      <c r="S316" s="72"/>
      <c r="T316" s="74"/>
      <c r="V316" s="74" t="s">
        <v>24</v>
      </c>
      <c r="W316" s="72">
        <v>145</v>
      </c>
      <c r="X316" s="75">
        <f t="shared" si="49"/>
        <v>4816.8999999999996</v>
      </c>
      <c r="Y316" s="76">
        <v>260</v>
      </c>
      <c r="Z316" s="74">
        <f t="shared" si="50"/>
        <v>8637.1999999999989</v>
      </c>
      <c r="AA316" s="74">
        <f t="shared" si="51"/>
        <v>24582.799999999996</v>
      </c>
    </row>
    <row r="317" spans="1:27" s="77" customFormat="1" ht="15.75" x14ac:dyDescent="0.25">
      <c r="A317" s="51">
        <v>314</v>
      </c>
      <c r="B317" s="65">
        <v>46004</v>
      </c>
      <c r="C317" s="65">
        <v>46005</v>
      </c>
      <c r="D317" s="101">
        <v>251214001</v>
      </c>
      <c r="E317" s="67" t="s">
        <v>722</v>
      </c>
      <c r="F317" s="67" t="s">
        <v>723</v>
      </c>
      <c r="G317" s="67">
        <v>43</v>
      </c>
      <c r="H317" s="97">
        <v>53</v>
      </c>
      <c r="I317" s="106" t="s">
        <v>430</v>
      </c>
      <c r="J317" s="18" t="s">
        <v>23</v>
      </c>
      <c r="K317" s="19" t="s">
        <v>32</v>
      </c>
      <c r="L317" s="104" t="s">
        <v>54</v>
      </c>
      <c r="M317" s="67" t="s">
        <v>515</v>
      </c>
      <c r="N317" s="80">
        <v>58.28</v>
      </c>
      <c r="O317" s="80">
        <v>15.06</v>
      </c>
      <c r="P317" s="71">
        <f t="shared" si="45"/>
        <v>43.22</v>
      </c>
      <c r="Q317" s="72">
        <v>355</v>
      </c>
      <c r="R317" s="73">
        <f t="shared" si="44"/>
        <v>15343.1</v>
      </c>
      <c r="S317" s="72"/>
      <c r="T317" s="74"/>
      <c r="V317" s="74" t="s">
        <v>24</v>
      </c>
      <c r="W317" s="72">
        <v>145</v>
      </c>
      <c r="X317" s="75">
        <f t="shared" si="49"/>
        <v>6266.9</v>
      </c>
      <c r="Y317" s="76">
        <v>200</v>
      </c>
      <c r="Z317" s="74">
        <f t="shared" si="50"/>
        <v>8644</v>
      </c>
      <c r="AA317" s="74">
        <f t="shared" si="51"/>
        <v>30254</v>
      </c>
    </row>
    <row r="318" spans="1:27" s="77" customFormat="1" ht="15.75" x14ac:dyDescent="0.25">
      <c r="A318" s="51">
        <v>315</v>
      </c>
      <c r="B318" s="65">
        <v>46004</v>
      </c>
      <c r="C318" s="65">
        <v>46005</v>
      </c>
      <c r="D318" s="101">
        <v>251214002</v>
      </c>
      <c r="E318" s="67" t="s">
        <v>724</v>
      </c>
      <c r="F318" s="67" t="s">
        <v>725</v>
      </c>
      <c r="G318" s="67">
        <v>43</v>
      </c>
      <c r="H318" s="97">
        <v>53</v>
      </c>
      <c r="I318" s="106" t="s">
        <v>430</v>
      </c>
      <c r="J318" s="18" t="s">
        <v>23</v>
      </c>
      <c r="K318" s="19" t="s">
        <v>32</v>
      </c>
      <c r="L318" s="104" t="s">
        <v>40</v>
      </c>
      <c r="M318" s="67" t="s">
        <v>515</v>
      </c>
      <c r="N318" s="67">
        <v>58.54</v>
      </c>
      <c r="O318" s="80">
        <v>15.12</v>
      </c>
      <c r="P318" s="71">
        <f t="shared" si="45"/>
        <v>43.42</v>
      </c>
      <c r="Q318" s="72">
        <v>355</v>
      </c>
      <c r="R318" s="73">
        <f t="shared" si="44"/>
        <v>15414.1</v>
      </c>
      <c r="S318" s="72"/>
      <c r="T318" s="74"/>
      <c r="V318" s="74" t="s">
        <v>24</v>
      </c>
      <c r="W318" s="72">
        <v>145</v>
      </c>
      <c r="X318" s="75">
        <f t="shared" si="49"/>
        <v>6295.9000000000005</v>
      </c>
      <c r="Y318" s="76">
        <v>200</v>
      </c>
      <c r="Z318" s="74">
        <f t="shared" si="50"/>
        <v>8684</v>
      </c>
      <c r="AA318" s="74">
        <f t="shared" si="51"/>
        <v>30394</v>
      </c>
    </row>
    <row r="319" spans="1:27" s="81" customFormat="1" ht="15.75" x14ac:dyDescent="0.25">
      <c r="A319" s="51">
        <v>316</v>
      </c>
      <c r="B319" s="65">
        <v>46004</v>
      </c>
      <c r="C319" s="65">
        <v>46005</v>
      </c>
      <c r="D319" s="101">
        <v>251214003</v>
      </c>
      <c r="E319" s="67" t="s">
        <v>726</v>
      </c>
      <c r="F319" s="67" t="s">
        <v>727</v>
      </c>
      <c r="G319" s="67">
        <v>44</v>
      </c>
      <c r="H319" s="97">
        <v>53</v>
      </c>
      <c r="I319" s="106" t="s">
        <v>430</v>
      </c>
      <c r="J319" s="18" t="s">
        <v>23</v>
      </c>
      <c r="K319" s="19" t="s">
        <v>32</v>
      </c>
      <c r="L319" s="101" t="s">
        <v>39</v>
      </c>
      <c r="M319" s="67" t="s">
        <v>515</v>
      </c>
      <c r="N319" s="80">
        <v>60.32</v>
      </c>
      <c r="O319" s="67">
        <v>15.84</v>
      </c>
      <c r="P319" s="71">
        <f t="shared" si="45"/>
        <v>44.480000000000004</v>
      </c>
      <c r="Q319" s="72">
        <v>355</v>
      </c>
      <c r="R319" s="73">
        <f t="shared" si="44"/>
        <v>15790.400000000001</v>
      </c>
      <c r="S319" s="67"/>
      <c r="T319" s="74"/>
      <c r="V319" s="74" t="s">
        <v>24</v>
      </c>
      <c r="W319" s="72">
        <v>145</v>
      </c>
      <c r="X319" s="75">
        <f t="shared" si="49"/>
        <v>6449.6</v>
      </c>
      <c r="Y319" s="76">
        <v>200</v>
      </c>
      <c r="Z319" s="74">
        <f t="shared" si="50"/>
        <v>8896</v>
      </c>
      <c r="AA319" s="74">
        <f t="shared" si="51"/>
        <v>31136</v>
      </c>
    </row>
    <row r="320" spans="1:27" s="81" customFormat="1" ht="15.75" x14ac:dyDescent="0.25">
      <c r="A320" s="51">
        <v>317</v>
      </c>
      <c r="B320" s="65">
        <v>46004</v>
      </c>
      <c r="C320" s="65">
        <v>46005</v>
      </c>
      <c r="D320" s="101">
        <v>251214004</v>
      </c>
      <c r="E320" s="67" t="s">
        <v>728</v>
      </c>
      <c r="F320" s="67" t="s">
        <v>729</v>
      </c>
      <c r="G320" s="67">
        <v>48</v>
      </c>
      <c r="H320" s="97">
        <v>53</v>
      </c>
      <c r="I320" s="106" t="s">
        <v>430</v>
      </c>
      <c r="J320" s="18" t="s">
        <v>23</v>
      </c>
      <c r="K320" s="19" t="s">
        <v>32</v>
      </c>
      <c r="L320" s="104" t="s">
        <v>418</v>
      </c>
      <c r="M320" s="67" t="s">
        <v>515</v>
      </c>
      <c r="N320" s="80">
        <v>66.599999999999994</v>
      </c>
      <c r="O320" s="80">
        <v>18.100000000000001</v>
      </c>
      <c r="P320" s="71">
        <f t="shared" si="45"/>
        <v>48.499999999999993</v>
      </c>
      <c r="Q320" s="67">
        <v>355</v>
      </c>
      <c r="R320" s="73">
        <f t="shared" si="44"/>
        <v>17217.499999999996</v>
      </c>
      <c r="S320" s="67"/>
      <c r="T320" s="74"/>
      <c r="V320" s="74" t="s">
        <v>24</v>
      </c>
      <c r="W320" s="72">
        <v>145</v>
      </c>
      <c r="X320" s="75">
        <f t="shared" si="49"/>
        <v>7032.4999999999991</v>
      </c>
      <c r="Y320" s="76">
        <v>200</v>
      </c>
      <c r="Z320" s="74">
        <f t="shared" si="50"/>
        <v>9699.9999999999982</v>
      </c>
      <c r="AA320" s="74">
        <f t="shared" si="51"/>
        <v>33949.999999999993</v>
      </c>
    </row>
    <row r="321" spans="1:38" s="81" customFormat="1" ht="15.75" x14ac:dyDescent="0.25">
      <c r="A321" s="51">
        <v>318</v>
      </c>
      <c r="B321" s="65">
        <v>46004</v>
      </c>
      <c r="C321" s="65">
        <v>46005</v>
      </c>
      <c r="D321" s="104">
        <v>251214005</v>
      </c>
      <c r="E321" s="67" t="s">
        <v>730</v>
      </c>
      <c r="F321" s="67" t="s">
        <v>731</v>
      </c>
      <c r="G321" s="67">
        <v>33</v>
      </c>
      <c r="H321" s="97">
        <v>53</v>
      </c>
      <c r="I321" s="106" t="s">
        <v>430</v>
      </c>
      <c r="J321" s="18" t="s">
        <v>23</v>
      </c>
      <c r="K321" s="19" t="s">
        <v>32</v>
      </c>
      <c r="L321" s="104" t="s">
        <v>47</v>
      </c>
      <c r="M321" s="67" t="s">
        <v>515</v>
      </c>
      <c r="N321" s="80">
        <v>44.64</v>
      </c>
      <c r="O321" s="80">
        <v>11.26</v>
      </c>
      <c r="P321" s="71">
        <f t="shared" si="45"/>
        <v>33.380000000000003</v>
      </c>
      <c r="Q321" s="67">
        <v>355</v>
      </c>
      <c r="R321" s="73">
        <f t="shared" si="44"/>
        <v>11849.900000000001</v>
      </c>
      <c r="S321" s="67"/>
      <c r="T321" s="74"/>
      <c r="V321" s="74" t="s">
        <v>24</v>
      </c>
      <c r="W321" s="72">
        <v>145</v>
      </c>
      <c r="X321" s="75">
        <f t="shared" si="49"/>
        <v>4840.1000000000004</v>
      </c>
      <c r="Y321" s="76">
        <v>200</v>
      </c>
      <c r="Z321" s="74">
        <f t="shared" si="50"/>
        <v>6676.0000000000009</v>
      </c>
      <c r="AA321" s="74">
        <f t="shared" si="51"/>
        <v>23366</v>
      </c>
    </row>
    <row r="322" spans="1:38" s="77" customFormat="1" ht="15.75" x14ac:dyDescent="0.25">
      <c r="A322" s="51">
        <v>319</v>
      </c>
      <c r="B322" s="65">
        <v>46005</v>
      </c>
      <c r="C322" s="65">
        <v>46005</v>
      </c>
      <c r="D322" s="105" t="s">
        <v>732</v>
      </c>
      <c r="E322" s="67"/>
      <c r="F322" s="67"/>
      <c r="G322" s="67"/>
      <c r="H322" s="114"/>
      <c r="I322" s="114" t="s">
        <v>527</v>
      </c>
      <c r="J322" s="116" t="s">
        <v>23</v>
      </c>
      <c r="K322" s="114" t="s">
        <v>32</v>
      </c>
      <c r="L322" s="104" t="s">
        <v>528</v>
      </c>
      <c r="M322" s="67" t="s">
        <v>49</v>
      </c>
      <c r="N322" s="67">
        <v>56.18</v>
      </c>
      <c r="O322" s="67">
        <v>17.98</v>
      </c>
      <c r="P322" s="71">
        <f t="shared" si="45"/>
        <v>38.200000000000003</v>
      </c>
      <c r="Q322" s="72">
        <v>150</v>
      </c>
      <c r="R322" s="73">
        <f t="shared" si="44"/>
        <v>5730</v>
      </c>
      <c r="S322" s="72"/>
      <c r="T322" s="74"/>
      <c r="V322" s="74" t="s">
        <v>53</v>
      </c>
      <c r="W322" s="72"/>
      <c r="X322" s="75">
        <f t="shared" si="49"/>
        <v>0</v>
      </c>
      <c r="Y322" s="76"/>
      <c r="Z322" s="74">
        <f t="shared" si="50"/>
        <v>0</v>
      </c>
      <c r="AA322" s="74">
        <f t="shared" si="51"/>
        <v>5730</v>
      </c>
    </row>
    <row r="323" spans="1:38" s="77" customFormat="1" ht="15.75" x14ac:dyDescent="0.25">
      <c r="A323" s="51">
        <v>320</v>
      </c>
      <c r="B323" s="65">
        <v>46005</v>
      </c>
      <c r="C323" s="65">
        <v>46005</v>
      </c>
      <c r="D323" s="105" t="s">
        <v>733</v>
      </c>
      <c r="E323" s="67"/>
      <c r="F323" s="67"/>
      <c r="G323" s="67"/>
      <c r="H323" s="114"/>
      <c r="I323" s="114" t="s">
        <v>527</v>
      </c>
      <c r="J323" s="116" t="s">
        <v>23</v>
      </c>
      <c r="K323" s="114" t="s">
        <v>32</v>
      </c>
      <c r="L323" s="104" t="s">
        <v>734</v>
      </c>
      <c r="M323" s="67" t="s">
        <v>49</v>
      </c>
      <c r="N323" s="67">
        <v>57.48</v>
      </c>
      <c r="O323" s="67">
        <v>18.2</v>
      </c>
      <c r="P323" s="71">
        <f t="shared" si="45"/>
        <v>39.28</v>
      </c>
      <c r="Q323" s="72">
        <v>150</v>
      </c>
      <c r="R323" s="73">
        <f t="shared" si="44"/>
        <v>5892</v>
      </c>
      <c r="S323" s="72"/>
      <c r="T323" s="74"/>
      <c r="V323" s="74" t="s">
        <v>53</v>
      </c>
      <c r="W323" s="72"/>
      <c r="X323" s="75">
        <f t="shared" si="49"/>
        <v>0</v>
      </c>
      <c r="Y323" s="76"/>
      <c r="Z323" s="76">
        <f t="shared" si="50"/>
        <v>0</v>
      </c>
      <c r="AA323" s="74">
        <f t="shared" si="51"/>
        <v>5892</v>
      </c>
    </row>
    <row r="324" spans="1:38" s="77" customFormat="1" ht="15.75" x14ac:dyDescent="0.25">
      <c r="A324" s="51">
        <v>321</v>
      </c>
      <c r="B324" s="65">
        <v>46005</v>
      </c>
      <c r="C324" s="65">
        <v>46005</v>
      </c>
      <c r="D324" s="105" t="s">
        <v>735</v>
      </c>
      <c r="E324" s="67"/>
      <c r="F324" s="67"/>
      <c r="G324" s="67"/>
      <c r="H324" s="114"/>
      <c r="I324" s="114" t="s">
        <v>527</v>
      </c>
      <c r="J324" s="116" t="s">
        <v>23</v>
      </c>
      <c r="K324" s="114" t="s">
        <v>32</v>
      </c>
      <c r="L324" s="104" t="s">
        <v>575</v>
      </c>
      <c r="M324" s="67" t="s">
        <v>49</v>
      </c>
      <c r="N324" s="67">
        <v>53.98</v>
      </c>
      <c r="O324" s="67">
        <v>18.2</v>
      </c>
      <c r="P324" s="71">
        <f t="shared" si="45"/>
        <v>35.78</v>
      </c>
      <c r="Q324" s="72">
        <v>150</v>
      </c>
      <c r="R324" s="73">
        <f t="shared" si="44"/>
        <v>5367</v>
      </c>
      <c r="S324" s="72"/>
      <c r="T324" s="74"/>
      <c r="V324" s="74" t="s">
        <v>53</v>
      </c>
      <c r="W324" s="72"/>
      <c r="X324" s="75">
        <f t="shared" si="49"/>
        <v>0</v>
      </c>
      <c r="Y324" s="76"/>
      <c r="Z324" s="76">
        <f t="shared" si="50"/>
        <v>0</v>
      </c>
      <c r="AA324" s="74">
        <f t="shared" si="51"/>
        <v>5367</v>
      </c>
    </row>
    <row r="325" spans="1:38" s="77" customFormat="1" ht="15.75" x14ac:dyDescent="0.25">
      <c r="A325" s="51">
        <v>322</v>
      </c>
      <c r="B325" s="65">
        <v>46005</v>
      </c>
      <c r="C325" s="65">
        <v>46005</v>
      </c>
      <c r="D325" s="105" t="s">
        <v>736</v>
      </c>
      <c r="E325" s="67"/>
      <c r="F325" s="67"/>
      <c r="G325" s="67"/>
      <c r="H325" s="114"/>
      <c r="I325" s="114" t="s">
        <v>527</v>
      </c>
      <c r="J325" s="116" t="s">
        <v>23</v>
      </c>
      <c r="K325" s="114" t="s">
        <v>32</v>
      </c>
      <c r="L325" s="104" t="s">
        <v>528</v>
      </c>
      <c r="M325" s="67" t="s">
        <v>49</v>
      </c>
      <c r="N325" s="67">
        <v>52.78</v>
      </c>
      <c r="O325" s="67">
        <v>18.3</v>
      </c>
      <c r="P325" s="71">
        <f t="shared" si="45"/>
        <v>34.480000000000004</v>
      </c>
      <c r="Q325" s="72">
        <v>150</v>
      </c>
      <c r="R325" s="73">
        <f t="shared" si="44"/>
        <v>5172.0000000000009</v>
      </c>
      <c r="S325" s="72"/>
      <c r="T325" s="74"/>
      <c r="V325" s="74" t="s">
        <v>53</v>
      </c>
      <c r="W325" s="72"/>
      <c r="X325" s="75">
        <f t="shared" ref="X325:X343" si="52">W325*P325</f>
        <v>0</v>
      </c>
      <c r="Y325" s="76"/>
      <c r="Z325" s="76">
        <f t="shared" ref="Z325:Z343" si="53">Y325*P325</f>
        <v>0</v>
      </c>
      <c r="AA325" s="74">
        <f t="shared" ref="AA325:AA343" si="54">R325+X325+Z325</f>
        <v>5172.0000000000009</v>
      </c>
    </row>
    <row r="326" spans="1:38" s="77" customFormat="1" ht="15.75" x14ac:dyDescent="0.25">
      <c r="A326" s="51">
        <v>323</v>
      </c>
      <c r="B326" s="65">
        <v>46005</v>
      </c>
      <c r="C326" s="65">
        <v>46005</v>
      </c>
      <c r="D326" s="105" t="s">
        <v>737</v>
      </c>
      <c r="E326" s="67"/>
      <c r="F326" s="67"/>
      <c r="G326" s="67"/>
      <c r="H326" s="114"/>
      <c r="I326" s="114" t="s">
        <v>527</v>
      </c>
      <c r="J326" s="116" t="s">
        <v>23</v>
      </c>
      <c r="K326" s="114" t="s">
        <v>32</v>
      </c>
      <c r="L326" s="104" t="s">
        <v>575</v>
      </c>
      <c r="M326" s="67" t="s">
        <v>49</v>
      </c>
      <c r="N326" s="67">
        <v>55.28</v>
      </c>
      <c r="O326" s="67">
        <v>18.420000000000002</v>
      </c>
      <c r="P326" s="71">
        <f t="shared" si="45"/>
        <v>36.86</v>
      </c>
      <c r="Q326" s="72">
        <v>150</v>
      </c>
      <c r="R326" s="73">
        <f t="shared" si="44"/>
        <v>5529</v>
      </c>
      <c r="S326" s="72"/>
      <c r="T326" s="74"/>
      <c r="V326" s="74" t="s">
        <v>53</v>
      </c>
      <c r="W326" s="72"/>
      <c r="X326" s="75">
        <f t="shared" si="52"/>
        <v>0</v>
      </c>
      <c r="Y326" s="76"/>
      <c r="Z326" s="76">
        <f t="shared" si="53"/>
        <v>0</v>
      </c>
      <c r="AA326" s="74">
        <f t="shared" si="54"/>
        <v>5529</v>
      </c>
    </row>
    <row r="327" spans="1:38" s="81" customFormat="1" ht="15.75" x14ac:dyDescent="0.25">
      <c r="A327" s="51">
        <v>324</v>
      </c>
      <c r="B327" s="65">
        <v>46005</v>
      </c>
      <c r="C327" s="65">
        <v>46005</v>
      </c>
      <c r="D327" s="105" t="s">
        <v>738</v>
      </c>
      <c r="E327" s="67"/>
      <c r="F327" s="67"/>
      <c r="G327" s="67"/>
      <c r="H327" s="114"/>
      <c r="I327" s="114" t="s">
        <v>527</v>
      </c>
      <c r="J327" s="116" t="s">
        <v>23</v>
      </c>
      <c r="K327" s="114" t="s">
        <v>32</v>
      </c>
      <c r="L327" s="104" t="s">
        <v>528</v>
      </c>
      <c r="M327" s="67" t="s">
        <v>49</v>
      </c>
      <c r="N327" s="80">
        <v>55.56</v>
      </c>
      <c r="O327" s="67">
        <v>18.86</v>
      </c>
      <c r="P327" s="71">
        <f t="shared" si="45"/>
        <v>36.700000000000003</v>
      </c>
      <c r="Q327" s="72">
        <v>150</v>
      </c>
      <c r="R327" s="73">
        <f t="shared" si="44"/>
        <v>5505</v>
      </c>
      <c r="S327" s="72"/>
      <c r="T327" s="74"/>
      <c r="V327" s="74" t="s">
        <v>53</v>
      </c>
      <c r="W327" s="72"/>
      <c r="X327" s="75">
        <f t="shared" si="52"/>
        <v>0</v>
      </c>
      <c r="Y327" s="76"/>
      <c r="Z327" s="76">
        <f t="shared" si="53"/>
        <v>0</v>
      </c>
      <c r="AA327" s="74">
        <f t="shared" si="54"/>
        <v>5505</v>
      </c>
    </row>
    <row r="328" spans="1:38" s="77" customFormat="1" ht="15.75" x14ac:dyDescent="0.25">
      <c r="A328" s="51">
        <v>325</v>
      </c>
      <c r="B328" s="65">
        <v>46005</v>
      </c>
      <c r="C328" s="65">
        <v>46005</v>
      </c>
      <c r="D328" s="105" t="s">
        <v>739</v>
      </c>
      <c r="E328" s="67"/>
      <c r="F328" s="67"/>
      <c r="G328" s="67"/>
      <c r="H328" s="111"/>
      <c r="I328" s="114" t="s">
        <v>527</v>
      </c>
      <c r="J328" s="116" t="s">
        <v>23</v>
      </c>
      <c r="K328" s="114" t="s">
        <v>32</v>
      </c>
      <c r="L328" s="104" t="s">
        <v>575</v>
      </c>
      <c r="M328" s="67" t="s">
        <v>49</v>
      </c>
      <c r="N328" s="80">
        <v>55.82</v>
      </c>
      <c r="O328" s="80">
        <v>18.46</v>
      </c>
      <c r="P328" s="71">
        <f t="shared" si="45"/>
        <v>37.36</v>
      </c>
      <c r="Q328" s="72">
        <v>150</v>
      </c>
      <c r="R328" s="73">
        <f t="shared" si="44"/>
        <v>5604</v>
      </c>
      <c r="S328" s="72"/>
      <c r="T328" s="74"/>
      <c r="V328" s="74" t="s">
        <v>53</v>
      </c>
      <c r="W328" s="72"/>
      <c r="X328" s="75">
        <f t="shared" si="52"/>
        <v>0</v>
      </c>
      <c r="Y328" s="76"/>
      <c r="Z328" s="76">
        <f t="shared" si="53"/>
        <v>0</v>
      </c>
      <c r="AA328" s="74">
        <f t="shared" si="54"/>
        <v>5604</v>
      </c>
    </row>
    <row r="329" spans="1:38" s="77" customFormat="1" ht="15.75" x14ac:dyDescent="0.25">
      <c r="A329" s="51">
        <v>326</v>
      </c>
      <c r="B329" s="65">
        <v>46005</v>
      </c>
      <c r="C329" s="65">
        <v>46005</v>
      </c>
      <c r="D329" s="105" t="s">
        <v>740</v>
      </c>
      <c r="E329" s="67"/>
      <c r="F329" s="67"/>
      <c r="G329" s="67"/>
      <c r="H329" s="114"/>
      <c r="I329" s="114" t="s">
        <v>527</v>
      </c>
      <c r="J329" s="116" t="s">
        <v>23</v>
      </c>
      <c r="K329" s="114" t="s">
        <v>32</v>
      </c>
      <c r="L329" s="104" t="s">
        <v>734</v>
      </c>
      <c r="M329" s="67" t="s">
        <v>49</v>
      </c>
      <c r="N329" s="80">
        <v>55.14</v>
      </c>
      <c r="O329" s="80">
        <v>22.28</v>
      </c>
      <c r="P329" s="71">
        <f t="shared" si="45"/>
        <v>32.86</v>
      </c>
      <c r="Q329" s="72">
        <v>150</v>
      </c>
      <c r="R329" s="73">
        <f t="shared" si="44"/>
        <v>4929</v>
      </c>
      <c r="S329" s="72"/>
      <c r="T329" s="74"/>
      <c r="V329" s="74" t="s">
        <v>53</v>
      </c>
      <c r="W329" s="72"/>
      <c r="X329" s="75">
        <f t="shared" si="52"/>
        <v>0</v>
      </c>
      <c r="Y329" s="76"/>
      <c r="Z329" s="76">
        <f t="shared" si="53"/>
        <v>0</v>
      </c>
      <c r="AA329" s="74">
        <f t="shared" si="54"/>
        <v>4929</v>
      </c>
    </row>
    <row r="330" spans="1:38" s="77" customFormat="1" ht="15.75" x14ac:dyDescent="0.25">
      <c r="A330" s="51">
        <v>327</v>
      </c>
      <c r="B330" s="65">
        <v>46005</v>
      </c>
      <c r="C330" s="65">
        <v>46005</v>
      </c>
      <c r="D330" s="105" t="s">
        <v>741</v>
      </c>
      <c r="E330" s="67"/>
      <c r="F330" s="67"/>
      <c r="G330" s="67"/>
      <c r="H330" s="111"/>
      <c r="I330" s="114" t="s">
        <v>527</v>
      </c>
      <c r="J330" s="116" t="s">
        <v>23</v>
      </c>
      <c r="K330" s="114" t="s">
        <v>32</v>
      </c>
      <c r="L330" s="104" t="s">
        <v>528</v>
      </c>
      <c r="M330" s="67" t="s">
        <v>49</v>
      </c>
      <c r="N330" s="80">
        <v>56.42</v>
      </c>
      <c r="O330" s="80">
        <v>18.8</v>
      </c>
      <c r="P330" s="71">
        <f t="shared" si="45"/>
        <v>37.620000000000005</v>
      </c>
      <c r="Q330" s="72">
        <v>150</v>
      </c>
      <c r="R330" s="73">
        <f t="shared" si="44"/>
        <v>5643.0000000000009</v>
      </c>
      <c r="S330" s="72"/>
      <c r="T330" s="74"/>
      <c r="V330" s="74" t="s">
        <v>53</v>
      </c>
      <c r="W330" s="72"/>
      <c r="X330" s="75">
        <f t="shared" si="52"/>
        <v>0</v>
      </c>
      <c r="Y330" s="76"/>
      <c r="Z330" s="76">
        <f t="shared" si="53"/>
        <v>0</v>
      </c>
      <c r="AA330" s="74">
        <f t="shared" si="54"/>
        <v>5643.0000000000009</v>
      </c>
    </row>
    <row r="331" spans="1:38" s="77" customFormat="1" ht="17.100000000000001" customHeight="1" x14ac:dyDescent="0.25">
      <c r="A331" s="51">
        <v>328</v>
      </c>
      <c r="B331" s="65">
        <v>46005</v>
      </c>
      <c r="C331" s="65">
        <v>46005</v>
      </c>
      <c r="D331" s="105" t="s">
        <v>742</v>
      </c>
      <c r="E331" s="67"/>
      <c r="F331" s="67"/>
      <c r="G331" s="67"/>
      <c r="H331" s="111"/>
      <c r="I331" s="114" t="s">
        <v>527</v>
      </c>
      <c r="J331" s="116" t="s">
        <v>23</v>
      </c>
      <c r="K331" s="114" t="s">
        <v>32</v>
      </c>
      <c r="L331" s="104" t="s">
        <v>575</v>
      </c>
      <c r="M331" s="67" t="s">
        <v>49</v>
      </c>
      <c r="N331" s="80">
        <v>55.86</v>
      </c>
      <c r="O331" s="80">
        <v>18.399999999999999</v>
      </c>
      <c r="P331" s="71">
        <f t="shared" si="45"/>
        <v>37.46</v>
      </c>
      <c r="Q331" s="72">
        <v>150</v>
      </c>
      <c r="R331" s="73">
        <f t="shared" si="44"/>
        <v>5619</v>
      </c>
      <c r="S331" s="72"/>
      <c r="T331" s="74"/>
      <c r="V331" s="74" t="s">
        <v>53</v>
      </c>
      <c r="W331" s="72"/>
      <c r="X331" s="75">
        <f t="shared" si="52"/>
        <v>0</v>
      </c>
      <c r="Y331" s="76"/>
      <c r="Z331" s="76">
        <f t="shared" si="53"/>
        <v>0</v>
      </c>
      <c r="AA331" s="74">
        <f t="shared" si="54"/>
        <v>5619</v>
      </c>
      <c r="AB331" s="83"/>
      <c r="AC331" s="82"/>
      <c r="AD331" s="84"/>
      <c r="AE331" s="85"/>
      <c r="AF331" s="82"/>
      <c r="AG331" s="85"/>
      <c r="AH331" s="82"/>
      <c r="AI331" s="84"/>
      <c r="AJ331" s="82"/>
      <c r="AK331" s="84"/>
      <c r="AL331" s="84"/>
    </row>
    <row r="332" spans="1:38" s="77" customFormat="1" ht="15.75" x14ac:dyDescent="0.25">
      <c r="A332" s="51">
        <v>329</v>
      </c>
      <c r="B332" s="65">
        <v>46005</v>
      </c>
      <c r="C332" s="65">
        <v>46005</v>
      </c>
      <c r="D332" s="101">
        <v>251214007</v>
      </c>
      <c r="E332" s="67" t="s">
        <v>743</v>
      </c>
      <c r="F332" s="67" t="s">
        <v>744</v>
      </c>
      <c r="G332" s="67">
        <v>41</v>
      </c>
      <c r="H332" s="94">
        <v>388</v>
      </c>
      <c r="I332" s="115" t="s">
        <v>598</v>
      </c>
      <c r="J332" s="20" t="s">
        <v>23</v>
      </c>
      <c r="K332" s="19" t="s">
        <v>32</v>
      </c>
      <c r="L332" s="77" t="s">
        <v>632</v>
      </c>
      <c r="M332" s="67" t="s">
        <v>34</v>
      </c>
      <c r="N332" s="80">
        <v>57.8</v>
      </c>
      <c r="O332" s="80">
        <v>15.88</v>
      </c>
      <c r="P332" s="71">
        <f t="shared" si="45"/>
        <v>41.919999999999995</v>
      </c>
      <c r="Q332" s="72">
        <v>305</v>
      </c>
      <c r="R332" s="73">
        <f t="shared" si="44"/>
        <v>12785.599999999999</v>
      </c>
      <c r="S332" s="72"/>
      <c r="T332" s="74"/>
      <c r="V332" s="74" t="s">
        <v>152</v>
      </c>
      <c r="W332" s="72">
        <v>145</v>
      </c>
      <c r="X332" s="75">
        <f t="shared" si="52"/>
        <v>6078.4</v>
      </c>
      <c r="Y332" s="76"/>
      <c r="Z332" s="76">
        <f t="shared" si="53"/>
        <v>0</v>
      </c>
      <c r="AA332" s="74">
        <f t="shared" si="54"/>
        <v>18864</v>
      </c>
    </row>
    <row r="333" spans="1:38" s="77" customFormat="1" ht="15.75" x14ac:dyDescent="0.25">
      <c r="A333" s="51">
        <v>330</v>
      </c>
      <c r="B333" s="65">
        <v>46006</v>
      </c>
      <c r="C333" s="65">
        <v>46006</v>
      </c>
      <c r="D333" s="101">
        <v>251215001</v>
      </c>
      <c r="E333" s="67" t="s">
        <v>745</v>
      </c>
      <c r="F333" s="67" t="s">
        <v>746</v>
      </c>
      <c r="G333" s="67">
        <v>43</v>
      </c>
      <c r="H333" s="94">
        <v>388</v>
      </c>
      <c r="I333" s="115" t="s">
        <v>598</v>
      </c>
      <c r="J333" s="20" t="s">
        <v>23</v>
      </c>
      <c r="K333" s="19" t="s">
        <v>32</v>
      </c>
      <c r="L333" s="104" t="s">
        <v>747</v>
      </c>
      <c r="M333" s="67" t="s">
        <v>36</v>
      </c>
      <c r="N333" s="80">
        <v>59.8</v>
      </c>
      <c r="O333" s="80">
        <v>15.82</v>
      </c>
      <c r="P333" s="71">
        <f t="shared" si="45"/>
        <v>43.98</v>
      </c>
      <c r="Q333" s="72">
        <v>525</v>
      </c>
      <c r="R333" s="73">
        <f t="shared" si="44"/>
        <v>23089.5</v>
      </c>
      <c r="S333" s="72"/>
      <c r="T333" s="74"/>
      <c r="V333" s="74" t="s">
        <v>152</v>
      </c>
      <c r="W333" s="72">
        <v>145</v>
      </c>
      <c r="X333" s="75">
        <f t="shared" si="52"/>
        <v>6377.0999999999995</v>
      </c>
      <c r="Y333" s="76"/>
      <c r="Z333" s="76">
        <f t="shared" si="53"/>
        <v>0</v>
      </c>
      <c r="AA333" s="74">
        <f t="shared" si="54"/>
        <v>29466.6</v>
      </c>
    </row>
    <row r="334" spans="1:38" s="77" customFormat="1" ht="15.75" x14ac:dyDescent="0.25">
      <c r="A334" s="51">
        <v>331</v>
      </c>
      <c r="B334" s="65">
        <v>46006</v>
      </c>
      <c r="C334" s="65">
        <v>46006</v>
      </c>
      <c r="D334" s="101">
        <v>251215002</v>
      </c>
      <c r="E334" s="67" t="s">
        <v>748</v>
      </c>
      <c r="F334" s="67" t="s">
        <v>749</v>
      </c>
      <c r="G334" s="67">
        <v>34</v>
      </c>
      <c r="H334" s="113">
        <v>122</v>
      </c>
      <c r="I334" s="19" t="s">
        <v>553</v>
      </c>
      <c r="J334" s="20" t="s">
        <v>23</v>
      </c>
      <c r="K334" s="19" t="s">
        <v>32</v>
      </c>
      <c r="L334" s="101" t="s">
        <v>45</v>
      </c>
      <c r="M334" s="67" t="s">
        <v>306</v>
      </c>
      <c r="N334" s="80">
        <v>46.78</v>
      </c>
      <c r="O334" s="80">
        <v>12.3</v>
      </c>
      <c r="P334" s="71">
        <f t="shared" si="45"/>
        <v>34.480000000000004</v>
      </c>
      <c r="Q334" s="72">
        <v>395</v>
      </c>
      <c r="R334" s="73">
        <f t="shared" si="44"/>
        <v>13619.600000000002</v>
      </c>
      <c r="S334" s="72"/>
      <c r="T334" s="74"/>
      <c r="V334" s="74" t="s">
        <v>24</v>
      </c>
      <c r="W334" s="72">
        <v>145</v>
      </c>
      <c r="X334" s="75">
        <f t="shared" si="52"/>
        <v>4999.6000000000004</v>
      </c>
      <c r="Y334" s="76">
        <v>250</v>
      </c>
      <c r="Z334" s="76">
        <f t="shared" si="53"/>
        <v>8620.0000000000018</v>
      </c>
      <c r="AA334" s="74">
        <f t="shared" si="54"/>
        <v>27239.200000000004</v>
      </c>
    </row>
    <row r="335" spans="1:38" s="77" customFormat="1" ht="15.75" x14ac:dyDescent="0.25">
      <c r="A335" s="51">
        <v>332</v>
      </c>
      <c r="B335" s="65">
        <v>46006</v>
      </c>
      <c r="C335" s="65">
        <v>46006</v>
      </c>
      <c r="D335" s="101">
        <v>251215003</v>
      </c>
      <c r="E335" s="67" t="s">
        <v>750</v>
      </c>
      <c r="F335" s="67" t="s">
        <v>751</v>
      </c>
      <c r="G335" s="67">
        <v>30</v>
      </c>
      <c r="H335" s="113">
        <v>122</v>
      </c>
      <c r="I335" s="19" t="s">
        <v>553</v>
      </c>
      <c r="J335" s="20" t="s">
        <v>23</v>
      </c>
      <c r="K335" s="19" t="s">
        <v>32</v>
      </c>
      <c r="L335" s="104" t="s">
        <v>56</v>
      </c>
      <c r="M335" s="67" t="s">
        <v>306</v>
      </c>
      <c r="N335" s="80">
        <v>42.5</v>
      </c>
      <c r="O335" s="80">
        <v>11.9</v>
      </c>
      <c r="P335" s="71">
        <f t="shared" si="45"/>
        <v>30.6</v>
      </c>
      <c r="Q335" s="72">
        <v>395</v>
      </c>
      <c r="R335" s="73">
        <f t="shared" si="44"/>
        <v>12087</v>
      </c>
      <c r="S335" s="72"/>
      <c r="T335" s="74"/>
      <c r="V335" s="74" t="s">
        <v>24</v>
      </c>
      <c r="W335" s="72">
        <v>145</v>
      </c>
      <c r="X335" s="75">
        <f t="shared" si="52"/>
        <v>4437</v>
      </c>
      <c r="Y335" s="76">
        <v>250</v>
      </c>
      <c r="Z335" s="76">
        <f t="shared" si="53"/>
        <v>7650</v>
      </c>
      <c r="AA335" s="74">
        <f t="shared" si="54"/>
        <v>24174</v>
      </c>
    </row>
    <row r="336" spans="1:38" s="81" customFormat="1" ht="15.75" x14ac:dyDescent="0.25">
      <c r="A336" s="51">
        <v>333</v>
      </c>
      <c r="B336" s="65">
        <v>46006</v>
      </c>
      <c r="C336" s="65">
        <v>46006</v>
      </c>
      <c r="D336" s="101">
        <v>251215004</v>
      </c>
      <c r="E336" s="67" t="s">
        <v>752</v>
      </c>
      <c r="F336" s="67" t="s">
        <v>753</v>
      </c>
      <c r="G336" s="67">
        <v>41</v>
      </c>
      <c r="H336" s="113">
        <v>122</v>
      </c>
      <c r="I336" s="19" t="s">
        <v>553</v>
      </c>
      <c r="J336" s="20" t="s">
        <v>23</v>
      </c>
      <c r="K336" s="19" t="s">
        <v>32</v>
      </c>
      <c r="L336" s="104" t="s">
        <v>165</v>
      </c>
      <c r="M336" s="67" t="s">
        <v>306</v>
      </c>
      <c r="N336" s="80">
        <v>57.84</v>
      </c>
      <c r="O336" s="80">
        <v>15.9</v>
      </c>
      <c r="P336" s="71">
        <f t="shared" si="45"/>
        <v>41.940000000000005</v>
      </c>
      <c r="Q336" s="72">
        <v>395</v>
      </c>
      <c r="R336" s="73">
        <f t="shared" si="44"/>
        <v>16566.300000000003</v>
      </c>
      <c r="S336" s="72"/>
      <c r="T336" s="74"/>
      <c r="V336" s="74" t="s">
        <v>24</v>
      </c>
      <c r="W336" s="72">
        <v>145</v>
      </c>
      <c r="X336" s="75">
        <f t="shared" si="52"/>
        <v>6081.3000000000011</v>
      </c>
      <c r="Y336" s="76">
        <v>250</v>
      </c>
      <c r="Z336" s="74">
        <f t="shared" si="53"/>
        <v>10485.000000000002</v>
      </c>
      <c r="AA336" s="74">
        <f t="shared" si="54"/>
        <v>33132.600000000006</v>
      </c>
    </row>
    <row r="337" spans="1:27" s="81" customFormat="1" ht="15.75" x14ac:dyDescent="0.25">
      <c r="A337" s="51">
        <v>334</v>
      </c>
      <c r="B337" s="65">
        <v>46006</v>
      </c>
      <c r="C337" s="65">
        <v>46006</v>
      </c>
      <c r="D337" s="101">
        <v>251215005</v>
      </c>
      <c r="E337" s="67" t="s">
        <v>754</v>
      </c>
      <c r="F337" s="67" t="s">
        <v>755</v>
      </c>
      <c r="G337" s="67">
        <v>33</v>
      </c>
      <c r="H337" s="97">
        <v>57</v>
      </c>
      <c r="I337" s="117" t="s">
        <v>756</v>
      </c>
      <c r="J337" s="18" t="s">
        <v>23</v>
      </c>
      <c r="K337" s="19" t="s">
        <v>32</v>
      </c>
      <c r="L337" s="104" t="s">
        <v>47</v>
      </c>
      <c r="M337" s="67" t="s">
        <v>515</v>
      </c>
      <c r="N337" s="80">
        <v>44.44</v>
      </c>
      <c r="O337" s="80">
        <v>11.32</v>
      </c>
      <c r="P337" s="71">
        <f t="shared" si="45"/>
        <v>33.119999999999997</v>
      </c>
      <c r="Q337" s="72">
        <v>355</v>
      </c>
      <c r="R337" s="73">
        <f t="shared" si="44"/>
        <v>11757.599999999999</v>
      </c>
      <c r="S337" s="72"/>
      <c r="T337" s="74"/>
      <c r="V337" s="74" t="s">
        <v>152</v>
      </c>
      <c r="W337" s="72">
        <v>145</v>
      </c>
      <c r="X337" s="75">
        <f t="shared" si="52"/>
        <v>4802.3999999999996</v>
      </c>
      <c r="Y337" s="76">
        <v>200</v>
      </c>
      <c r="Z337" s="74">
        <f t="shared" si="53"/>
        <v>6623.9999999999991</v>
      </c>
      <c r="AA337" s="74">
        <f t="shared" si="54"/>
        <v>23184</v>
      </c>
    </row>
    <row r="338" spans="1:27" s="77" customFormat="1" ht="15.75" x14ac:dyDescent="0.25">
      <c r="A338" s="51">
        <v>335</v>
      </c>
      <c r="B338" s="65">
        <v>46006</v>
      </c>
      <c r="C338" s="65">
        <v>46006</v>
      </c>
      <c r="D338" s="101">
        <v>251215006</v>
      </c>
      <c r="E338" s="67" t="s">
        <v>757</v>
      </c>
      <c r="F338" s="67" t="s">
        <v>758</v>
      </c>
      <c r="G338" s="67">
        <v>36</v>
      </c>
      <c r="H338" s="97">
        <v>57</v>
      </c>
      <c r="I338" s="117" t="s">
        <v>756</v>
      </c>
      <c r="J338" s="18" t="s">
        <v>23</v>
      </c>
      <c r="K338" s="19" t="s">
        <v>32</v>
      </c>
      <c r="L338" s="101" t="s">
        <v>41</v>
      </c>
      <c r="M338" s="67" t="s">
        <v>58</v>
      </c>
      <c r="N338" s="80">
        <v>48.84</v>
      </c>
      <c r="O338" s="80">
        <v>11.9</v>
      </c>
      <c r="P338" s="71">
        <f t="shared" si="45"/>
        <v>36.940000000000005</v>
      </c>
      <c r="Q338" s="72">
        <v>255</v>
      </c>
      <c r="R338" s="73">
        <f t="shared" ref="R338:R353" si="55">Q338*P338</f>
        <v>9419.7000000000007</v>
      </c>
      <c r="S338" s="72"/>
      <c r="T338" s="74"/>
      <c r="V338" s="74" t="s">
        <v>152</v>
      </c>
      <c r="W338" s="72">
        <v>145</v>
      </c>
      <c r="X338" s="75">
        <f t="shared" si="52"/>
        <v>5356.3000000000011</v>
      </c>
      <c r="Y338" s="76">
        <v>200</v>
      </c>
      <c r="Z338" s="74">
        <f t="shared" si="53"/>
        <v>7388.0000000000009</v>
      </c>
      <c r="AA338" s="74">
        <f t="shared" si="54"/>
        <v>22164.000000000004</v>
      </c>
    </row>
    <row r="339" spans="1:27" s="77" customFormat="1" ht="15.75" x14ac:dyDescent="0.25">
      <c r="A339" s="51">
        <v>336</v>
      </c>
      <c r="B339" s="65">
        <v>46006</v>
      </c>
      <c r="C339" s="65">
        <v>46006</v>
      </c>
      <c r="D339" s="101">
        <v>251215007</v>
      </c>
      <c r="E339" s="67" t="s">
        <v>759</v>
      </c>
      <c r="F339" s="67" t="s">
        <v>760</v>
      </c>
      <c r="G339" s="67">
        <v>34</v>
      </c>
      <c r="H339" s="79">
        <v>96</v>
      </c>
      <c r="I339" s="26" t="s">
        <v>761</v>
      </c>
      <c r="J339" s="58" t="s">
        <v>23</v>
      </c>
      <c r="K339" s="21" t="s">
        <v>32</v>
      </c>
      <c r="L339" s="104" t="s">
        <v>500</v>
      </c>
      <c r="M339" s="67" t="s">
        <v>36</v>
      </c>
      <c r="N339" s="80">
        <v>46.28</v>
      </c>
      <c r="O339" s="80">
        <v>12.1</v>
      </c>
      <c r="P339" s="71">
        <f t="shared" ref="P339:P353" si="56">N339-O339</f>
        <v>34.18</v>
      </c>
      <c r="Q339" s="72">
        <v>520</v>
      </c>
      <c r="R339" s="73">
        <f t="shared" si="55"/>
        <v>17773.599999999999</v>
      </c>
      <c r="S339" s="72"/>
      <c r="T339" s="74"/>
      <c r="V339" s="74" t="s">
        <v>53</v>
      </c>
      <c r="W339" s="72">
        <v>145</v>
      </c>
      <c r="X339" s="75">
        <f t="shared" si="52"/>
        <v>4956.1000000000004</v>
      </c>
      <c r="Y339" s="76"/>
      <c r="Z339" s="74">
        <f t="shared" si="53"/>
        <v>0</v>
      </c>
      <c r="AA339" s="74">
        <f t="shared" si="54"/>
        <v>22729.699999999997</v>
      </c>
    </row>
    <row r="340" spans="1:27" s="77" customFormat="1" ht="15.75" x14ac:dyDescent="0.25">
      <c r="A340" s="51">
        <v>337</v>
      </c>
      <c r="B340" s="65">
        <v>46006</v>
      </c>
      <c r="C340" s="65">
        <v>46006</v>
      </c>
      <c r="D340" s="101">
        <v>251215008</v>
      </c>
      <c r="E340" s="67" t="s">
        <v>762</v>
      </c>
      <c r="F340" s="67" t="s">
        <v>763</v>
      </c>
      <c r="G340" s="67">
        <v>32</v>
      </c>
      <c r="H340" s="113">
        <v>122</v>
      </c>
      <c r="I340" s="19" t="s">
        <v>553</v>
      </c>
      <c r="J340" s="20" t="s">
        <v>23</v>
      </c>
      <c r="K340" s="19" t="s">
        <v>32</v>
      </c>
      <c r="L340" s="104" t="s">
        <v>331</v>
      </c>
      <c r="M340" s="67" t="s">
        <v>306</v>
      </c>
      <c r="N340" s="80">
        <v>44.4</v>
      </c>
      <c r="O340" s="80">
        <v>11.54</v>
      </c>
      <c r="P340" s="71">
        <f t="shared" si="56"/>
        <v>32.86</v>
      </c>
      <c r="Q340" s="72">
        <v>395</v>
      </c>
      <c r="R340" s="73">
        <f t="shared" si="55"/>
        <v>12979.699999999999</v>
      </c>
      <c r="S340" s="72"/>
      <c r="T340" s="74"/>
      <c r="V340" s="74" t="s">
        <v>24</v>
      </c>
      <c r="W340" s="72">
        <v>145</v>
      </c>
      <c r="X340" s="75">
        <f t="shared" si="52"/>
        <v>4764.7</v>
      </c>
      <c r="Y340" s="76">
        <v>250</v>
      </c>
      <c r="Z340" s="74">
        <f t="shared" si="53"/>
        <v>8215</v>
      </c>
      <c r="AA340" s="74">
        <f t="shared" si="54"/>
        <v>25959.399999999998</v>
      </c>
    </row>
    <row r="341" spans="1:27" s="81" customFormat="1" ht="15.75" x14ac:dyDescent="0.25">
      <c r="A341" s="51">
        <v>338</v>
      </c>
      <c r="B341" s="65">
        <v>46006</v>
      </c>
      <c r="C341" s="65">
        <v>46006</v>
      </c>
      <c r="D341" s="101">
        <v>251215009</v>
      </c>
      <c r="E341" s="67" t="s">
        <v>764</v>
      </c>
      <c r="F341" s="67" t="s">
        <v>765</v>
      </c>
      <c r="G341" s="67">
        <v>37</v>
      </c>
      <c r="H341" s="97">
        <v>57</v>
      </c>
      <c r="I341" s="117" t="s">
        <v>756</v>
      </c>
      <c r="J341" s="18" t="s">
        <v>23</v>
      </c>
      <c r="K341" s="19" t="s">
        <v>32</v>
      </c>
      <c r="L341" s="101" t="s">
        <v>286</v>
      </c>
      <c r="M341" s="67" t="s">
        <v>58</v>
      </c>
      <c r="N341" s="80">
        <v>49.48</v>
      </c>
      <c r="O341" s="80">
        <v>11.6</v>
      </c>
      <c r="P341" s="71">
        <f t="shared" si="56"/>
        <v>37.879999999999995</v>
      </c>
      <c r="Q341" s="72">
        <v>255</v>
      </c>
      <c r="R341" s="73">
        <f t="shared" si="55"/>
        <v>9659.4</v>
      </c>
      <c r="S341" s="72"/>
      <c r="T341" s="74"/>
      <c r="V341" s="74" t="s">
        <v>152</v>
      </c>
      <c r="W341" s="72">
        <v>145</v>
      </c>
      <c r="X341" s="75">
        <f t="shared" si="52"/>
        <v>5492.5999999999995</v>
      </c>
      <c r="Y341" s="76">
        <v>200</v>
      </c>
      <c r="Z341" s="74">
        <f t="shared" si="53"/>
        <v>7575.9999999999991</v>
      </c>
      <c r="AA341" s="74">
        <f t="shared" si="54"/>
        <v>22728</v>
      </c>
    </row>
    <row r="342" spans="1:27" s="81" customFormat="1" ht="15.75" x14ac:dyDescent="0.25">
      <c r="A342" s="51">
        <v>339</v>
      </c>
      <c r="B342" s="65">
        <v>46006</v>
      </c>
      <c r="C342" s="65">
        <v>46006</v>
      </c>
      <c r="D342" s="101">
        <v>251215010</v>
      </c>
      <c r="E342" s="67" t="s">
        <v>766</v>
      </c>
      <c r="F342" s="67" t="s">
        <v>767</v>
      </c>
      <c r="G342" s="67">
        <v>33</v>
      </c>
      <c r="H342" s="79">
        <v>96</v>
      </c>
      <c r="I342" s="26" t="s">
        <v>761</v>
      </c>
      <c r="J342" s="58" t="s">
        <v>23</v>
      </c>
      <c r="K342" s="21" t="s">
        <v>32</v>
      </c>
      <c r="L342" s="104" t="s">
        <v>503</v>
      </c>
      <c r="M342" s="67" t="s">
        <v>36</v>
      </c>
      <c r="N342" s="80">
        <v>45.18</v>
      </c>
      <c r="O342" s="80">
        <v>11.74</v>
      </c>
      <c r="P342" s="71">
        <f t="shared" si="56"/>
        <v>33.44</v>
      </c>
      <c r="Q342" s="72">
        <v>520</v>
      </c>
      <c r="R342" s="73">
        <f t="shared" si="55"/>
        <v>17388.8</v>
      </c>
      <c r="S342" s="72"/>
      <c r="T342" s="74"/>
      <c r="V342" s="74" t="s">
        <v>53</v>
      </c>
      <c r="W342" s="72">
        <v>145</v>
      </c>
      <c r="X342" s="75">
        <f t="shared" si="52"/>
        <v>4848.7999999999993</v>
      </c>
      <c r="Y342" s="76"/>
      <c r="Z342" s="74">
        <f t="shared" si="53"/>
        <v>0</v>
      </c>
      <c r="AA342" s="74">
        <f t="shared" si="54"/>
        <v>22237.599999999999</v>
      </c>
    </row>
    <row r="343" spans="1:27" s="77" customFormat="1" ht="15.75" x14ac:dyDescent="0.25">
      <c r="A343" s="51">
        <v>340</v>
      </c>
      <c r="B343" s="65">
        <v>46006</v>
      </c>
      <c r="C343" s="65">
        <v>46006</v>
      </c>
      <c r="D343" s="101">
        <v>251215011</v>
      </c>
      <c r="E343" s="67" t="s">
        <v>768</v>
      </c>
      <c r="F343" s="67" t="s">
        <v>769</v>
      </c>
      <c r="G343" s="67">
        <v>31</v>
      </c>
      <c r="H343" s="97">
        <v>57</v>
      </c>
      <c r="I343" s="117" t="s">
        <v>756</v>
      </c>
      <c r="J343" s="18" t="s">
        <v>23</v>
      </c>
      <c r="K343" s="19" t="s">
        <v>32</v>
      </c>
      <c r="L343" s="104" t="s">
        <v>770</v>
      </c>
      <c r="M343" s="67" t="s">
        <v>515</v>
      </c>
      <c r="N343" s="67">
        <v>43.22</v>
      </c>
      <c r="O343" s="80">
        <v>12</v>
      </c>
      <c r="P343" s="71">
        <f t="shared" si="56"/>
        <v>31.22</v>
      </c>
      <c r="Q343" s="72">
        <v>355</v>
      </c>
      <c r="R343" s="73">
        <f t="shared" si="55"/>
        <v>11083.1</v>
      </c>
      <c r="S343" s="72"/>
      <c r="T343" s="74"/>
      <c r="V343" s="74" t="s">
        <v>152</v>
      </c>
      <c r="W343" s="72">
        <v>145</v>
      </c>
      <c r="X343" s="75">
        <f t="shared" si="52"/>
        <v>4526.8999999999996</v>
      </c>
      <c r="Y343" s="76">
        <v>200</v>
      </c>
      <c r="Z343" s="74">
        <f t="shared" si="53"/>
        <v>6244</v>
      </c>
      <c r="AA343" s="74">
        <f t="shared" si="54"/>
        <v>21854</v>
      </c>
    </row>
    <row r="344" spans="1:27" s="130" customFormat="1" ht="15.75" x14ac:dyDescent="0.25">
      <c r="A344" s="51">
        <v>341</v>
      </c>
      <c r="B344" s="118">
        <v>46006</v>
      </c>
      <c r="C344" s="118">
        <v>46006</v>
      </c>
      <c r="D344" s="119">
        <v>251215012</v>
      </c>
      <c r="E344" s="120" t="s">
        <v>771</v>
      </c>
      <c r="F344" s="120" t="s">
        <v>772</v>
      </c>
      <c r="G344" s="120">
        <v>44</v>
      </c>
      <c r="H344" s="121">
        <v>53</v>
      </c>
      <c r="I344" s="122" t="s">
        <v>430</v>
      </c>
      <c r="J344" s="18" t="s">
        <v>23</v>
      </c>
      <c r="K344" s="19" t="s">
        <v>32</v>
      </c>
      <c r="L344" s="123" t="s">
        <v>59</v>
      </c>
      <c r="M344" s="120" t="s">
        <v>515</v>
      </c>
      <c r="N344" s="120">
        <v>62.14</v>
      </c>
      <c r="O344" s="120">
        <v>17.62</v>
      </c>
      <c r="P344" s="124">
        <f t="shared" si="56"/>
        <v>44.519999999999996</v>
      </c>
      <c r="Q344" s="125">
        <v>355</v>
      </c>
      <c r="R344" s="126">
        <f t="shared" si="55"/>
        <v>15804.599999999999</v>
      </c>
      <c r="S344" s="125"/>
      <c r="T344" s="127"/>
      <c r="V344" s="127" t="s">
        <v>152</v>
      </c>
      <c r="W344" s="125">
        <v>145</v>
      </c>
      <c r="X344" s="128">
        <f t="shared" ref="X344:X377" si="57">W344*P344</f>
        <v>6455.4</v>
      </c>
      <c r="Y344" s="129">
        <v>200</v>
      </c>
      <c r="Z344" s="127">
        <f t="shared" ref="Z344:Z377" si="58">Y344*P344</f>
        <v>8904</v>
      </c>
      <c r="AA344" s="127">
        <f t="shared" ref="AA344:AA377" si="59">R344+X344+Z344</f>
        <v>31164</v>
      </c>
    </row>
    <row r="345" spans="1:27" s="130" customFormat="1" ht="15.75" x14ac:dyDescent="0.25">
      <c r="A345" s="51">
        <v>342</v>
      </c>
      <c r="B345" s="118">
        <v>46006</v>
      </c>
      <c r="C345" s="118">
        <v>46006</v>
      </c>
      <c r="D345" s="119">
        <v>251215013</v>
      </c>
      <c r="E345" s="120" t="s">
        <v>773</v>
      </c>
      <c r="F345" s="120" t="s">
        <v>774</v>
      </c>
      <c r="G345" s="120">
        <v>38</v>
      </c>
      <c r="H345" s="131">
        <v>101</v>
      </c>
      <c r="I345" s="132" t="s">
        <v>499</v>
      </c>
      <c r="J345" s="58" t="s">
        <v>23</v>
      </c>
      <c r="K345" s="21" t="s">
        <v>32</v>
      </c>
      <c r="L345" s="123" t="s">
        <v>423</v>
      </c>
      <c r="M345" s="120" t="s">
        <v>36</v>
      </c>
      <c r="N345" s="120">
        <v>51.68</v>
      </c>
      <c r="O345" s="120">
        <v>12.82</v>
      </c>
      <c r="P345" s="124">
        <f t="shared" si="56"/>
        <v>38.86</v>
      </c>
      <c r="Q345" s="125">
        <v>560</v>
      </c>
      <c r="R345" s="126">
        <f t="shared" si="55"/>
        <v>21761.599999999999</v>
      </c>
      <c r="S345" s="125"/>
      <c r="T345" s="127"/>
      <c r="V345" s="127" t="s">
        <v>152</v>
      </c>
      <c r="W345" s="125">
        <v>145</v>
      </c>
      <c r="X345" s="128">
        <f t="shared" si="57"/>
        <v>5634.7</v>
      </c>
      <c r="Y345" s="129">
        <v>300</v>
      </c>
      <c r="Z345" s="129">
        <f t="shared" si="58"/>
        <v>11658</v>
      </c>
      <c r="AA345" s="127">
        <f t="shared" si="59"/>
        <v>39054.300000000003</v>
      </c>
    </row>
    <row r="346" spans="1:27" s="130" customFormat="1" ht="15.75" x14ac:dyDescent="0.25">
      <c r="A346" s="51">
        <v>343</v>
      </c>
      <c r="B346" s="118">
        <v>46006</v>
      </c>
      <c r="C346" s="118">
        <v>46006</v>
      </c>
      <c r="D346" s="119">
        <v>251215014</v>
      </c>
      <c r="E346" s="120" t="s">
        <v>775</v>
      </c>
      <c r="F346" s="120" t="s">
        <v>776</v>
      </c>
      <c r="G346" s="120">
        <v>33</v>
      </c>
      <c r="H346" s="133">
        <v>131</v>
      </c>
      <c r="I346" s="19" t="s">
        <v>700</v>
      </c>
      <c r="J346" s="20" t="s">
        <v>23</v>
      </c>
      <c r="K346" s="19" t="s">
        <v>32</v>
      </c>
      <c r="L346" s="123" t="s">
        <v>44</v>
      </c>
      <c r="M346" s="120" t="s">
        <v>34</v>
      </c>
      <c r="N346" s="120">
        <v>44.82</v>
      </c>
      <c r="O346" s="120">
        <v>11.76</v>
      </c>
      <c r="P346" s="124">
        <f t="shared" si="56"/>
        <v>33.06</v>
      </c>
      <c r="Q346" s="125">
        <v>285</v>
      </c>
      <c r="R346" s="126">
        <f t="shared" si="55"/>
        <v>9422.1</v>
      </c>
      <c r="S346" s="125"/>
      <c r="T346" s="127"/>
      <c r="V346" s="127" t="s">
        <v>152</v>
      </c>
      <c r="W346" s="125">
        <v>145</v>
      </c>
      <c r="X346" s="128">
        <f t="shared" si="57"/>
        <v>4793.7000000000007</v>
      </c>
      <c r="Y346" s="129">
        <v>200</v>
      </c>
      <c r="Z346" s="129">
        <f t="shared" si="58"/>
        <v>6612</v>
      </c>
      <c r="AA346" s="127">
        <f t="shared" si="59"/>
        <v>20827.800000000003</v>
      </c>
    </row>
    <row r="347" spans="1:27" s="130" customFormat="1" ht="15.75" x14ac:dyDescent="0.25">
      <c r="A347" s="51">
        <v>344</v>
      </c>
      <c r="B347" s="118">
        <v>46006</v>
      </c>
      <c r="C347" s="118">
        <v>46006</v>
      </c>
      <c r="D347" s="119">
        <v>251215015</v>
      </c>
      <c r="E347" s="120" t="s">
        <v>777</v>
      </c>
      <c r="F347" s="120" t="s">
        <v>778</v>
      </c>
      <c r="G347" s="120">
        <v>33</v>
      </c>
      <c r="H347" s="133">
        <v>131</v>
      </c>
      <c r="I347" s="19" t="s">
        <v>700</v>
      </c>
      <c r="J347" s="20" t="s">
        <v>23</v>
      </c>
      <c r="K347" s="19" t="s">
        <v>32</v>
      </c>
      <c r="L347" s="123" t="s">
        <v>42</v>
      </c>
      <c r="M347" s="120" t="s">
        <v>34</v>
      </c>
      <c r="N347" s="120">
        <v>45.22</v>
      </c>
      <c r="O347" s="120">
        <v>11.58</v>
      </c>
      <c r="P347" s="124">
        <f t="shared" si="56"/>
        <v>33.64</v>
      </c>
      <c r="Q347" s="125">
        <v>285</v>
      </c>
      <c r="R347" s="126">
        <f t="shared" si="55"/>
        <v>9587.4</v>
      </c>
      <c r="S347" s="125"/>
      <c r="T347" s="127"/>
      <c r="V347" s="127" t="s">
        <v>152</v>
      </c>
      <c r="W347" s="125">
        <v>145</v>
      </c>
      <c r="X347" s="128">
        <f t="shared" si="57"/>
        <v>4877.8</v>
      </c>
      <c r="Y347" s="129">
        <v>200</v>
      </c>
      <c r="Z347" s="129">
        <f t="shared" si="58"/>
        <v>6728</v>
      </c>
      <c r="AA347" s="127">
        <f t="shared" si="59"/>
        <v>21193.200000000001</v>
      </c>
    </row>
    <row r="348" spans="1:27" s="130" customFormat="1" ht="15.75" x14ac:dyDescent="0.25">
      <c r="A348" s="51">
        <v>345</v>
      </c>
      <c r="B348" s="118">
        <v>46006</v>
      </c>
      <c r="C348" s="118">
        <v>46006</v>
      </c>
      <c r="D348" s="119">
        <v>251215016</v>
      </c>
      <c r="E348" s="120" t="s">
        <v>779</v>
      </c>
      <c r="F348" s="120" t="s">
        <v>780</v>
      </c>
      <c r="G348" s="120">
        <v>47</v>
      </c>
      <c r="H348" s="121">
        <v>53</v>
      </c>
      <c r="I348" s="122" t="s">
        <v>430</v>
      </c>
      <c r="J348" s="18" t="s">
        <v>23</v>
      </c>
      <c r="K348" s="19" t="s">
        <v>32</v>
      </c>
      <c r="L348" s="123" t="s">
        <v>418</v>
      </c>
      <c r="M348" s="120" t="s">
        <v>515</v>
      </c>
      <c r="N348" s="120">
        <v>65.540000000000006</v>
      </c>
      <c r="O348" s="120">
        <v>18.02</v>
      </c>
      <c r="P348" s="124">
        <f t="shared" si="56"/>
        <v>47.52000000000001</v>
      </c>
      <c r="Q348" s="125">
        <v>355</v>
      </c>
      <c r="R348" s="126">
        <f t="shared" si="55"/>
        <v>16869.600000000002</v>
      </c>
      <c r="S348" s="125"/>
      <c r="T348" s="127"/>
      <c r="V348" s="127" t="s">
        <v>152</v>
      </c>
      <c r="W348" s="125">
        <v>145</v>
      </c>
      <c r="X348" s="128">
        <f t="shared" si="57"/>
        <v>6890.4000000000015</v>
      </c>
      <c r="Y348" s="129">
        <v>200</v>
      </c>
      <c r="Z348" s="129">
        <f t="shared" si="58"/>
        <v>9504.0000000000018</v>
      </c>
      <c r="AA348" s="127">
        <f t="shared" si="59"/>
        <v>33264.000000000007</v>
      </c>
    </row>
    <row r="349" spans="1:27" s="135" customFormat="1" ht="15.75" x14ac:dyDescent="0.25">
      <c r="A349" s="51">
        <v>346</v>
      </c>
      <c r="B349" s="118">
        <v>46006</v>
      </c>
      <c r="C349" s="118">
        <v>46006</v>
      </c>
      <c r="D349" s="119">
        <v>251215017</v>
      </c>
      <c r="E349" s="120" t="s">
        <v>781</v>
      </c>
      <c r="F349" s="120" t="s">
        <v>782</v>
      </c>
      <c r="G349" s="120">
        <v>33</v>
      </c>
      <c r="H349" s="121">
        <v>84</v>
      </c>
      <c r="I349" s="132" t="s">
        <v>50</v>
      </c>
      <c r="J349" s="18" t="s">
        <v>23</v>
      </c>
      <c r="K349" s="19" t="s">
        <v>32</v>
      </c>
      <c r="L349" s="123" t="s">
        <v>41</v>
      </c>
      <c r="M349" s="120" t="s">
        <v>36</v>
      </c>
      <c r="N349" s="134">
        <v>45.04</v>
      </c>
      <c r="O349" s="120">
        <v>11.72</v>
      </c>
      <c r="P349" s="124">
        <f t="shared" si="56"/>
        <v>33.32</v>
      </c>
      <c r="Q349" s="125">
        <v>515</v>
      </c>
      <c r="R349" s="126">
        <f t="shared" si="55"/>
        <v>17159.8</v>
      </c>
      <c r="S349" s="125"/>
      <c r="T349" s="127"/>
      <c r="V349" s="127" t="s">
        <v>24</v>
      </c>
      <c r="W349" s="125">
        <v>145</v>
      </c>
      <c r="X349" s="128">
        <f t="shared" si="57"/>
        <v>4831.3999999999996</v>
      </c>
      <c r="Y349" s="129">
        <v>200</v>
      </c>
      <c r="Z349" s="129">
        <f t="shared" si="58"/>
        <v>6664</v>
      </c>
      <c r="AA349" s="127">
        <f t="shared" si="59"/>
        <v>28655.199999999997</v>
      </c>
    </row>
    <row r="350" spans="1:27" s="130" customFormat="1" ht="15.75" x14ac:dyDescent="0.25">
      <c r="A350" s="51">
        <v>347</v>
      </c>
      <c r="B350" s="118">
        <v>46006</v>
      </c>
      <c r="C350" s="118">
        <v>46006</v>
      </c>
      <c r="D350" s="119">
        <v>251215018</v>
      </c>
      <c r="E350" s="120" t="s">
        <v>783</v>
      </c>
      <c r="F350" s="120" t="s">
        <v>784</v>
      </c>
      <c r="G350" s="120">
        <v>33</v>
      </c>
      <c r="H350" s="121">
        <v>84</v>
      </c>
      <c r="I350" s="132" t="s">
        <v>50</v>
      </c>
      <c r="J350" s="18" t="s">
        <v>23</v>
      </c>
      <c r="K350" s="19" t="s">
        <v>32</v>
      </c>
      <c r="L350" s="123" t="s">
        <v>286</v>
      </c>
      <c r="M350" s="120" t="s">
        <v>34</v>
      </c>
      <c r="N350" s="134">
        <v>44.9</v>
      </c>
      <c r="O350" s="134">
        <v>11.46</v>
      </c>
      <c r="P350" s="124">
        <f t="shared" si="56"/>
        <v>33.44</v>
      </c>
      <c r="Q350" s="125">
        <v>305</v>
      </c>
      <c r="R350" s="126">
        <f t="shared" si="55"/>
        <v>10199.199999999999</v>
      </c>
      <c r="S350" s="125"/>
      <c r="T350" s="127"/>
      <c r="V350" s="127" t="s">
        <v>24</v>
      </c>
      <c r="W350" s="125">
        <v>145</v>
      </c>
      <c r="X350" s="128">
        <f t="shared" si="57"/>
        <v>4848.7999999999993</v>
      </c>
      <c r="Y350" s="129">
        <v>200</v>
      </c>
      <c r="Z350" s="129">
        <f t="shared" si="58"/>
        <v>6688</v>
      </c>
      <c r="AA350" s="127">
        <f t="shared" si="59"/>
        <v>21736</v>
      </c>
    </row>
    <row r="351" spans="1:27" s="130" customFormat="1" ht="15.75" x14ac:dyDescent="0.25">
      <c r="A351" s="51">
        <v>348</v>
      </c>
      <c r="B351" s="118">
        <v>46006</v>
      </c>
      <c r="C351" s="118">
        <v>46006</v>
      </c>
      <c r="D351" s="119">
        <v>251215019</v>
      </c>
      <c r="E351" s="120" t="s">
        <v>785</v>
      </c>
      <c r="F351" s="120" t="s">
        <v>786</v>
      </c>
      <c r="G351" s="120">
        <v>46</v>
      </c>
      <c r="H351" s="133">
        <v>131</v>
      </c>
      <c r="I351" s="19" t="s">
        <v>700</v>
      </c>
      <c r="J351" s="20" t="s">
        <v>23</v>
      </c>
      <c r="K351" s="19" t="s">
        <v>32</v>
      </c>
      <c r="L351" s="123" t="s">
        <v>54</v>
      </c>
      <c r="M351" s="120" t="s">
        <v>36</v>
      </c>
      <c r="N351" s="134">
        <v>61.94</v>
      </c>
      <c r="O351" s="134">
        <v>14.98</v>
      </c>
      <c r="P351" s="124">
        <f t="shared" si="56"/>
        <v>46.959999999999994</v>
      </c>
      <c r="Q351" s="125">
        <v>535</v>
      </c>
      <c r="R351" s="126">
        <f t="shared" si="55"/>
        <v>25123.599999999995</v>
      </c>
      <c r="S351" s="125"/>
      <c r="T351" s="127"/>
      <c r="V351" s="127" t="s">
        <v>152</v>
      </c>
      <c r="W351" s="125">
        <v>145</v>
      </c>
      <c r="X351" s="128">
        <f t="shared" si="57"/>
        <v>6809.1999999999989</v>
      </c>
      <c r="Y351" s="129">
        <v>200</v>
      </c>
      <c r="Z351" s="129">
        <f t="shared" si="58"/>
        <v>9391.9999999999982</v>
      </c>
      <c r="AA351" s="127">
        <f t="shared" si="59"/>
        <v>41324.799999999996</v>
      </c>
    </row>
    <row r="352" spans="1:27" s="130" customFormat="1" ht="15.75" x14ac:dyDescent="0.25">
      <c r="A352" s="51">
        <v>349</v>
      </c>
      <c r="B352" s="118">
        <v>46006</v>
      </c>
      <c r="C352" s="118">
        <v>46006</v>
      </c>
      <c r="D352" s="119">
        <v>251215020</v>
      </c>
      <c r="E352" s="120" t="s">
        <v>787</v>
      </c>
      <c r="F352" s="120" t="s">
        <v>788</v>
      </c>
      <c r="G352" s="120">
        <v>44</v>
      </c>
      <c r="H352" s="133">
        <v>131</v>
      </c>
      <c r="I352" s="19" t="s">
        <v>700</v>
      </c>
      <c r="J352" s="20" t="s">
        <v>23</v>
      </c>
      <c r="K352" s="19" t="s">
        <v>32</v>
      </c>
      <c r="L352" s="123" t="s">
        <v>38</v>
      </c>
      <c r="M352" s="120" t="s">
        <v>36</v>
      </c>
      <c r="N352" s="134">
        <v>60.14</v>
      </c>
      <c r="O352" s="134">
        <v>15.88</v>
      </c>
      <c r="P352" s="124">
        <f t="shared" si="56"/>
        <v>44.26</v>
      </c>
      <c r="Q352" s="125">
        <v>535</v>
      </c>
      <c r="R352" s="126">
        <f t="shared" si="55"/>
        <v>23679.1</v>
      </c>
      <c r="S352" s="125"/>
      <c r="T352" s="127"/>
      <c r="V352" s="127" t="s">
        <v>152</v>
      </c>
      <c r="W352" s="125">
        <v>145</v>
      </c>
      <c r="X352" s="128">
        <f t="shared" si="57"/>
        <v>6417.7</v>
      </c>
      <c r="Y352" s="129">
        <v>200</v>
      </c>
      <c r="Z352" s="129">
        <f t="shared" si="58"/>
        <v>8852</v>
      </c>
      <c r="AA352" s="127">
        <f t="shared" si="59"/>
        <v>38948.800000000003</v>
      </c>
    </row>
    <row r="353" spans="1:38" s="130" customFormat="1" ht="17.100000000000001" customHeight="1" x14ac:dyDescent="0.25">
      <c r="A353" s="51">
        <v>350</v>
      </c>
      <c r="B353" s="118">
        <v>46006</v>
      </c>
      <c r="C353" s="118">
        <v>46006</v>
      </c>
      <c r="D353" s="119" t="s">
        <v>789</v>
      </c>
      <c r="E353" s="120"/>
      <c r="F353" s="120"/>
      <c r="G353" s="120"/>
      <c r="H353" s="136"/>
      <c r="I353" s="137" t="s">
        <v>48</v>
      </c>
      <c r="J353" s="20" t="s">
        <v>23</v>
      </c>
      <c r="K353" s="19" t="s">
        <v>32</v>
      </c>
      <c r="L353" s="123" t="s">
        <v>790</v>
      </c>
      <c r="M353" s="120" t="s">
        <v>31</v>
      </c>
      <c r="N353" s="134">
        <v>24.34</v>
      </c>
      <c r="O353" s="134">
        <v>14.1</v>
      </c>
      <c r="P353" s="124">
        <f t="shared" si="56"/>
        <v>10.24</v>
      </c>
      <c r="Q353" s="125">
        <v>0</v>
      </c>
      <c r="R353" s="126">
        <f t="shared" si="55"/>
        <v>0</v>
      </c>
      <c r="S353" s="125"/>
      <c r="T353" s="127"/>
      <c r="V353" s="127" t="s">
        <v>24</v>
      </c>
      <c r="W353" s="125"/>
      <c r="X353" s="128">
        <f t="shared" si="57"/>
        <v>0</v>
      </c>
      <c r="Y353" s="129"/>
      <c r="Z353" s="129">
        <f t="shared" si="58"/>
        <v>0</v>
      </c>
      <c r="AA353" s="127">
        <f t="shared" si="59"/>
        <v>0</v>
      </c>
      <c r="AB353" s="139"/>
      <c r="AC353" s="138"/>
      <c r="AD353" s="140"/>
      <c r="AE353" s="141"/>
      <c r="AF353" s="138"/>
      <c r="AG353" s="141"/>
      <c r="AH353" s="138"/>
      <c r="AI353" s="140"/>
      <c r="AJ353" s="138"/>
      <c r="AK353" s="140"/>
      <c r="AL353" s="140"/>
    </row>
    <row r="354" spans="1:38" s="130" customFormat="1" ht="15.75" x14ac:dyDescent="0.25">
      <c r="A354" s="51">
        <v>351</v>
      </c>
      <c r="B354" s="118">
        <v>46006</v>
      </c>
      <c r="C354" s="118">
        <v>46006</v>
      </c>
      <c r="D354" s="119" t="s">
        <v>791</v>
      </c>
      <c r="E354" s="120"/>
      <c r="F354" s="120"/>
      <c r="G354" s="120"/>
      <c r="H354" s="136"/>
      <c r="I354" s="137" t="s">
        <v>48</v>
      </c>
      <c r="J354" s="20" t="s">
        <v>23</v>
      </c>
      <c r="K354" s="19" t="s">
        <v>32</v>
      </c>
      <c r="L354" s="123" t="s">
        <v>132</v>
      </c>
      <c r="M354" s="120" t="s">
        <v>31</v>
      </c>
      <c r="N354" s="134">
        <v>25.02</v>
      </c>
      <c r="O354" s="134">
        <v>14.1</v>
      </c>
      <c r="P354" s="124">
        <f>N354-O354</f>
        <v>10.92</v>
      </c>
      <c r="Q354" s="125">
        <v>0</v>
      </c>
      <c r="R354" s="126">
        <f>Q354*P354</f>
        <v>0</v>
      </c>
      <c r="S354" s="125"/>
      <c r="T354" s="127"/>
      <c r="V354" s="127" t="s">
        <v>24</v>
      </c>
      <c r="W354" s="125"/>
      <c r="X354" s="128">
        <f t="shared" si="57"/>
        <v>0</v>
      </c>
      <c r="Y354" s="129"/>
      <c r="Z354" s="129">
        <f t="shared" si="58"/>
        <v>0</v>
      </c>
      <c r="AA354" s="127">
        <f t="shared" si="59"/>
        <v>0</v>
      </c>
    </row>
    <row r="355" spans="1:38" s="130" customFormat="1" ht="15.75" x14ac:dyDescent="0.25">
      <c r="A355" s="51">
        <v>352</v>
      </c>
      <c r="B355" s="118">
        <v>46006</v>
      </c>
      <c r="C355" s="118">
        <v>46006</v>
      </c>
      <c r="D355" s="119">
        <v>251215021</v>
      </c>
      <c r="E355" s="120" t="s">
        <v>792</v>
      </c>
      <c r="F355" s="120" t="s">
        <v>793</v>
      </c>
      <c r="G355" s="120">
        <v>32</v>
      </c>
      <c r="H355" s="121">
        <v>24</v>
      </c>
      <c r="I355" s="142" t="s">
        <v>199</v>
      </c>
      <c r="J355" s="18" t="s">
        <v>23</v>
      </c>
      <c r="K355" s="19" t="s">
        <v>32</v>
      </c>
      <c r="L355" s="123" t="s">
        <v>42</v>
      </c>
      <c r="M355" s="120" t="s">
        <v>34</v>
      </c>
      <c r="N355" s="134">
        <v>44.44</v>
      </c>
      <c r="O355" s="134">
        <v>11.52</v>
      </c>
      <c r="P355" s="124">
        <f>N355-O355</f>
        <v>32.92</v>
      </c>
      <c r="Q355" s="125">
        <v>335</v>
      </c>
      <c r="R355" s="126">
        <f>Q355*P355</f>
        <v>11028.2</v>
      </c>
      <c r="S355" s="125"/>
      <c r="T355" s="127"/>
      <c r="V355" s="127" t="s">
        <v>24</v>
      </c>
      <c r="W355" s="125">
        <v>145</v>
      </c>
      <c r="X355" s="128">
        <f t="shared" si="57"/>
        <v>4773.4000000000005</v>
      </c>
      <c r="Y355" s="129">
        <v>260</v>
      </c>
      <c r="Z355" s="129">
        <f t="shared" si="58"/>
        <v>8559.2000000000007</v>
      </c>
      <c r="AA355" s="127">
        <f t="shared" si="59"/>
        <v>24360.800000000003</v>
      </c>
    </row>
    <row r="356" spans="1:38" s="130" customFormat="1" ht="15.75" x14ac:dyDescent="0.25">
      <c r="A356" s="51">
        <v>353</v>
      </c>
      <c r="B356" s="118">
        <v>46006</v>
      </c>
      <c r="C356" s="118">
        <v>46006</v>
      </c>
      <c r="D356" s="119">
        <v>251215022</v>
      </c>
      <c r="E356" s="120" t="s">
        <v>794</v>
      </c>
      <c r="F356" s="120" t="s">
        <v>795</v>
      </c>
      <c r="G356" s="120">
        <v>33</v>
      </c>
      <c r="H356" s="121">
        <v>24</v>
      </c>
      <c r="I356" s="142" t="s">
        <v>199</v>
      </c>
      <c r="J356" s="18" t="s">
        <v>23</v>
      </c>
      <c r="K356" s="19" t="s">
        <v>32</v>
      </c>
      <c r="L356" s="119" t="s">
        <v>44</v>
      </c>
      <c r="M356" s="120" t="s">
        <v>34</v>
      </c>
      <c r="N356" s="134">
        <v>45.02</v>
      </c>
      <c r="O356" s="134">
        <v>11.7</v>
      </c>
      <c r="P356" s="124">
        <f>N356-O356</f>
        <v>33.320000000000007</v>
      </c>
      <c r="Q356" s="125">
        <v>335</v>
      </c>
      <c r="R356" s="126">
        <f>Q356*P356</f>
        <v>11162.200000000003</v>
      </c>
      <c r="S356" s="125"/>
      <c r="T356" s="127"/>
      <c r="V356" s="127" t="s">
        <v>24</v>
      </c>
      <c r="W356" s="125">
        <v>145</v>
      </c>
      <c r="X356" s="128">
        <f t="shared" si="57"/>
        <v>4831.4000000000015</v>
      </c>
      <c r="Y356" s="129">
        <v>260</v>
      </c>
      <c r="Z356" s="129">
        <f t="shared" si="58"/>
        <v>8663.2000000000025</v>
      </c>
      <c r="AA356" s="127">
        <f t="shared" si="59"/>
        <v>24656.800000000007</v>
      </c>
    </row>
    <row r="357" spans="1:38" s="130" customFormat="1" ht="15.75" x14ac:dyDescent="0.25">
      <c r="A357" s="51">
        <v>354</v>
      </c>
      <c r="B357" s="118">
        <v>46006</v>
      </c>
      <c r="C357" s="118">
        <v>46006</v>
      </c>
      <c r="D357" s="119">
        <v>251215023</v>
      </c>
      <c r="E357" s="120" t="s">
        <v>796</v>
      </c>
      <c r="F357" s="120" t="s">
        <v>797</v>
      </c>
      <c r="G357" s="120">
        <v>48</v>
      </c>
      <c r="H357" s="121">
        <v>24</v>
      </c>
      <c r="I357" s="142" t="s">
        <v>199</v>
      </c>
      <c r="J357" s="18" t="s">
        <v>23</v>
      </c>
      <c r="K357" s="19" t="s">
        <v>32</v>
      </c>
      <c r="L357" s="123" t="s">
        <v>59</v>
      </c>
      <c r="M357" s="120" t="s">
        <v>34</v>
      </c>
      <c r="N357" s="134">
        <v>66.08</v>
      </c>
      <c r="O357" s="134">
        <v>17.579999999999998</v>
      </c>
      <c r="P357" s="124">
        <f>N357-O357</f>
        <v>48.5</v>
      </c>
      <c r="Q357" s="125">
        <v>335</v>
      </c>
      <c r="R357" s="126">
        <f>Q357*P357</f>
        <v>16247.5</v>
      </c>
      <c r="S357" s="125"/>
      <c r="T357" s="127"/>
      <c r="V357" s="127" t="s">
        <v>24</v>
      </c>
      <c r="W357" s="125">
        <v>145</v>
      </c>
      <c r="X357" s="128">
        <f t="shared" si="57"/>
        <v>7032.5</v>
      </c>
      <c r="Y357" s="129">
        <v>260</v>
      </c>
      <c r="Z357" s="129">
        <f t="shared" si="58"/>
        <v>12610</v>
      </c>
      <c r="AA357" s="127">
        <f t="shared" si="59"/>
        <v>35890</v>
      </c>
    </row>
    <row r="358" spans="1:38" s="135" customFormat="1" ht="15.75" x14ac:dyDescent="0.25">
      <c r="A358" s="51">
        <v>355</v>
      </c>
      <c r="B358" s="118">
        <v>46006</v>
      </c>
      <c r="C358" s="118">
        <v>46006</v>
      </c>
      <c r="D358" s="119">
        <v>251215024</v>
      </c>
      <c r="E358" s="120" t="s">
        <v>798</v>
      </c>
      <c r="F358" s="120" t="s">
        <v>799</v>
      </c>
      <c r="G358" s="120">
        <v>47</v>
      </c>
      <c r="H358" s="121">
        <v>24</v>
      </c>
      <c r="I358" s="142" t="s">
        <v>199</v>
      </c>
      <c r="J358" s="18" t="s">
        <v>23</v>
      </c>
      <c r="K358" s="19" t="s">
        <v>32</v>
      </c>
      <c r="L358" s="123" t="s">
        <v>467</v>
      </c>
      <c r="M358" s="120" t="s">
        <v>34</v>
      </c>
      <c r="N358" s="134">
        <v>63.86</v>
      </c>
      <c r="O358" s="134">
        <v>16.3</v>
      </c>
      <c r="P358" s="124">
        <f>N358-O358</f>
        <v>47.56</v>
      </c>
      <c r="Q358" s="125">
        <v>335</v>
      </c>
      <c r="R358" s="126">
        <f>Q358*P358</f>
        <v>15932.6</v>
      </c>
      <c r="S358" s="125"/>
      <c r="T358" s="127"/>
      <c r="V358" s="127" t="s">
        <v>24</v>
      </c>
      <c r="W358" s="125">
        <v>145</v>
      </c>
      <c r="X358" s="128">
        <f t="shared" si="57"/>
        <v>6896.2000000000007</v>
      </c>
      <c r="Y358" s="129">
        <v>260</v>
      </c>
      <c r="Z358" s="127">
        <f t="shared" si="58"/>
        <v>12365.6</v>
      </c>
      <c r="AA358" s="127">
        <f t="shared" si="59"/>
        <v>35194.400000000001</v>
      </c>
    </row>
    <row r="359" spans="1:38" s="135" customFormat="1" ht="15.75" x14ac:dyDescent="0.25">
      <c r="A359" s="51">
        <v>356</v>
      </c>
      <c r="B359" s="118">
        <v>46006</v>
      </c>
      <c r="C359" s="118">
        <v>46006</v>
      </c>
      <c r="D359" s="119" t="s">
        <v>800</v>
      </c>
      <c r="E359" s="120"/>
      <c r="F359" s="120"/>
      <c r="G359" s="120"/>
      <c r="H359" s="143">
        <v>219</v>
      </c>
      <c r="I359" s="142" t="s">
        <v>801</v>
      </c>
      <c r="J359" s="20" t="s">
        <v>23</v>
      </c>
      <c r="K359" s="19" t="s">
        <v>32</v>
      </c>
      <c r="L359" s="123" t="s">
        <v>679</v>
      </c>
      <c r="M359" s="120" t="s">
        <v>306</v>
      </c>
      <c r="N359" s="134">
        <v>42.64</v>
      </c>
      <c r="O359" s="134">
        <v>12</v>
      </c>
      <c r="P359" s="124">
        <f t="shared" ref="P359:P422" si="60">N359-O359</f>
        <v>30.64</v>
      </c>
      <c r="Q359" s="125">
        <v>440</v>
      </c>
      <c r="R359" s="126">
        <f t="shared" ref="R359:R422" si="61">Q359*P359</f>
        <v>13481.6</v>
      </c>
      <c r="S359" s="125"/>
      <c r="T359" s="127"/>
      <c r="V359" s="127" t="s">
        <v>53</v>
      </c>
      <c r="W359" s="125"/>
      <c r="X359" s="128">
        <f t="shared" si="57"/>
        <v>0</v>
      </c>
      <c r="Y359" s="129"/>
      <c r="Z359" s="127">
        <f t="shared" si="58"/>
        <v>0</v>
      </c>
      <c r="AA359" s="127">
        <f t="shared" si="59"/>
        <v>13481.6</v>
      </c>
    </row>
    <row r="360" spans="1:38" s="130" customFormat="1" ht="15.75" x14ac:dyDescent="0.25">
      <c r="A360" s="51">
        <v>357</v>
      </c>
      <c r="B360" s="118">
        <v>46006</v>
      </c>
      <c r="C360" s="118">
        <v>46006</v>
      </c>
      <c r="D360" s="119">
        <v>251215025</v>
      </c>
      <c r="E360" s="120" t="s">
        <v>802</v>
      </c>
      <c r="F360" s="120" t="s">
        <v>803</v>
      </c>
      <c r="G360" s="120">
        <v>48</v>
      </c>
      <c r="H360" s="121">
        <v>24</v>
      </c>
      <c r="I360" s="142" t="s">
        <v>199</v>
      </c>
      <c r="J360" s="18" t="s">
        <v>23</v>
      </c>
      <c r="K360" s="19" t="s">
        <v>32</v>
      </c>
      <c r="L360" s="119" t="s">
        <v>418</v>
      </c>
      <c r="M360" s="120" t="s">
        <v>34</v>
      </c>
      <c r="N360" s="134">
        <v>66.5</v>
      </c>
      <c r="O360" s="134">
        <v>18.18</v>
      </c>
      <c r="P360" s="124">
        <f t="shared" si="60"/>
        <v>48.32</v>
      </c>
      <c r="Q360" s="125">
        <v>335</v>
      </c>
      <c r="R360" s="126">
        <f t="shared" si="61"/>
        <v>16187.2</v>
      </c>
      <c r="S360" s="125"/>
      <c r="T360" s="127"/>
      <c r="V360" s="127" t="s">
        <v>24</v>
      </c>
      <c r="W360" s="125">
        <v>145</v>
      </c>
      <c r="X360" s="128">
        <f t="shared" si="57"/>
        <v>7006.4</v>
      </c>
      <c r="Y360" s="129">
        <v>260</v>
      </c>
      <c r="Z360" s="127">
        <f t="shared" si="58"/>
        <v>12563.2</v>
      </c>
      <c r="AA360" s="127">
        <f t="shared" si="59"/>
        <v>35756.800000000003</v>
      </c>
    </row>
    <row r="361" spans="1:38" s="130" customFormat="1" ht="15.75" x14ac:dyDescent="0.25">
      <c r="A361" s="51">
        <v>358</v>
      </c>
      <c r="B361" s="118">
        <v>46006</v>
      </c>
      <c r="C361" s="118">
        <v>46006</v>
      </c>
      <c r="D361" s="119">
        <v>251215026</v>
      </c>
      <c r="E361" s="120" t="s">
        <v>804</v>
      </c>
      <c r="F361" s="120" t="s">
        <v>805</v>
      </c>
      <c r="G361" s="120">
        <v>33</v>
      </c>
      <c r="H361" s="121">
        <v>24</v>
      </c>
      <c r="I361" s="142" t="s">
        <v>199</v>
      </c>
      <c r="J361" s="18" t="s">
        <v>23</v>
      </c>
      <c r="K361" s="19" t="s">
        <v>32</v>
      </c>
      <c r="L361" s="123" t="s">
        <v>41</v>
      </c>
      <c r="M361" s="120" t="s">
        <v>34</v>
      </c>
      <c r="N361" s="134">
        <v>45.46</v>
      </c>
      <c r="O361" s="134">
        <v>11.84</v>
      </c>
      <c r="P361" s="124">
        <f t="shared" si="60"/>
        <v>33.620000000000005</v>
      </c>
      <c r="Q361" s="125">
        <v>335</v>
      </c>
      <c r="R361" s="126">
        <f t="shared" si="61"/>
        <v>11262.7</v>
      </c>
      <c r="S361" s="125"/>
      <c r="T361" s="127"/>
      <c r="V361" s="127" t="s">
        <v>24</v>
      </c>
      <c r="W361" s="125">
        <v>145</v>
      </c>
      <c r="X361" s="128">
        <f t="shared" si="57"/>
        <v>4874.9000000000005</v>
      </c>
      <c r="Y361" s="129">
        <v>260</v>
      </c>
      <c r="Z361" s="127">
        <f t="shared" si="58"/>
        <v>8741.2000000000007</v>
      </c>
      <c r="AA361" s="127">
        <f t="shared" si="59"/>
        <v>24878.800000000003</v>
      </c>
    </row>
    <row r="362" spans="1:38" s="130" customFormat="1" ht="15.75" x14ac:dyDescent="0.25">
      <c r="A362" s="51">
        <v>359</v>
      </c>
      <c r="B362" s="118">
        <v>46006</v>
      </c>
      <c r="C362" s="118">
        <v>46006</v>
      </c>
      <c r="D362" s="119">
        <v>251215027</v>
      </c>
      <c r="E362" s="120" t="s">
        <v>806</v>
      </c>
      <c r="F362" s="120" t="s">
        <v>807</v>
      </c>
      <c r="G362" s="120">
        <v>32</v>
      </c>
      <c r="H362" s="121">
        <v>24</v>
      </c>
      <c r="I362" s="142" t="s">
        <v>199</v>
      </c>
      <c r="J362" s="18" t="s">
        <v>23</v>
      </c>
      <c r="K362" s="19" t="s">
        <v>32</v>
      </c>
      <c r="L362" s="123" t="s">
        <v>286</v>
      </c>
      <c r="M362" s="120" t="s">
        <v>34</v>
      </c>
      <c r="N362" s="134">
        <v>44.38</v>
      </c>
      <c r="O362" s="134">
        <v>11.5</v>
      </c>
      <c r="P362" s="124">
        <f t="shared" si="60"/>
        <v>32.880000000000003</v>
      </c>
      <c r="Q362" s="125">
        <v>335</v>
      </c>
      <c r="R362" s="126">
        <f t="shared" si="61"/>
        <v>11014.800000000001</v>
      </c>
      <c r="S362" s="125"/>
      <c r="T362" s="127"/>
      <c r="V362" s="127" t="s">
        <v>24</v>
      </c>
      <c r="W362" s="125">
        <v>145</v>
      </c>
      <c r="X362" s="128">
        <f t="shared" si="57"/>
        <v>4767.6000000000004</v>
      </c>
      <c r="Y362" s="129">
        <v>26</v>
      </c>
      <c r="Z362" s="127">
        <f t="shared" si="58"/>
        <v>854.88000000000011</v>
      </c>
      <c r="AA362" s="127">
        <f t="shared" si="59"/>
        <v>16637.280000000002</v>
      </c>
    </row>
    <row r="363" spans="1:38" s="135" customFormat="1" ht="15.75" x14ac:dyDescent="0.25">
      <c r="A363" s="51">
        <v>360</v>
      </c>
      <c r="B363" s="118">
        <v>46006</v>
      </c>
      <c r="C363" s="118">
        <v>46007</v>
      </c>
      <c r="D363" s="119">
        <v>251216001</v>
      </c>
      <c r="E363" s="120" t="s">
        <v>808</v>
      </c>
      <c r="F363" s="120" t="s">
        <v>809</v>
      </c>
      <c r="G363" s="120">
        <v>44</v>
      </c>
      <c r="H363" s="131">
        <v>117</v>
      </c>
      <c r="I363" s="144" t="s">
        <v>55</v>
      </c>
      <c r="J363" s="20" t="s">
        <v>23</v>
      </c>
      <c r="K363" s="19" t="s">
        <v>32</v>
      </c>
      <c r="L363" s="119" t="s">
        <v>165</v>
      </c>
      <c r="M363" s="120" t="s">
        <v>34</v>
      </c>
      <c r="N363" s="134">
        <v>59.98</v>
      </c>
      <c r="O363" s="134">
        <v>15.9</v>
      </c>
      <c r="P363" s="124">
        <f t="shared" si="60"/>
        <v>44.08</v>
      </c>
      <c r="Q363" s="125">
        <v>335</v>
      </c>
      <c r="R363" s="126">
        <f t="shared" si="61"/>
        <v>14766.8</v>
      </c>
      <c r="S363" s="125"/>
      <c r="T363" s="127"/>
      <c r="V363" s="127" t="s">
        <v>24</v>
      </c>
      <c r="W363" s="125">
        <v>145</v>
      </c>
      <c r="X363" s="128">
        <f t="shared" si="57"/>
        <v>6391.5999999999995</v>
      </c>
      <c r="Y363" s="129">
        <v>230</v>
      </c>
      <c r="Z363" s="127">
        <f t="shared" si="58"/>
        <v>10138.4</v>
      </c>
      <c r="AA363" s="127">
        <f t="shared" si="59"/>
        <v>31296.799999999996</v>
      </c>
    </row>
    <row r="364" spans="1:38" s="135" customFormat="1" ht="15.75" x14ac:dyDescent="0.25">
      <c r="A364" s="51">
        <v>361</v>
      </c>
      <c r="B364" s="118">
        <v>46006</v>
      </c>
      <c r="C364" s="118">
        <v>46007</v>
      </c>
      <c r="D364" s="119">
        <v>251216002</v>
      </c>
      <c r="E364" s="120" t="s">
        <v>810</v>
      </c>
      <c r="F364" s="120" t="s">
        <v>811</v>
      </c>
      <c r="G364" s="120">
        <v>33</v>
      </c>
      <c r="H364" s="131">
        <v>117</v>
      </c>
      <c r="I364" s="144" t="s">
        <v>55</v>
      </c>
      <c r="J364" s="20" t="s">
        <v>23</v>
      </c>
      <c r="K364" s="19" t="s">
        <v>32</v>
      </c>
      <c r="L364" s="123" t="s">
        <v>331</v>
      </c>
      <c r="M364" s="120" t="s">
        <v>36</v>
      </c>
      <c r="N364" s="134">
        <v>45.02</v>
      </c>
      <c r="O364" s="134">
        <v>11.46</v>
      </c>
      <c r="P364" s="124">
        <f t="shared" si="60"/>
        <v>33.56</v>
      </c>
      <c r="Q364" s="125">
        <v>555</v>
      </c>
      <c r="R364" s="126">
        <f t="shared" si="61"/>
        <v>18625.800000000003</v>
      </c>
      <c r="S364" s="125"/>
      <c r="T364" s="127"/>
      <c r="V364" s="127" t="s">
        <v>24</v>
      </c>
      <c r="W364" s="125">
        <v>145</v>
      </c>
      <c r="X364" s="128">
        <f t="shared" si="57"/>
        <v>4866.2000000000007</v>
      </c>
      <c r="Y364" s="129">
        <v>230</v>
      </c>
      <c r="Z364" s="127">
        <f t="shared" si="58"/>
        <v>7718.8</v>
      </c>
      <c r="AA364" s="127">
        <f t="shared" si="59"/>
        <v>31210.800000000003</v>
      </c>
    </row>
    <row r="365" spans="1:38" s="130" customFormat="1" ht="15.75" x14ac:dyDescent="0.25">
      <c r="A365" s="51">
        <v>362</v>
      </c>
      <c r="B365" s="118">
        <v>46006</v>
      </c>
      <c r="C365" s="118">
        <v>46007</v>
      </c>
      <c r="D365" s="119">
        <v>251216003</v>
      </c>
      <c r="E365" s="120" t="s">
        <v>812</v>
      </c>
      <c r="F365" s="120" t="s">
        <v>813</v>
      </c>
      <c r="G365" s="120">
        <v>50</v>
      </c>
      <c r="H365" s="121">
        <v>53</v>
      </c>
      <c r="I365" s="122" t="s">
        <v>430</v>
      </c>
      <c r="J365" s="18" t="s">
        <v>23</v>
      </c>
      <c r="K365" s="19" t="s">
        <v>32</v>
      </c>
      <c r="L365" s="123" t="s">
        <v>418</v>
      </c>
      <c r="M365" s="120" t="s">
        <v>58</v>
      </c>
      <c r="N365" s="120">
        <v>68.12</v>
      </c>
      <c r="O365" s="134">
        <v>18.12</v>
      </c>
      <c r="P365" s="124">
        <f t="shared" si="60"/>
        <v>50</v>
      </c>
      <c r="Q365" s="125">
        <v>255</v>
      </c>
      <c r="R365" s="126">
        <f t="shared" si="61"/>
        <v>12750</v>
      </c>
      <c r="S365" s="125"/>
      <c r="T365" s="127"/>
      <c r="V365" s="127" t="s">
        <v>152</v>
      </c>
      <c r="W365" s="125">
        <v>145</v>
      </c>
      <c r="X365" s="128">
        <f t="shared" si="57"/>
        <v>7250</v>
      </c>
      <c r="Y365" s="129">
        <v>200</v>
      </c>
      <c r="Z365" s="127">
        <f t="shared" si="58"/>
        <v>10000</v>
      </c>
      <c r="AA365" s="127">
        <f t="shared" si="59"/>
        <v>30000</v>
      </c>
    </row>
    <row r="366" spans="1:38" s="130" customFormat="1" ht="15.75" x14ac:dyDescent="0.25">
      <c r="A366" s="51">
        <v>363</v>
      </c>
      <c r="B366" s="118">
        <v>46006</v>
      </c>
      <c r="C366" s="118">
        <v>46007</v>
      </c>
      <c r="D366" s="119">
        <v>251216004</v>
      </c>
      <c r="E366" s="120" t="s">
        <v>814</v>
      </c>
      <c r="F366" s="120" t="s">
        <v>815</v>
      </c>
      <c r="G366" s="120">
        <v>39</v>
      </c>
      <c r="H366" s="121">
        <v>84</v>
      </c>
      <c r="I366" s="132" t="s">
        <v>50</v>
      </c>
      <c r="J366" s="18" t="s">
        <v>23</v>
      </c>
      <c r="K366" s="19" t="s">
        <v>32</v>
      </c>
      <c r="L366" s="123" t="s">
        <v>423</v>
      </c>
      <c r="M366" s="120" t="s">
        <v>36</v>
      </c>
      <c r="N366" s="134">
        <v>52.58</v>
      </c>
      <c r="O366" s="134">
        <v>13.16</v>
      </c>
      <c r="P366" s="124">
        <f t="shared" si="60"/>
        <v>39.42</v>
      </c>
      <c r="Q366" s="125">
        <v>515</v>
      </c>
      <c r="R366" s="126">
        <f t="shared" si="61"/>
        <v>20301.3</v>
      </c>
      <c r="S366" s="125"/>
      <c r="T366" s="127"/>
      <c r="V366" s="127" t="s">
        <v>24</v>
      </c>
      <c r="W366" s="125">
        <v>145</v>
      </c>
      <c r="X366" s="128">
        <f t="shared" si="57"/>
        <v>5715.9000000000005</v>
      </c>
      <c r="Y366" s="129">
        <v>200</v>
      </c>
      <c r="Z366" s="127">
        <f t="shared" si="58"/>
        <v>7884</v>
      </c>
      <c r="AA366" s="127">
        <f t="shared" si="59"/>
        <v>33901.199999999997</v>
      </c>
    </row>
    <row r="367" spans="1:38" s="135" customFormat="1" ht="15.75" x14ac:dyDescent="0.25">
      <c r="A367" s="51">
        <v>364</v>
      </c>
      <c r="B367" s="118">
        <v>46006</v>
      </c>
      <c r="C367" s="118">
        <v>46007</v>
      </c>
      <c r="D367" s="119">
        <v>251216007</v>
      </c>
      <c r="E367" s="120" t="s">
        <v>816</v>
      </c>
      <c r="F367" s="120" t="s">
        <v>817</v>
      </c>
      <c r="G367" s="120">
        <v>42</v>
      </c>
      <c r="H367" s="121">
        <v>53</v>
      </c>
      <c r="I367" s="122" t="s">
        <v>430</v>
      </c>
      <c r="J367" s="18" t="s">
        <v>23</v>
      </c>
      <c r="K367" s="19" t="s">
        <v>32</v>
      </c>
      <c r="L367" s="120" t="s">
        <v>467</v>
      </c>
      <c r="M367" s="120" t="s">
        <v>515</v>
      </c>
      <c r="N367" s="134">
        <v>59.3</v>
      </c>
      <c r="O367" s="134">
        <v>16.440000000000001</v>
      </c>
      <c r="P367" s="124">
        <f t="shared" si="60"/>
        <v>42.86</v>
      </c>
      <c r="Q367" s="125">
        <v>355</v>
      </c>
      <c r="R367" s="126">
        <f t="shared" si="61"/>
        <v>15215.3</v>
      </c>
      <c r="S367" s="125"/>
      <c r="T367" s="127"/>
      <c r="V367" s="127" t="s">
        <v>152</v>
      </c>
      <c r="W367" s="125">
        <v>145</v>
      </c>
      <c r="X367" s="128">
        <f t="shared" si="57"/>
        <v>6214.7</v>
      </c>
      <c r="Y367" s="129">
        <v>200</v>
      </c>
      <c r="Z367" s="127">
        <f t="shared" si="58"/>
        <v>8572</v>
      </c>
      <c r="AA367" s="127">
        <f t="shared" si="59"/>
        <v>30002</v>
      </c>
    </row>
    <row r="368" spans="1:38" s="130" customFormat="1" ht="15.75" x14ac:dyDescent="0.25">
      <c r="A368" s="51">
        <v>365</v>
      </c>
      <c r="B368" s="118">
        <v>46006</v>
      </c>
      <c r="C368" s="118">
        <v>46007</v>
      </c>
      <c r="D368" s="119">
        <v>251216008</v>
      </c>
      <c r="E368" s="120" t="s">
        <v>818</v>
      </c>
      <c r="F368" s="120" t="s">
        <v>819</v>
      </c>
      <c r="G368" s="120">
        <v>42</v>
      </c>
      <c r="H368" s="121">
        <v>53</v>
      </c>
      <c r="I368" s="122" t="s">
        <v>430</v>
      </c>
      <c r="J368" s="18" t="s">
        <v>23</v>
      </c>
      <c r="K368" s="19" t="s">
        <v>32</v>
      </c>
      <c r="L368" s="123" t="s">
        <v>485</v>
      </c>
      <c r="M368" s="120" t="s">
        <v>515</v>
      </c>
      <c r="N368" s="134">
        <v>57.86</v>
      </c>
      <c r="O368" s="134">
        <v>15.44</v>
      </c>
      <c r="P368" s="124">
        <f t="shared" si="60"/>
        <v>42.42</v>
      </c>
      <c r="Q368" s="125">
        <v>355</v>
      </c>
      <c r="R368" s="126">
        <f t="shared" si="61"/>
        <v>15059.1</v>
      </c>
      <c r="S368" s="125"/>
      <c r="T368" s="127"/>
      <c r="V368" s="127" t="s">
        <v>152</v>
      </c>
      <c r="W368" s="125">
        <v>145</v>
      </c>
      <c r="X368" s="128">
        <f t="shared" si="57"/>
        <v>6150.9000000000005</v>
      </c>
      <c r="Y368" s="129">
        <v>200</v>
      </c>
      <c r="Z368" s="127">
        <f t="shared" si="58"/>
        <v>8484</v>
      </c>
      <c r="AA368" s="127">
        <f t="shared" si="59"/>
        <v>29694</v>
      </c>
    </row>
    <row r="369" spans="1:27" s="130" customFormat="1" ht="15.75" x14ac:dyDescent="0.25">
      <c r="A369" s="51">
        <v>366</v>
      </c>
      <c r="B369" s="118">
        <v>46006</v>
      </c>
      <c r="C369" s="118">
        <v>46007</v>
      </c>
      <c r="D369" s="119">
        <v>251216009</v>
      </c>
      <c r="E369" s="120" t="s">
        <v>820</v>
      </c>
      <c r="F369" s="120" t="s">
        <v>821</v>
      </c>
      <c r="G369" s="120">
        <v>42</v>
      </c>
      <c r="H369" s="121">
        <v>53</v>
      </c>
      <c r="I369" s="122" t="s">
        <v>430</v>
      </c>
      <c r="J369" s="18" t="s">
        <v>23</v>
      </c>
      <c r="K369" s="19" t="s">
        <v>32</v>
      </c>
      <c r="L369" s="123" t="s">
        <v>39</v>
      </c>
      <c r="M369" s="120" t="s">
        <v>515</v>
      </c>
      <c r="N369" s="120">
        <v>58.58</v>
      </c>
      <c r="O369" s="134">
        <v>15.78</v>
      </c>
      <c r="P369" s="124">
        <f t="shared" si="60"/>
        <v>42.8</v>
      </c>
      <c r="Q369" s="125">
        <v>355</v>
      </c>
      <c r="R369" s="126">
        <f t="shared" si="61"/>
        <v>15193.999999999998</v>
      </c>
      <c r="S369" s="125"/>
      <c r="T369" s="127"/>
      <c r="V369" s="127" t="s">
        <v>152</v>
      </c>
      <c r="W369" s="125">
        <v>145</v>
      </c>
      <c r="X369" s="128">
        <f t="shared" si="57"/>
        <v>6206</v>
      </c>
      <c r="Y369" s="129">
        <v>200</v>
      </c>
      <c r="Z369" s="127">
        <f t="shared" si="58"/>
        <v>8560</v>
      </c>
      <c r="AA369" s="127">
        <f t="shared" si="59"/>
        <v>29960</v>
      </c>
    </row>
    <row r="370" spans="1:27" s="135" customFormat="1" ht="15.75" x14ac:dyDescent="0.25">
      <c r="A370" s="51">
        <v>367</v>
      </c>
      <c r="B370" s="118">
        <v>46006</v>
      </c>
      <c r="C370" s="118">
        <v>46007</v>
      </c>
      <c r="D370" s="119">
        <v>251216005</v>
      </c>
      <c r="E370" s="120" t="s">
        <v>822</v>
      </c>
      <c r="F370" s="120" t="s">
        <v>823</v>
      </c>
      <c r="G370" s="120">
        <v>45</v>
      </c>
      <c r="H370" s="121">
        <v>53</v>
      </c>
      <c r="I370" s="122" t="s">
        <v>430</v>
      </c>
      <c r="J370" s="18" t="s">
        <v>23</v>
      </c>
      <c r="K370" s="19" t="s">
        <v>32</v>
      </c>
      <c r="L370" s="119" t="s">
        <v>482</v>
      </c>
      <c r="M370" s="120" t="s">
        <v>58</v>
      </c>
      <c r="N370" s="134">
        <v>59.82</v>
      </c>
      <c r="O370" s="120">
        <v>14.08</v>
      </c>
      <c r="P370" s="124">
        <f t="shared" si="60"/>
        <v>45.74</v>
      </c>
      <c r="Q370" s="125">
        <v>255</v>
      </c>
      <c r="R370" s="126">
        <f t="shared" si="61"/>
        <v>11663.7</v>
      </c>
      <c r="S370" s="120"/>
      <c r="T370" s="127"/>
      <c r="V370" s="127" t="s">
        <v>152</v>
      </c>
      <c r="W370" s="125">
        <v>145</v>
      </c>
      <c r="X370" s="128">
        <f t="shared" si="57"/>
        <v>6632.3</v>
      </c>
      <c r="Y370" s="129">
        <v>200</v>
      </c>
      <c r="Z370" s="127">
        <f t="shared" si="58"/>
        <v>9148</v>
      </c>
      <c r="AA370" s="127">
        <f t="shared" si="59"/>
        <v>27444</v>
      </c>
    </row>
    <row r="371" spans="1:27" s="135" customFormat="1" ht="15.75" x14ac:dyDescent="0.25">
      <c r="A371" s="51">
        <v>368</v>
      </c>
      <c r="B371" s="118">
        <v>46006</v>
      </c>
      <c r="C371" s="118">
        <v>46007</v>
      </c>
      <c r="D371" s="119">
        <v>251216006</v>
      </c>
      <c r="E371" s="120" t="s">
        <v>824</v>
      </c>
      <c r="F371" s="120" t="s">
        <v>825</v>
      </c>
      <c r="G371" s="120">
        <v>35</v>
      </c>
      <c r="H371" s="121">
        <v>84</v>
      </c>
      <c r="I371" s="132" t="s">
        <v>50</v>
      </c>
      <c r="J371" s="18" t="s">
        <v>23</v>
      </c>
      <c r="K371" s="19" t="s">
        <v>32</v>
      </c>
      <c r="L371" s="123" t="s">
        <v>682</v>
      </c>
      <c r="M371" s="120" t="s">
        <v>34</v>
      </c>
      <c r="N371" s="134">
        <v>46.76</v>
      </c>
      <c r="O371" s="134">
        <v>11.66</v>
      </c>
      <c r="P371" s="124">
        <f t="shared" si="60"/>
        <v>35.099999999999994</v>
      </c>
      <c r="Q371" s="120">
        <v>305</v>
      </c>
      <c r="R371" s="126">
        <f t="shared" si="61"/>
        <v>10705.499999999998</v>
      </c>
      <c r="S371" s="120"/>
      <c r="T371" s="127"/>
      <c r="V371" s="127" t="s">
        <v>24</v>
      </c>
      <c r="W371" s="125">
        <v>145</v>
      </c>
      <c r="X371" s="128">
        <f t="shared" si="57"/>
        <v>5089.4999999999991</v>
      </c>
      <c r="Y371" s="129">
        <v>200</v>
      </c>
      <c r="Z371" s="127">
        <f t="shared" si="58"/>
        <v>7019.9999999999991</v>
      </c>
      <c r="AA371" s="127">
        <f t="shared" si="59"/>
        <v>22814.999999999996</v>
      </c>
    </row>
    <row r="372" spans="1:27" s="135" customFormat="1" ht="15.75" x14ac:dyDescent="0.25">
      <c r="A372" s="51">
        <v>369</v>
      </c>
      <c r="B372" s="118">
        <v>46006</v>
      </c>
      <c r="C372" s="118">
        <v>46007</v>
      </c>
      <c r="D372" s="123">
        <v>251216010</v>
      </c>
      <c r="E372" s="120" t="s">
        <v>826</v>
      </c>
      <c r="F372" s="120" t="s">
        <v>827</v>
      </c>
      <c r="G372" s="120">
        <v>43</v>
      </c>
      <c r="H372" s="121">
        <v>53</v>
      </c>
      <c r="I372" s="122" t="s">
        <v>430</v>
      </c>
      <c r="J372" s="18" t="s">
        <v>23</v>
      </c>
      <c r="K372" s="19" t="s">
        <v>32</v>
      </c>
      <c r="L372" s="123" t="s">
        <v>514</v>
      </c>
      <c r="M372" s="120" t="s">
        <v>515</v>
      </c>
      <c r="N372" s="134">
        <v>58.3</v>
      </c>
      <c r="O372" s="134">
        <v>15.3</v>
      </c>
      <c r="P372" s="124">
        <f t="shared" si="60"/>
        <v>43</v>
      </c>
      <c r="Q372" s="120">
        <v>355</v>
      </c>
      <c r="R372" s="126">
        <f t="shared" si="61"/>
        <v>15265</v>
      </c>
      <c r="S372" s="120"/>
      <c r="T372" s="127"/>
      <c r="V372" s="127" t="s">
        <v>152</v>
      </c>
      <c r="W372" s="125">
        <v>145</v>
      </c>
      <c r="X372" s="128">
        <f t="shared" si="57"/>
        <v>6235</v>
      </c>
      <c r="Y372" s="129">
        <v>200</v>
      </c>
      <c r="Z372" s="127">
        <f t="shared" si="58"/>
        <v>8600</v>
      </c>
      <c r="AA372" s="127">
        <f t="shared" si="59"/>
        <v>30100</v>
      </c>
    </row>
    <row r="373" spans="1:27" s="135" customFormat="1" ht="15.75" x14ac:dyDescent="0.25">
      <c r="A373" s="51">
        <v>370</v>
      </c>
      <c r="B373" s="118">
        <v>46006</v>
      </c>
      <c r="C373" s="118">
        <v>46007</v>
      </c>
      <c r="D373" s="119">
        <v>251216011</v>
      </c>
      <c r="E373" s="120" t="s">
        <v>828</v>
      </c>
      <c r="F373" s="120" t="s">
        <v>829</v>
      </c>
      <c r="G373" s="120">
        <v>43</v>
      </c>
      <c r="H373" s="131">
        <v>117</v>
      </c>
      <c r="I373" s="144" t="s">
        <v>55</v>
      </c>
      <c r="J373" s="20" t="s">
        <v>23</v>
      </c>
      <c r="K373" s="19" t="s">
        <v>32</v>
      </c>
      <c r="L373" s="145" t="s">
        <v>379</v>
      </c>
      <c r="M373" s="120" t="s">
        <v>34</v>
      </c>
      <c r="N373" s="134">
        <v>58.78</v>
      </c>
      <c r="O373" s="134">
        <v>15.74</v>
      </c>
      <c r="P373" s="124">
        <f t="shared" si="60"/>
        <v>43.04</v>
      </c>
      <c r="Q373" s="120">
        <v>335</v>
      </c>
      <c r="R373" s="126">
        <f t="shared" si="61"/>
        <v>14418.4</v>
      </c>
      <c r="S373" s="120"/>
      <c r="T373" s="127"/>
      <c r="V373" s="127" t="s">
        <v>24</v>
      </c>
      <c r="W373" s="125">
        <v>145</v>
      </c>
      <c r="X373" s="128">
        <f t="shared" si="57"/>
        <v>6240.8</v>
      </c>
      <c r="Y373" s="129">
        <v>230</v>
      </c>
      <c r="Z373" s="127">
        <f t="shared" si="58"/>
        <v>9899.1999999999989</v>
      </c>
      <c r="AA373" s="127">
        <f t="shared" si="59"/>
        <v>30558.400000000001</v>
      </c>
    </row>
    <row r="374" spans="1:27" s="135" customFormat="1" ht="15.75" x14ac:dyDescent="0.25">
      <c r="A374" s="51">
        <v>371</v>
      </c>
      <c r="B374" s="118">
        <v>46006</v>
      </c>
      <c r="C374" s="118">
        <v>46007</v>
      </c>
      <c r="D374" s="123">
        <v>251216012</v>
      </c>
      <c r="E374" s="120" t="s">
        <v>830</v>
      </c>
      <c r="F374" s="120" t="s">
        <v>831</v>
      </c>
      <c r="G374" s="120">
        <v>32</v>
      </c>
      <c r="H374" s="121">
        <v>53</v>
      </c>
      <c r="I374" s="122" t="s">
        <v>430</v>
      </c>
      <c r="J374" s="18" t="s">
        <v>23</v>
      </c>
      <c r="K374" s="19" t="s">
        <v>32</v>
      </c>
      <c r="L374" s="123" t="s">
        <v>286</v>
      </c>
      <c r="M374" s="120" t="s">
        <v>515</v>
      </c>
      <c r="N374" s="134">
        <v>44.4</v>
      </c>
      <c r="O374" s="120">
        <v>11.46</v>
      </c>
      <c r="P374" s="124">
        <f t="shared" si="60"/>
        <v>32.94</v>
      </c>
      <c r="Q374" s="120">
        <v>355</v>
      </c>
      <c r="R374" s="126">
        <f t="shared" si="61"/>
        <v>11693.699999999999</v>
      </c>
      <c r="S374" s="120"/>
      <c r="T374" s="127"/>
      <c r="V374" s="127" t="s">
        <v>152</v>
      </c>
      <c r="W374" s="125">
        <v>145</v>
      </c>
      <c r="X374" s="128">
        <f t="shared" si="57"/>
        <v>4776.2999999999993</v>
      </c>
      <c r="Y374" s="129">
        <v>200</v>
      </c>
      <c r="Z374" s="127">
        <f t="shared" si="58"/>
        <v>6588</v>
      </c>
      <c r="AA374" s="127">
        <f t="shared" si="59"/>
        <v>23058</v>
      </c>
    </row>
    <row r="375" spans="1:27" s="135" customFormat="1" ht="15.75" x14ac:dyDescent="0.25">
      <c r="A375" s="51">
        <v>372</v>
      </c>
      <c r="B375" s="118">
        <v>46006</v>
      </c>
      <c r="C375" s="118">
        <v>46007</v>
      </c>
      <c r="D375" s="119">
        <v>251216013</v>
      </c>
      <c r="E375" s="120" t="s">
        <v>832</v>
      </c>
      <c r="F375" s="120" t="s">
        <v>833</v>
      </c>
      <c r="G375" s="120">
        <v>37</v>
      </c>
      <c r="H375" s="121">
        <v>53</v>
      </c>
      <c r="I375" s="122" t="s">
        <v>430</v>
      </c>
      <c r="J375" s="18" t="s">
        <v>23</v>
      </c>
      <c r="K375" s="19" t="s">
        <v>32</v>
      </c>
      <c r="L375" s="123" t="s">
        <v>41</v>
      </c>
      <c r="M375" s="120" t="s">
        <v>58</v>
      </c>
      <c r="N375" s="134">
        <v>49.54</v>
      </c>
      <c r="O375" s="134">
        <v>11.8</v>
      </c>
      <c r="P375" s="124">
        <f t="shared" si="60"/>
        <v>37.739999999999995</v>
      </c>
      <c r="Q375" s="120">
        <v>255</v>
      </c>
      <c r="R375" s="126">
        <f t="shared" si="61"/>
        <v>9623.6999999999989</v>
      </c>
      <c r="S375" s="120"/>
      <c r="T375" s="127"/>
      <c r="V375" s="127" t="s">
        <v>152</v>
      </c>
      <c r="W375" s="125">
        <v>145</v>
      </c>
      <c r="X375" s="128">
        <f t="shared" si="57"/>
        <v>5472.2999999999993</v>
      </c>
      <c r="Y375" s="129">
        <v>200</v>
      </c>
      <c r="Z375" s="127">
        <f t="shared" si="58"/>
        <v>7547.9999999999991</v>
      </c>
      <c r="AA375" s="127">
        <f t="shared" si="59"/>
        <v>22643.999999999996</v>
      </c>
    </row>
    <row r="376" spans="1:27" s="130" customFormat="1" ht="15.75" x14ac:dyDescent="0.25">
      <c r="A376" s="51">
        <v>373</v>
      </c>
      <c r="B376" s="118">
        <v>46006</v>
      </c>
      <c r="C376" s="118">
        <v>46007</v>
      </c>
      <c r="D376" s="123">
        <v>251216014</v>
      </c>
      <c r="E376" s="120" t="s">
        <v>834</v>
      </c>
      <c r="F376" s="120" t="s">
        <v>835</v>
      </c>
      <c r="G376" s="120">
        <v>42</v>
      </c>
      <c r="H376" s="121">
        <v>53</v>
      </c>
      <c r="I376" s="122" t="s">
        <v>430</v>
      </c>
      <c r="J376" s="18" t="s">
        <v>23</v>
      </c>
      <c r="K376" s="19" t="s">
        <v>32</v>
      </c>
      <c r="L376" s="120" t="s">
        <v>38</v>
      </c>
      <c r="M376" s="120" t="s">
        <v>515</v>
      </c>
      <c r="N376" s="134">
        <v>58.74</v>
      </c>
      <c r="O376" s="134">
        <v>15.84</v>
      </c>
      <c r="P376" s="124">
        <f t="shared" si="60"/>
        <v>42.900000000000006</v>
      </c>
      <c r="Q376" s="125">
        <v>355</v>
      </c>
      <c r="R376" s="126">
        <f t="shared" si="61"/>
        <v>15229.500000000002</v>
      </c>
      <c r="S376" s="125"/>
      <c r="T376" s="127"/>
      <c r="V376" s="127" t="s">
        <v>152</v>
      </c>
      <c r="W376" s="125">
        <v>145</v>
      </c>
      <c r="X376" s="128">
        <f t="shared" si="57"/>
        <v>6220.5000000000009</v>
      </c>
      <c r="Y376" s="129">
        <v>200</v>
      </c>
      <c r="Z376" s="127">
        <f t="shared" si="58"/>
        <v>8580.0000000000018</v>
      </c>
      <c r="AA376" s="127">
        <f t="shared" si="59"/>
        <v>30030.000000000007</v>
      </c>
    </row>
    <row r="377" spans="1:27" s="130" customFormat="1" ht="15.75" x14ac:dyDescent="0.25">
      <c r="A377" s="51">
        <v>374</v>
      </c>
      <c r="B377" s="118">
        <v>46006</v>
      </c>
      <c r="C377" s="118">
        <v>46007</v>
      </c>
      <c r="D377" s="119">
        <v>251216015</v>
      </c>
      <c r="E377" s="120" t="s">
        <v>836</v>
      </c>
      <c r="F377" s="120" t="s">
        <v>837</v>
      </c>
      <c r="G377" s="120">
        <v>51</v>
      </c>
      <c r="H377" s="121">
        <v>53</v>
      </c>
      <c r="I377" s="122" t="s">
        <v>430</v>
      </c>
      <c r="J377" s="18" t="s">
        <v>23</v>
      </c>
      <c r="K377" s="19" t="s">
        <v>32</v>
      </c>
      <c r="L377" s="123" t="s">
        <v>54</v>
      </c>
      <c r="M377" s="120" t="s">
        <v>58</v>
      </c>
      <c r="N377" s="134">
        <v>66.92</v>
      </c>
      <c r="O377" s="120">
        <v>14.96</v>
      </c>
      <c r="P377" s="124">
        <f t="shared" si="60"/>
        <v>51.96</v>
      </c>
      <c r="Q377" s="125">
        <v>255</v>
      </c>
      <c r="R377" s="126">
        <f t="shared" si="61"/>
        <v>13249.800000000001</v>
      </c>
      <c r="S377" s="125"/>
      <c r="T377" s="127"/>
      <c r="V377" s="127" t="s">
        <v>152</v>
      </c>
      <c r="W377" s="125">
        <v>145</v>
      </c>
      <c r="X377" s="128">
        <f t="shared" si="57"/>
        <v>7534.2</v>
      </c>
      <c r="Y377" s="129">
        <v>200</v>
      </c>
      <c r="Z377" s="127">
        <f t="shared" si="58"/>
        <v>10392</v>
      </c>
      <c r="AA377" s="127">
        <f t="shared" si="59"/>
        <v>31176</v>
      </c>
    </row>
    <row r="378" spans="1:27" s="130" customFormat="1" ht="15.75" x14ac:dyDescent="0.25">
      <c r="A378" s="51">
        <v>375</v>
      </c>
      <c r="B378" s="118">
        <v>46007</v>
      </c>
      <c r="C378" s="118">
        <v>46007</v>
      </c>
      <c r="D378" s="119" t="s">
        <v>838</v>
      </c>
      <c r="E378" s="120"/>
      <c r="F378" s="120"/>
      <c r="G378" s="120"/>
      <c r="H378" s="121"/>
      <c r="I378" s="122" t="s">
        <v>839</v>
      </c>
      <c r="J378" s="18" t="s">
        <v>23</v>
      </c>
      <c r="K378" s="19" t="s">
        <v>30</v>
      </c>
      <c r="L378" s="104" t="s">
        <v>89</v>
      </c>
      <c r="M378" s="120" t="s">
        <v>31</v>
      </c>
      <c r="N378" s="134">
        <v>8.64</v>
      </c>
      <c r="O378" s="120">
        <v>3.38</v>
      </c>
      <c r="P378" s="124">
        <f t="shared" si="60"/>
        <v>5.2600000000000007</v>
      </c>
      <c r="Q378" s="125">
        <v>150</v>
      </c>
      <c r="R378" s="126">
        <f t="shared" si="61"/>
        <v>789.00000000000011</v>
      </c>
      <c r="S378" s="125">
        <v>789</v>
      </c>
      <c r="T378" s="127"/>
      <c r="V378" s="127" t="s">
        <v>24</v>
      </c>
      <c r="W378" s="125"/>
      <c r="X378" s="128">
        <f t="shared" ref="X378:X421" si="62">W378*P378</f>
        <v>0</v>
      </c>
      <c r="Y378" s="129"/>
      <c r="Z378" s="127">
        <f t="shared" ref="Z378:Z421" si="63">Y378*P378</f>
        <v>0</v>
      </c>
      <c r="AA378" s="127">
        <f t="shared" ref="AA378:AA421" si="64">R378+X378+Z378</f>
        <v>789.00000000000011</v>
      </c>
    </row>
    <row r="379" spans="1:27" s="130" customFormat="1" ht="15.75" x14ac:dyDescent="0.25">
      <c r="A379" s="51">
        <v>376</v>
      </c>
      <c r="B379" s="118">
        <v>46007</v>
      </c>
      <c r="C379" s="118">
        <v>46007</v>
      </c>
      <c r="D379" s="119">
        <v>251216016</v>
      </c>
      <c r="E379" s="120" t="s">
        <v>840</v>
      </c>
      <c r="F379" s="120" t="s">
        <v>841</v>
      </c>
      <c r="G379" s="120">
        <v>46</v>
      </c>
      <c r="H379" s="121">
        <v>117</v>
      </c>
      <c r="I379" s="122" t="s">
        <v>55</v>
      </c>
      <c r="J379" s="18" t="s">
        <v>23</v>
      </c>
      <c r="K379" s="19" t="s">
        <v>32</v>
      </c>
      <c r="L379" s="104" t="s">
        <v>328</v>
      </c>
      <c r="M379" s="120" t="s">
        <v>36</v>
      </c>
      <c r="N379" s="134">
        <v>62.14</v>
      </c>
      <c r="O379" s="120">
        <v>15.24</v>
      </c>
      <c r="P379" s="124">
        <f t="shared" si="60"/>
        <v>46.9</v>
      </c>
      <c r="Q379" s="125">
        <v>555</v>
      </c>
      <c r="R379" s="126">
        <f t="shared" si="61"/>
        <v>26029.5</v>
      </c>
      <c r="S379" s="125"/>
      <c r="T379" s="127"/>
      <c r="V379" s="127" t="s">
        <v>24</v>
      </c>
      <c r="W379" s="125">
        <v>145</v>
      </c>
      <c r="X379" s="128">
        <f t="shared" si="62"/>
        <v>6800.5</v>
      </c>
      <c r="Y379" s="129">
        <v>230</v>
      </c>
      <c r="Z379" s="127">
        <f t="shared" si="63"/>
        <v>10787</v>
      </c>
      <c r="AA379" s="127">
        <f t="shared" si="64"/>
        <v>43617</v>
      </c>
    </row>
    <row r="380" spans="1:27" s="130" customFormat="1" ht="15.75" x14ac:dyDescent="0.25">
      <c r="A380" s="51">
        <v>377</v>
      </c>
      <c r="B380" s="118">
        <v>46007</v>
      </c>
      <c r="C380" s="118">
        <v>46007</v>
      </c>
      <c r="D380" s="119" t="s">
        <v>842</v>
      </c>
      <c r="E380" s="120"/>
      <c r="F380" s="120"/>
      <c r="G380" s="120"/>
      <c r="H380" s="121"/>
      <c r="I380" s="122" t="s">
        <v>843</v>
      </c>
      <c r="J380" s="18" t="s">
        <v>23</v>
      </c>
      <c r="K380" s="19" t="s">
        <v>32</v>
      </c>
      <c r="L380" s="104" t="s">
        <v>844</v>
      </c>
      <c r="M380" s="120" t="s">
        <v>36</v>
      </c>
      <c r="N380" s="134">
        <v>9.66</v>
      </c>
      <c r="O380" s="120">
        <v>3.6</v>
      </c>
      <c r="P380" s="124">
        <f t="shared" si="60"/>
        <v>6.0600000000000005</v>
      </c>
      <c r="Q380" s="125">
        <v>500</v>
      </c>
      <c r="R380" s="126">
        <f t="shared" si="61"/>
        <v>3030.0000000000005</v>
      </c>
      <c r="S380" s="125"/>
      <c r="T380" s="127"/>
      <c r="V380" s="127" t="s">
        <v>53</v>
      </c>
      <c r="W380" s="125"/>
      <c r="X380" s="128">
        <f t="shared" si="62"/>
        <v>0</v>
      </c>
      <c r="Y380" s="129"/>
      <c r="Z380" s="127">
        <f t="shared" si="63"/>
        <v>0</v>
      </c>
      <c r="AA380" s="127">
        <f t="shared" si="64"/>
        <v>3030.0000000000005</v>
      </c>
    </row>
    <row r="381" spans="1:27" s="130" customFormat="1" ht="15.75" x14ac:dyDescent="0.25">
      <c r="A381" s="51">
        <v>378</v>
      </c>
      <c r="B381" s="118">
        <v>46007</v>
      </c>
      <c r="C381" s="118">
        <v>46007</v>
      </c>
      <c r="D381" s="119">
        <v>251216017</v>
      </c>
      <c r="E381" s="120" t="s">
        <v>845</v>
      </c>
      <c r="F381" s="120" t="s">
        <v>846</v>
      </c>
      <c r="G381" s="120">
        <v>33</v>
      </c>
      <c r="H381" s="121">
        <v>117</v>
      </c>
      <c r="I381" s="122" t="s">
        <v>55</v>
      </c>
      <c r="J381" s="18" t="s">
        <v>23</v>
      </c>
      <c r="K381" s="19" t="s">
        <v>32</v>
      </c>
      <c r="L381" s="104" t="s">
        <v>331</v>
      </c>
      <c r="M381" s="120" t="s">
        <v>34</v>
      </c>
      <c r="N381" s="134">
        <v>44.44</v>
      </c>
      <c r="O381" s="120">
        <v>11.2</v>
      </c>
      <c r="P381" s="124">
        <f t="shared" si="60"/>
        <v>33.239999999999995</v>
      </c>
      <c r="Q381" s="125">
        <v>335</v>
      </c>
      <c r="R381" s="126">
        <f t="shared" si="61"/>
        <v>11135.399999999998</v>
      </c>
      <c r="S381" s="125"/>
      <c r="T381" s="127"/>
      <c r="V381" s="127" t="s">
        <v>24</v>
      </c>
      <c r="W381" s="125">
        <v>145</v>
      </c>
      <c r="X381" s="128">
        <f t="shared" si="62"/>
        <v>4819.7999999999993</v>
      </c>
      <c r="Y381" s="129">
        <v>230</v>
      </c>
      <c r="Z381" s="127">
        <f t="shared" si="63"/>
        <v>7645.1999999999989</v>
      </c>
      <c r="AA381" s="127">
        <f t="shared" si="64"/>
        <v>23600.399999999994</v>
      </c>
    </row>
    <row r="382" spans="1:27" s="130" customFormat="1" ht="15.75" x14ac:dyDescent="0.25">
      <c r="A382" s="51">
        <v>379</v>
      </c>
      <c r="B382" s="118">
        <v>46007</v>
      </c>
      <c r="C382" s="118">
        <v>46007</v>
      </c>
      <c r="D382" s="119">
        <v>251216018</v>
      </c>
      <c r="E382" s="120" t="s">
        <v>847</v>
      </c>
      <c r="F382" s="120" t="s">
        <v>848</v>
      </c>
      <c r="G382" s="120">
        <v>22</v>
      </c>
      <c r="H382" s="121">
        <v>18</v>
      </c>
      <c r="I382" s="122" t="s">
        <v>849</v>
      </c>
      <c r="J382" s="18" t="s">
        <v>23</v>
      </c>
      <c r="K382" s="19" t="s">
        <v>32</v>
      </c>
      <c r="L382" s="104" t="s">
        <v>160</v>
      </c>
      <c r="M382" s="120" t="s">
        <v>34</v>
      </c>
      <c r="N382" s="134">
        <v>37.1</v>
      </c>
      <c r="O382" s="120">
        <v>14.34</v>
      </c>
      <c r="P382" s="124">
        <f t="shared" si="60"/>
        <v>22.76</v>
      </c>
      <c r="Q382" s="125">
        <v>420</v>
      </c>
      <c r="R382" s="126">
        <f t="shared" si="61"/>
        <v>9559.2000000000007</v>
      </c>
      <c r="S382" s="125"/>
      <c r="T382" s="127"/>
      <c r="V382" s="127" t="s">
        <v>24</v>
      </c>
      <c r="W382" s="125">
        <v>145</v>
      </c>
      <c r="X382" s="128">
        <f t="shared" si="62"/>
        <v>3300.2000000000003</v>
      </c>
      <c r="Y382" s="129"/>
      <c r="Z382" s="127">
        <f t="shared" si="63"/>
        <v>0</v>
      </c>
      <c r="AA382" s="127">
        <f t="shared" si="64"/>
        <v>12859.400000000001</v>
      </c>
    </row>
    <row r="383" spans="1:27" s="135" customFormat="1" ht="15.75" x14ac:dyDescent="0.25">
      <c r="A383" s="51">
        <v>380</v>
      </c>
      <c r="B383" s="118">
        <v>46007</v>
      </c>
      <c r="C383" s="118">
        <v>46007</v>
      </c>
      <c r="D383" s="119">
        <v>251216019</v>
      </c>
      <c r="E383" s="120" t="s">
        <v>850</v>
      </c>
      <c r="F383" s="120" t="s">
        <v>851</v>
      </c>
      <c r="G383" s="120">
        <v>22</v>
      </c>
      <c r="H383" s="121">
        <v>18</v>
      </c>
      <c r="I383" s="122" t="s">
        <v>849</v>
      </c>
      <c r="J383" s="18" t="s">
        <v>23</v>
      </c>
      <c r="K383" s="19" t="s">
        <v>32</v>
      </c>
      <c r="L383" s="104" t="s">
        <v>188</v>
      </c>
      <c r="M383" s="120" t="s">
        <v>36</v>
      </c>
      <c r="N383" s="134">
        <v>36.659999999999997</v>
      </c>
      <c r="O383" s="120">
        <v>14.2</v>
      </c>
      <c r="P383" s="124">
        <f t="shared" si="60"/>
        <v>22.459999999999997</v>
      </c>
      <c r="Q383" s="125">
        <v>620</v>
      </c>
      <c r="R383" s="126">
        <f t="shared" si="61"/>
        <v>13925.199999999999</v>
      </c>
      <c r="S383" s="125"/>
      <c r="T383" s="127"/>
      <c r="U383" s="130"/>
      <c r="V383" s="127" t="s">
        <v>24</v>
      </c>
      <c r="W383" s="125">
        <v>145</v>
      </c>
      <c r="X383" s="128">
        <f t="shared" si="62"/>
        <v>3256.7</v>
      </c>
      <c r="Y383" s="129"/>
      <c r="Z383" s="127">
        <f t="shared" si="63"/>
        <v>0</v>
      </c>
      <c r="AA383" s="127">
        <f t="shared" si="64"/>
        <v>17181.899999999998</v>
      </c>
    </row>
    <row r="384" spans="1:27" s="130" customFormat="1" ht="15.75" x14ac:dyDescent="0.25">
      <c r="A384" s="51">
        <v>381</v>
      </c>
      <c r="B384" s="118">
        <v>46007</v>
      </c>
      <c r="C384" s="118">
        <v>46007</v>
      </c>
      <c r="D384" s="119">
        <v>251216020</v>
      </c>
      <c r="E384" s="120" t="s">
        <v>852</v>
      </c>
      <c r="F384" s="120" t="s">
        <v>853</v>
      </c>
      <c r="G384" s="120">
        <v>32</v>
      </c>
      <c r="H384" s="121">
        <v>131</v>
      </c>
      <c r="I384" s="122" t="s">
        <v>700</v>
      </c>
      <c r="J384" s="18" t="s">
        <v>23</v>
      </c>
      <c r="K384" s="19" t="s">
        <v>32</v>
      </c>
      <c r="L384" s="104" t="s">
        <v>44</v>
      </c>
      <c r="M384" s="120" t="s">
        <v>34</v>
      </c>
      <c r="N384" s="134">
        <v>44.08</v>
      </c>
      <c r="O384" s="120">
        <v>11.7</v>
      </c>
      <c r="P384" s="124">
        <f t="shared" si="60"/>
        <v>32.379999999999995</v>
      </c>
      <c r="Q384" s="125">
        <v>285</v>
      </c>
      <c r="R384" s="126">
        <f t="shared" si="61"/>
        <v>9228.2999999999993</v>
      </c>
      <c r="S384" s="125"/>
      <c r="T384" s="127"/>
      <c r="V384" s="127" t="s">
        <v>152</v>
      </c>
      <c r="W384" s="125">
        <v>145</v>
      </c>
      <c r="X384" s="128">
        <f t="shared" si="62"/>
        <v>4695.0999999999995</v>
      </c>
      <c r="Y384" s="129">
        <v>200</v>
      </c>
      <c r="Z384" s="127">
        <f t="shared" si="63"/>
        <v>6475.9999999999991</v>
      </c>
      <c r="AA384" s="127">
        <f t="shared" si="64"/>
        <v>20399.399999999998</v>
      </c>
    </row>
    <row r="385" spans="1:38" s="130" customFormat="1" ht="15.75" x14ac:dyDescent="0.25">
      <c r="A385" s="51">
        <v>382</v>
      </c>
      <c r="B385" s="118">
        <v>46007</v>
      </c>
      <c r="C385" s="118">
        <v>46007</v>
      </c>
      <c r="D385" s="119">
        <v>251216021</v>
      </c>
      <c r="E385" s="120" t="s">
        <v>854</v>
      </c>
      <c r="F385" s="120" t="s">
        <v>855</v>
      </c>
      <c r="G385" s="120">
        <v>32</v>
      </c>
      <c r="H385" s="121">
        <v>131</v>
      </c>
      <c r="I385" s="122" t="s">
        <v>700</v>
      </c>
      <c r="J385" s="18" t="s">
        <v>23</v>
      </c>
      <c r="K385" s="19" t="s">
        <v>32</v>
      </c>
      <c r="L385" s="104" t="s">
        <v>42</v>
      </c>
      <c r="M385" s="120" t="s">
        <v>34</v>
      </c>
      <c r="N385" s="134">
        <v>43.88</v>
      </c>
      <c r="O385" s="120">
        <v>11.44</v>
      </c>
      <c r="P385" s="124">
        <f t="shared" si="60"/>
        <v>32.440000000000005</v>
      </c>
      <c r="Q385" s="125">
        <v>285</v>
      </c>
      <c r="R385" s="126">
        <f t="shared" si="61"/>
        <v>9245.4000000000015</v>
      </c>
      <c r="S385" s="125"/>
      <c r="T385" s="127"/>
      <c r="V385" s="127" t="s">
        <v>152</v>
      </c>
      <c r="W385" s="125">
        <v>145</v>
      </c>
      <c r="X385" s="128">
        <f t="shared" si="62"/>
        <v>4703.8000000000011</v>
      </c>
      <c r="Y385" s="129">
        <v>200</v>
      </c>
      <c r="Z385" s="127">
        <f t="shared" si="63"/>
        <v>6488.0000000000009</v>
      </c>
      <c r="AA385" s="127">
        <f t="shared" si="64"/>
        <v>20437.200000000004</v>
      </c>
    </row>
    <row r="386" spans="1:38" s="130" customFormat="1" ht="15.75" x14ac:dyDescent="0.25">
      <c r="A386" s="51">
        <v>383</v>
      </c>
      <c r="B386" s="118">
        <v>46007</v>
      </c>
      <c r="C386" s="118">
        <v>46007</v>
      </c>
      <c r="D386" s="119">
        <v>251216022</v>
      </c>
      <c r="E386" s="120" t="s">
        <v>856</v>
      </c>
      <c r="F386" s="120" t="s">
        <v>857</v>
      </c>
      <c r="G386" s="120">
        <v>60</v>
      </c>
      <c r="H386" s="121">
        <v>24</v>
      </c>
      <c r="I386" s="122" t="s">
        <v>199</v>
      </c>
      <c r="J386" s="18" t="s">
        <v>23</v>
      </c>
      <c r="K386" s="19" t="s">
        <v>32</v>
      </c>
      <c r="L386" s="104" t="s">
        <v>46</v>
      </c>
      <c r="M386" s="120" t="s">
        <v>34</v>
      </c>
      <c r="N386" s="134">
        <v>77.540000000000006</v>
      </c>
      <c r="O386" s="120">
        <v>17.18</v>
      </c>
      <c r="P386" s="124">
        <f t="shared" si="60"/>
        <v>60.360000000000007</v>
      </c>
      <c r="Q386" s="125">
        <v>335</v>
      </c>
      <c r="R386" s="126">
        <f t="shared" si="61"/>
        <v>20220.600000000002</v>
      </c>
      <c r="S386" s="125"/>
      <c r="T386" s="127"/>
      <c r="V386" s="127" t="s">
        <v>24</v>
      </c>
      <c r="W386" s="125">
        <v>145</v>
      </c>
      <c r="X386" s="128">
        <f t="shared" si="62"/>
        <v>8752.2000000000007</v>
      </c>
      <c r="Y386" s="129">
        <v>260</v>
      </c>
      <c r="Z386" s="127">
        <f t="shared" si="63"/>
        <v>15693.600000000002</v>
      </c>
      <c r="AA386" s="127">
        <f t="shared" si="64"/>
        <v>44666.400000000009</v>
      </c>
    </row>
    <row r="387" spans="1:38" s="130" customFormat="1" ht="20.100000000000001" customHeight="1" x14ac:dyDescent="0.25">
      <c r="A387" s="51">
        <v>384</v>
      </c>
      <c r="B387" s="118">
        <v>46007</v>
      </c>
      <c r="C387" s="118">
        <v>46007</v>
      </c>
      <c r="D387" s="119">
        <v>251216023</v>
      </c>
      <c r="E387" s="120" t="s">
        <v>858</v>
      </c>
      <c r="F387" s="120" t="s">
        <v>859</v>
      </c>
      <c r="G387" s="120">
        <v>37</v>
      </c>
      <c r="H387" s="121">
        <v>24</v>
      </c>
      <c r="I387" s="122" t="s">
        <v>199</v>
      </c>
      <c r="J387" s="18" t="s">
        <v>23</v>
      </c>
      <c r="K387" s="19" t="s">
        <v>32</v>
      </c>
      <c r="L387" s="104" t="s">
        <v>423</v>
      </c>
      <c r="M387" s="120" t="s">
        <v>34</v>
      </c>
      <c r="N387" s="134">
        <v>50.16</v>
      </c>
      <c r="O387" s="120">
        <v>12.86</v>
      </c>
      <c r="P387" s="124">
        <f t="shared" si="60"/>
        <v>37.299999999999997</v>
      </c>
      <c r="Q387" s="125">
        <v>335</v>
      </c>
      <c r="R387" s="126">
        <f t="shared" si="61"/>
        <v>12495.499999999998</v>
      </c>
      <c r="S387" s="125"/>
      <c r="T387" s="127"/>
      <c r="V387" s="127" t="s">
        <v>24</v>
      </c>
      <c r="W387" s="125">
        <v>145</v>
      </c>
      <c r="X387" s="128">
        <f t="shared" si="62"/>
        <v>5408.5</v>
      </c>
      <c r="Y387" s="129">
        <v>260</v>
      </c>
      <c r="Z387" s="127">
        <f t="shared" si="63"/>
        <v>9698</v>
      </c>
      <c r="AA387" s="127">
        <f t="shared" si="64"/>
        <v>27602</v>
      </c>
      <c r="AB387" s="139"/>
      <c r="AC387" s="138"/>
      <c r="AD387" s="140"/>
      <c r="AE387" s="141"/>
      <c r="AF387" s="138"/>
      <c r="AG387" s="141"/>
      <c r="AH387" s="138"/>
      <c r="AI387" s="140"/>
      <c r="AJ387" s="138"/>
      <c r="AK387" s="140"/>
      <c r="AL387" s="140"/>
    </row>
    <row r="388" spans="1:38" s="130" customFormat="1" ht="15.75" x14ac:dyDescent="0.25">
      <c r="A388" s="51">
        <v>385</v>
      </c>
      <c r="B388" s="118">
        <v>46007</v>
      </c>
      <c r="C388" s="118">
        <v>46007</v>
      </c>
      <c r="D388" s="119" t="s">
        <v>860</v>
      </c>
      <c r="E388" s="120"/>
      <c r="F388" s="120"/>
      <c r="G388" s="120"/>
      <c r="H388" s="121"/>
      <c r="I388" s="122" t="s">
        <v>839</v>
      </c>
      <c r="J388" s="18" t="s">
        <v>23</v>
      </c>
      <c r="K388" s="19" t="s">
        <v>30</v>
      </c>
      <c r="L388" s="104" t="s">
        <v>68</v>
      </c>
      <c r="M388" s="120" t="s">
        <v>31</v>
      </c>
      <c r="N388" s="134">
        <v>9.44</v>
      </c>
      <c r="O388" s="120">
        <v>3.6</v>
      </c>
      <c r="P388" s="124">
        <f t="shared" si="60"/>
        <v>5.84</v>
      </c>
      <c r="Q388" s="125">
        <v>150</v>
      </c>
      <c r="R388" s="126">
        <f t="shared" si="61"/>
        <v>876</v>
      </c>
      <c r="S388" s="125">
        <v>876</v>
      </c>
      <c r="T388" s="127"/>
      <c r="V388" s="127" t="s">
        <v>24</v>
      </c>
      <c r="W388" s="125"/>
      <c r="X388" s="128">
        <f t="shared" si="62"/>
        <v>0</v>
      </c>
      <c r="Y388" s="129"/>
      <c r="Z388" s="127">
        <f t="shared" si="63"/>
        <v>0</v>
      </c>
      <c r="AA388" s="127">
        <f t="shared" si="64"/>
        <v>876</v>
      </c>
    </row>
    <row r="389" spans="1:38" s="130" customFormat="1" ht="15.75" x14ac:dyDescent="0.25">
      <c r="A389" s="51">
        <v>386</v>
      </c>
      <c r="B389" s="118">
        <v>46007</v>
      </c>
      <c r="C389" s="118">
        <v>46007</v>
      </c>
      <c r="D389" s="119" t="s">
        <v>861</v>
      </c>
      <c r="E389" s="120"/>
      <c r="F389" s="120"/>
      <c r="G389" s="120"/>
      <c r="H389" s="121"/>
      <c r="I389" s="122" t="s">
        <v>862</v>
      </c>
      <c r="J389" s="18" t="s">
        <v>23</v>
      </c>
      <c r="K389" s="19" t="s">
        <v>30</v>
      </c>
      <c r="L389" s="153" t="s">
        <v>863</v>
      </c>
      <c r="M389" s="120" t="s">
        <v>31</v>
      </c>
      <c r="N389" s="134">
        <v>9.66</v>
      </c>
      <c r="O389" s="120">
        <v>3.26</v>
      </c>
      <c r="P389" s="124">
        <f t="shared" si="60"/>
        <v>6.4</v>
      </c>
      <c r="Q389" s="125">
        <v>150</v>
      </c>
      <c r="R389" s="126">
        <f t="shared" si="61"/>
        <v>960</v>
      </c>
      <c r="S389" s="125">
        <v>960</v>
      </c>
      <c r="T389" s="127"/>
      <c r="V389" s="127" t="s">
        <v>24</v>
      </c>
      <c r="W389" s="125"/>
      <c r="X389" s="128">
        <f t="shared" si="62"/>
        <v>0</v>
      </c>
      <c r="Y389" s="129"/>
      <c r="Z389" s="127">
        <f t="shared" si="63"/>
        <v>0</v>
      </c>
      <c r="AA389" s="127">
        <f t="shared" si="64"/>
        <v>960</v>
      </c>
    </row>
    <row r="390" spans="1:38" s="130" customFormat="1" ht="15.75" x14ac:dyDescent="0.25">
      <c r="A390" s="51">
        <v>387</v>
      </c>
      <c r="B390" s="118">
        <v>46007</v>
      </c>
      <c r="C390" s="118">
        <v>46007</v>
      </c>
      <c r="D390" s="119">
        <v>251216024</v>
      </c>
      <c r="E390" s="120" t="s">
        <v>864</v>
      </c>
      <c r="F390" s="120" t="s">
        <v>865</v>
      </c>
      <c r="G390" s="120">
        <v>44</v>
      </c>
      <c r="H390" s="121">
        <v>24</v>
      </c>
      <c r="I390" s="122" t="s">
        <v>199</v>
      </c>
      <c r="J390" s="18" t="s">
        <v>23</v>
      </c>
      <c r="K390" s="19" t="s">
        <v>32</v>
      </c>
      <c r="L390" s="101" t="s">
        <v>54</v>
      </c>
      <c r="M390" s="120" t="s">
        <v>34</v>
      </c>
      <c r="N390" s="134">
        <v>59.06</v>
      </c>
      <c r="O390" s="120">
        <v>14.94</v>
      </c>
      <c r="P390" s="124">
        <f t="shared" si="60"/>
        <v>44.120000000000005</v>
      </c>
      <c r="Q390" s="125">
        <v>335</v>
      </c>
      <c r="R390" s="126">
        <f t="shared" si="61"/>
        <v>14780.2</v>
      </c>
      <c r="S390" s="125"/>
      <c r="T390" s="127"/>
      <c r="V390" s="127" t="s">
        <v>24</v>
      </c>
      <c r="W390" s="125">
        <v>145</v>
      </c>
      <c r="X390" s="128">
        <f t="shared" si="62"/>
        <v>6397.4000000000005</v>
      </c>
      <c r="Y390" s="129">
        <v>260</v>
      </c>
      <c r="Z390" s="127">
        <f t="shared" si="63"/>
        <v>11471.2</v>
      </c>
      <c r="AA390" s="127">
        <f t="shared" si="64"/>
        <v>32648.800000000003</v>
      </c>
    </row>
    <row r="391" spans="1:38" s="130" customFormat="1" ht="15.75" x14ac:dyDescent="0.25">
      <c r="A391" s="51">
        <v>388</v>
      </c>
      <c r="B391" s="118">
        <v>46007</v>
      </c>
      <c r="C391" s="118">
        <v>46007</v>
      </c>
      <c r="D391" s="119" t="s">
        <v>860</v>
      </c>
      <c r="E391" s="120"/>
      <c r="F391" s="120"/>
      <c r="G391" s="120"/>
      <c r="H391" s="121"/>
      <c r="I391" s="122" t="s">
        <v>862</v>
      </c>
      <c r="J391" s="18" t="s">
        <v>23</v>
      </c>
      <c r="K391" s="19" t="s">
        <v>30</v>
      </c>
      <c r="L391" s="153" t="s">
        <v>863</v>
      </c>
      <c r="M391" s="120" t="s">
        <v>31</v>
      </c>
      <c r="N391" s="134">
        <v>8.82</v>
      </c>
      <c r="O391" s="120">
        <v>3.28</v>
      </c>
      <c r="P391" s="124">
        <f t="shared" si="60"/>
        <v>5.5400000000000009</v>
      </c>
      <c r="Q391" s="125">
        <v>150</v>
      </c>
      <c r="R391" s="126">
        <f t="shared" si="61"/>
        <v>831.00000000000011</v>
      </c>
      <c r="S391" s="125">
        <v>831</v>
      </c>
      <c r="T391" s="127"/>
      <c r="V391" s="127" t="s">
        <v>24</v>
      </c>
      <c r="W391" s="125"/>
      <c r="X391" s="128">
        <f t="shared" si="62"/>
        <v>0</v>
      </c>
      <c r="Y391" s="129"/>
      <c r="Z391" s="127">
        <f t="shared" si="63"/>
        <v>0</v>
      </c>
      <c r="AA391" s="127">
        <f t="shared" si="64"/>
        <v>831.00000000000011</v>
      </c>
    </row>
    <row r="392" spans="1:38" s="135" customFormat="1" ht="15.75" x14ac:dyDescent="0.25">
      <c r="A392" s="51">
        <v>389</v>
      </c>
      <c r="B392" s="118">
        <v>46007</v>
      </c>
      <c r="C392" s="118">
        <v>46007</v>
      </c>
      <c r="D392" s="119" t="s">
        <v>866</v>
      </c>
      <c r="E392" s="120"/>
      <c r="F392" s="120"/>
      <c r="G392" s="120"/>
      <c r="H392" s="121"/>
      <c r="I392" s="122" t="s">
        <v>862</v>
      </c>
      <c r="J392" s="18" t="s">
        <v>23</v>
      </c>
      <c r="K392" s="19" t="s">
        <v>30</v>
      </c>
      <c r="L392" s="153" t="s">
        <v>863</v>
      </c>
      <c r="M392" s="120" t="s">
        <v>31</v>
      </c>
      <c r="N392" s="134">
        <v>8.2799999999999994</v>
      </c>
      <c r="O392" s="120">
        <v>3.3</v>
      </c>
      <c r="P392" s="124">
        <f t="shared" si="60"/>
        <v>4.9799999999999995</v>
      </c>
      <c r="Q392" s="125">
        <v>150</v>
      </c>
      <c r="R392" s="126">
        <f t="shared" si="61"/>
        <v>746.99999999999989</v>
      </c>
      <c r="S392" s="125">
        <v>474</v>
      </c>
      <c r="T392" s="127"/>
      <c r="U392" s="130"/>
      <c r="V392" s="127" t="s">
        <v>24</v>
      </c>
      <c r="W392" s="125"/>
      <c r="X392" s="128">
        <f t="shared" si="62"/>
        <v>0</v>
      </c>
      <c r="Y392" s="129"/>
      <c r="Z392" s="127">
        <f t="shared" si="63"/>
        <v>0</v>
      </c>
      <c r="AA392" s="127">
        <f t="shared" si="64"/>
        <v>746.99999999999989</v>
      </c>
    </row>
    <row r="393" spans="1:38" s="135" customFormat="1" ht="15.75" x14ac:dyDescent="0.25">
      <c r="A393" s="51">
        <v>390</v>
      </c>
      <c r="B393" s="118">
        <v>46007</v>
      </c>
      <c r="C393" s="118">
        <v>46007</v>
      </c>
      <c r="D393" s="119" t="s">
        <v>867</v>
      </c>
      <c r="E393" s="120"/>
      <c r="F393" s="120"/>
      <c r="G393" s="120"/>
      <c r="H393" s="121"/>
      <c r="I393" s="122" t="s">
        <v>862</v>
      </c>
      <c r="J393" s="18" t="s">
        <v>23</v>
      </c>
      <c r="K393" s="19" t="s">
        <v>30</v>
      </c>
      <c r="L393" s="153" t="s">
        <v>863</v>
      </c>
      <c r="M393" s="120" t="s">
        <v>31</v>
      </c>
      <c r="N393" s="134">
        <v>8.42</v>
      </c>
      <c r="O393" s="120">
        <v>3.26</v>
      </c>
      <c r="P393" s="124">
        <f t="shared" si="60"/>
        <v>5.16</v>
      </c>
      <c r="Q393" s="125">
        <v>150</v>
      </c>
      <c r="R393" s="126">
        <f t="shared" si="61"/>
        <v>774</v>
      </c>
      <c r="S393" s="125">
        <v>774</v>
      </c>
      <c r="T393" s="127"/>
      <c r="U393" s="130"/>
      <c r="V393" s="127" t="s">
        <v>24</v>
      </c>
      <c r="W393" s="125"/>
      <c r="X393" s="128">
        <f t="shared" si="62"/>
        <v>0</v>
      </c>
      <c r="Y393" s="129"/>
      <c r="Z393" s="127">
        <f t="shared" si="63"/>
        <v>0</v>
      </c>
      <c r="AA393" s="127">
        <f t="shared" si="64"/>
        <v>774</v>
      </c>
    </row>
    <row r="394" spans="1:38" s="130" customFormat="1" ht="15.75" x14ac:dyDescent="0.25">
      <c r="A394" s="51">
        <v>391</v>
      </c>
      <c r="B394" s="118">
        <v>46007</v>
      </c>
      <c r="C394" s="118">
        <v>46007</v>
      </c>
      <c r="D394" s="119">
        <v>251216028</v>
      </c>
      <c r="E394" s="120" t="s">
        <v>868</v>
      </c>
      <c r="F394" s="120" t="s">
        <v>869</v>
      </c>
      <c r="G394" s="120">
        <v>43</v>
      </c>
      <c r="H394" s="121">
        <v>119</v>
      </c>
      <c r="I394" s="122" t="s">
        <v>870</v>
      </c>
      <c r="J394" s="18" t="s">
        <v>23</v>
      </c>
      <c r="K394" s="19" t="s">
        <v>32</v>
      </c>
      <c r="L394" s="101" t="s">
        <v>323</v>
      </c>
      <c r="M394" s="120" t="s">
        <v>306</v>
      </c>
      <c r="N394" s="134">
        <v>59</v>
      </c>
      <c r="O394" s="120">
        <v>15.28</v>
      </c>
      <c r="P394" s="124">
        <f t="shared" si="60"/>
        <v>43.72</v>
      </c>
      <c r="Q394" s="125">
        <v>425</v>
      </c>
      <c r="R394" s="126">
        <f t="shared" si="61"/>
        <v>18581</v>
      </c>
      <c r="S394" s="125"/>
      <c r="T394" s="127"/>
      <c r="V394" s="127" t="s">
        <v>24</v>
      </c>
      <c r="W394" s="125">
        <v>145</v>
      </c>
      <c r="X394" s="128">
        <f t="shared" si="62"/>
        <v>6339.4</v>
      </c>
      <c r="Y394" s="129"/>
      <c r="Z394" s="127">
        <f t="shared" si="63"/>
        <v>0</v>
      </c>
      <c r="AA394" s="127">
        <f t="shared" si="64"/>
        <v>24920.400000000001</v>
      </c>
    </row>
    <row r="395" spans="1:38" s="130" customFormat="1" ht="15.75" x14ac:dyDescent="0.25">
      <c r="A395" s="51">
        <v>392</v>
      </c>
      <c r="B395" s="118">
        <v>46007</v>
      </c>
      <c r="C395" s="118">
        <v>46007</v>
      </c>
      <c r="D395" s="119">
        <v>251216029</v>
      </c>
      <c r="E395" s="120" t="s">
        <v>871</v>
      </c>
      <c r="F395" s="120" t="s">
        <v>872</v>
      </c>
      <c r="G395" s="120">
        <v>33</v>
      </c>
      <c r="H395" s="121">
        <v>119</v>
      </c>
      <c r="I395" s="122" t="s">
        <v>870</v>
      </c>
      <c r="J395" s="18" t="s">
        <v>23</v>
      </c>
      <c r="K395" s="19" t="s">
        <v>32</v>
      </c>
      <c r="L395" s="104" t="s">
        <v>331</v>
      </c>
      <c r="M395" s="120" t="s">
        <v>306</v>
      </c>
      <c r="N395" s="134">
        <v>44.86</v>
      </c>
      <c r="O395" s="120">
        <v>11.46</v>
      </c>
      <c r="P395" s="124">
        <f t="shared" si="60"/>
        <v>33.4</v>
      </c>
      <c r="Q395" s="125">
        <v>425</v>
      </c>
      <c r="R395" s="126">
        <f t="shared" si="61"/>
        <v>14195</v>
      </c>
      <c r="S395" s="125"/>
      <c r="T395" s="127"/>
      <c r="V395" s="127" t="s">
        <v>24</v>
      </c>
      <c r="W395" s="125">
        <v>145</v>
      </c>
      <c r="X395" s="128">
        <f t="shared" si="62"/>
        <v>4843</v>
      </c>
      <c r="Y395" s="129"/>
      <c r="Z395" s="127">
        <f t="shared" si="63"/>
        <v>0</v>
      </c>
      <c r="AA395" s="127">
        <f t="shared" si="64"/>
        <v>19038</v>
      </c>
    </row>
    <row r="396" spans="1:38" s="130" customFormat="1" ht="15.75" x14ac:dyDescent="0.25">
      <c r="A396" s="51">
        <v>393</v>
      </c>
      <c r="B396" s="118">
        <v>46007</v>
      </c>
      <c r="C396" s="118">
        <v>46007</v>
      </c>
      <c r="D396" s="119">
        <v>251216030</v>
      </c>
      <c r="E396" s="120" t="s">
        <v>873</v>
      </c>
      <c r="F396" s="120" t="s">
        <v>874</v>
      </c>
      <c r="G396" s="120">
        <v>32</v>
      </c>
      <c r="H396" s="121">
        <v>119</v>
      </c>
      <c r="I396" s="122" t="s">
        <v>870</v>
      </c>
      <c r="J396" s="18" t="s">
        <v>23</v>
      </c>
      <c r="K396" s="19" t="s">
        <v>32</v>
      </c>
      <c r="L396" s="104" t="s">
        <v>500</v>
      </c>
      <c r="M396" s="120" t="s">
        <v>306</v>
      </c>
      <c r="N396" s="134">
        <v>44.06</v>
      </c>
      <c r="O396" s="120">
        <v>11.96</v>
      </c>
      <c r="P396" s="124">
        <f t="shared" si="60"/>
        <v>32.1</v>
      </c>
      <c r="Q396" s="125">
        <v>425</v>
      </c>
      <c r="R396" s="126">
        <f t="shared" si="61"/>
        <v>13642.5</v>
      </c>
      <c r="S396" s="125"/>
      <c r="T396" s="127"/>
      <c r="V396" s="127" t="s">
        <v>24</v>
      </c>
      <c r="W396" s="125">
        <v>145</v>
      </c>
      <c r="X396" s="128">
        <f t="shared" si="62"/>
        <v>4654.5</v>
      </c>
      <c r="Y396" s="129"/>
      <c r="Z396" s="127">
        <f t="shared" si="63"/>
        <v>0</v>
      </c>
      <c r="AA396" s="127">
        <f t="shared" si="64"/>
        <v>18297</v>
      </c>
    </row>
    <row r="397" spans="1:38" s="135" customFormat="1" ht="15.75" x14ac:dyDescent="0.25">
      <c r="A397" s="51">
        <v>394</v>
      </c>
      <c r="B397" s="118">
        <v>46007</v>
      </c>
      <c r="C397" s="118">
        <v>46008</v>
      </c>
      <c r="D397" s="119">
        <v>251217001</v>
      </c>
      <c r="E397" s="120" t="s">
        <v>875</v>
      </c>
      <c r="F397" s="120" t="s">
        <v>876</v>
      </c>
      <c r="G397" s="120">
        <v>43</v>
      </c>
      <c r="H397" s="121">
        <v>119</v>
      </c>
      <c r="I397" s="122" t="s">
        <v>870</v>
      </c>
      <c r="J397" s="18" t="s">
        <v>23</v>
      </c>
      <c r="K397" s="19" t="s">
        <v>32</v>
      </c>
      <c r="L397" s="101" t="s">
        <v>323</v>
      </c>
      <c r="M397" s="120" t="s">
        <v>306</v>
      </c>
      <c r="N397" s="134">
        <v>59.08</v>
      </c>
      <c r="O397" s="120">
        <v>15.38</v>
      </c>
      <c r="P397" s="124">
        <f t="shared" si="60"/>
        <v>43.699999999999996</v>
      </c>
      <c r="Q397" s="125">
        <v>425</v>
      </c>
      <c r="R397" s="126">
        <f t="shared" si="61"/>
        <v>18572.5</v>
      </c>
      <c r="S397" s="125"/>
      <c r="T397" s="127"/>
      <c r="U397" s="130"/>
      <c r="V397" s="127" t="s">
        <v>24</v>
      </c>
      <c r="W397" s="125">
        <v>145</v>
      </c>
      <c r="X397" s="128">
        <f t="shared" si="62"/>
        <v>6336.4999999999991</v>
      </c>
      <c r="Y397" s="129"/>
      <c r="Z397" s="127">
        <f t="shared" si="63"/>
        <v>0</v>
      </c>
      <c r="AA397" s="127">
        <f t="shared" si="64"/>
        <v>24909</v>
      </c>
    </row>
    <row r="398" spans="1:38" s="135" customFormat="1" ht="15.75" x14ac:dyDescent="0.25">
      <c r="A398" s="51">
        <v>395</v>
      </c>
      <c r="B398" s="118">
        <v>46007</v>
      </c>
      <c r="C398" s="118">
        <v>46008</v>
      </c>
      <c r="D398" s="119">
        <v>251217002</v>
      </c>
      <c r="E398" s="120" t="s">
        <v>877</v>
      </c>
      <c r="F398" s="120" t="s">
        <v>878</v>
      </c>
      <c r="G398" s="120">
        <v>33</v>
      </c>
      <c r="H398" s="121">
        <v>119</v>
      </c>
      <c r="I398" s="122" t="s">
        <v>870</v>
      </c>
      <c r="J398" s="18" t="s">
        <v>23</v>
      </c>
      <c r="K398" s="19" t="s">
        <v>32</v>
      </c>
      <c r="L398" s="104" t="s">
        <v>331</v>
      </c>
      <c r="M398" s="120" t="s">
        <v>306</v>
      </c>
      <c r="N398" s="134">
        <v>45</v>
      </c>
      <c r="O398" s="120">
        <v>11.44</v>
      </c>
      <c r="P398" s="124">
        <f t="shared" si="60"/>
        <v>33.56</v>
      </c>
      <c r="Q398" s="125">
        <v>425</v>
      </c>
      <c r="R398" s="126">
        <f t="shared" si="61"/>
        <v>14263.000000000002</v>
      </c>
      <c r="S398" s="125"/>
      <c r="T398" s="127"/>
      <c r="U398" s="130"/>
      <c r="V398" s="127" t="s">
        <v>24</v>
      </c>
      <c r="W398" s="125">
        <v>145</v>
      </c>
      <c r="X398" s="128">
        <f t="shared" si="62"/>
        <v>4866.2000000000007</v>
      </c>
      <c r="Y398" s="129"/>
      <c r="Z398" s="127">
        <f t="shared" si="63"/>
        <v>0</v>
      </c>
      <c r="AA398" s="127">
        <f t="shared" si="64"/>
        <v>19129.200000000004</v>
      </c>
    </row>
    <row r="399" spans="1:38" s="130" customFormat="1" ht="15.75" x14ac:dyDescent="0.25">
      <c r="A399" s="51">
        <v>396</v>
      </c>
      <c r="B399" s="118">
        <v>46007</v>
      </c>
      <c r="C399" s="118">
        <v>46008</v>
      </c>
      <c r="D399" s="119">
        <v>251217003</v>
      </c>
      <c r="E399" s="120" t="s">
        <v>879</v>
      </c>
      <c r="F399" s="120" t="s">
        <v>880</v>
      </c>
      <c r="G399" s="120">
        <v>32</v>
      </c>
      <c r="H399" s="121">
        <v>119</v>
      </c>
      <c r="I399" s="122" t="s">
        <v>870</v>
      </c>
      <c r="J399" s="18" t="s">
        <v>23</v>
      </c>
      <c r="K399" s="19" t="s">
        <v>32</v>
      </c>
      <c r="L399" s="104" t="s">
        <v>240</v>
      </c>
      <c r="M399" s="120" t="s">
        <v>306</v>
      </c>
      <c r="N399" s="134">
        <v>44.32</v>
      </c>
      <c r="O399" s="120">
        <v>11.44</v>
      </c>
      <c r="P399" s="124">
        <f t="shared" si="60"/>
        <v>32.880000000000003</v>
      </c>
      <c r="Q399" s="125">
        <v>425</v>
      </c>
      <c r="R399" s="126">
        <f t="shared" si="61"/>
        <v>13974.000000000002</v>
      </c>
      <c r="S399" s="125"/>
      <c r="T399" s="127"/>
      <c r="V399" s="127" t="s">
        <v>24</v>
      </c>
      <c r="W399" s="125">
        <v>145</v>
      </c>
      <c r="X399" s="128">
        <f t="shared" si="62"/>
        <v>4767.6000000000004</v>
      </c>
      <c r="Y399" s="129"/>
      <c r="Z399" s="127">
        <f t="shared" si="63"/>
        <v>0</v>
      </c>
      <c r="AA399" s="127">
        <f t="shared" si="64"/>
        <v>18741.600000000002</v>
      </c>
    </row>
    <row r="400" spans="1:38" s="130" customFormat="1" ht="15.75" x14ac:dyDescent="0.25">
      <c r="A400" s="51">
        <v>397</v>
      </c>
      <c r="B400" s="118">
        <v>46007</v>
      </c>
      <c r="C400" s="118">
        <v>46008</v>
      </c>
      <c r="D400" s="119">
        <v>251217004</v>
      </c>
      <c r="E400" s="120" t="s">
        <v>881</v>
      </c>
      <c r="F400" s="120" t="s">
        <v>882</v>
      </c>
      <c r="G400" s="120">
        <v>41</v>
      </c>
      <c r="H400" s="121">
        <v>119</v>
      </c>
      <c r="I400" s="122" t="s">
        <v>870</v>
      </c>
      <c r="J400" s="18" t="s">
        <v>23</v>
      </c>
      <c r="K400" s="19" t="s">
        <v>32</v>
      </c>
      <c r="L400" s="104" t="s">
        <v>379</v>
      </c>
      <c r="M400" s="120" t="s">
        <v>306</v>
      </c>
      <c r="N400" s="134">
        <v>57.48</v>
      </c>
      <c r="O400" s="120">
        <v>15.86</v>
      </c>
      <c r="P400" s="124">
        <f t="shared" si="60"/>
        <v>41.62</v>
      </c>
      <c r="Q400" s="125">
        <v>425</v>
      </c>
      <c r="R400" s="126">
        <f t="shared" si="61"/>
        <v>17688.5</v>
      </c>
      <c r="S400" s="125"/>
      <c r="T400" s="127"/>
      <c r="V400" s="127" t="s">
        <v>24</v>
      </c>
      <c r="W400" s="125">
        <v>145</v>
      </c>
      <c r="X400" s="128">
        <f t="shared" si="62"/>
        <v>6034.9</v>
      </c>
      <c r="Y400" s="129"/>
      <c r="Z400" s="127">
        <f t="shared" si="63"/>
        <v>0</v>
      </c>
      <c r="AA400" s="127">
        <f t="shared" si="64"/>
        <v>23723.4</v>
      </c>
    </row>
    <row r="401" spans="1:27" s="135" customFormat="1" ht="15.75" x14ac:dyDescent="0.25">
      <c r="A401" s="51">
        <v>398</v>
      </c>
      <c r="B401" s="118">
        <v>46007</v>
      </c>
      <c r="C401" s="118">
        <v>46008</v>
      </c>
      <c r="D401" s="119">
        <v>251217005</v>
      </c>
      <c r="E401" s="120" t="s">
        <v>883</v>
      </c>
      <c r="F401" s="120" t="s">
        <v>884</v>
      </c>
      <c r="G401" s="120">
        <v>43</v>
      </c>
      <c r="H401" s="121">
        <v>119</v>
      </c>
      <c r="I401" s="122" t="s">
        <v>870</v>
      </c>
      <c r="J401" s="18" t="s">
        <v>23</v>
      </c>
      <c r="K401" s="19" t="s">
        <v>32</v>
      </c>
      <c r="L401" s="24" t="s">
        <v>323</v>
      </c>
      <c r="M401" s="120" t="s">
        <v>306</v>
      </c>
      <c r="N401" s="134">
        <v>59.18</v>
      </c>
      <c r="O401" s="120">
        <v>15.36</v>
      </c>
      <c r="P401" s="124">
        <f t="shared" si="60"/>
        <v>43.82</v>
      </c>
      <c r="Q401" s="125">
        <v>425</v>
      </c>
      <c r="R401" s="126">
        <f t="shared" si="61"/>
        <v>18623.5</v>
      </c>
      <c r="S401" s="125"/>
      <c r="T401" s="127"/>
      <c r="U401" s="130"/>
      <c r="V401" s="127" t="s">
        <v>24</v>
      </c>
      <c r="W401" s="125">
        <v>145</v>
      </c>
      <c r="X401" s="128">
        <f t="shared" si="62"/>
        <v>6353.9</v>
      </c>
      <c r="Y401" s="129"/>
      <c r="Z401" s="127">
        <f t="shared" si="63"/>
        <v>0</v>
      </c>
      <c r="AA401" s="127">
        <f t="shared" si="64"/>
        <v>24977.4</v>
      </c>
    </row>
    <row r="402" spans="1:27" s="130" customFormat="1" ht="15.75" x14ac:dyDescent="0.25">
      <c r="A402" s="51">
        <v>399</v>
      </c>
      <c r="B402" s="118">
        <v>46007</v>
      </c>
      <c r="C402" s="118">
        <v>46008</v>
      </c>
      <c r="D402" s="119">
        <v>251217006</v>
      </c>
      <c r="E402" s="120" t="s">
        <v>885</v>
      </c>
      <c r="F402" s="120" t="s">
        <v>886</v>
      </c>
      <c r="G402" s="120">
        <v>32</v>
      </c>
      <c r="H402" s="121">
        <v>119</v>
      </c>
      <c r="I402" s="122" t="s">
        <v>870</v>
      </c>
      <c r="J402" s="18" t="s">
        <v>23</v>
      </c>
      <c r="K402" s="19" t="s">
        <v>32</v>
      </c>
      <c r="L402" s="104" t="s">
        <v>240</v>
      </c>
      <c r="M402" s="120" t="s">
        <v>306</v>
      </c>
      <c r="N402" s="134">
        <v>44.36</v>
      </c>
      <c r="O402" s="120">
        <v>11.4</v>
      </c>
      <c r="P402" s="124">
        <f t="shared" si="60"/>
        <v>32.96</v>
      </c>
      <c r="Q402" s="125">
        <v>425</v>
      </c>
      <c r="R402" s="126">
        <f t="shared" si="61"/>
        <v>14008</v>
      </c>
      <c r="S402" s="125"/>
      <c r="T402" s="127"/>
      <c r="V402" s="127" t="s">
        <v>24</v>
      </c>
      <c r="W402" s="125">
        <v>145</v>
      </c>
      <c r="X402" s="128">
        <f t="shared" si="62"/>
        <v>4779.2</v>
      </c>
      <c r="Y402" s="129"/>
      <c r="Z402" s="127">
        <f t="shared" si="63"/>
        <v>0</v>
      </c>
      <c r="AA402" s="127">
        <f t="shared" si="64"/>
        <v>18787.2</v>
      </c>
    </row>
    <row r="403" spans="1:27" s="130" customFormat="1" ht="15.75" x14ac:dyDescent="0.25">
      <c r="A403" s="51">
        <v>400</v>
      </c>
      <c r="B403" s="118">
        <v>46007</v>
      </c>
      <c r="C403" s="118">
        <v>46008</v>
      </c>
      <c r="D403" s="119">
        <v>251217007</v>
      </c>
      <c r="E403" s="120" t="s">
        <v>887</v>
      </c>
      <c r="F403" s="120" t="s">
        <v>888</v>
      </c>
      <c r="G403" s="120">
        <v>43</v>
      </c>
      <c r="H403" s="121">
        <v>119</v>
      </c>
      <c r="I403" s="122" t="s">
        <v>870</v>
      </c>
      <c r="J403" s="18" t="s">
        <v>23</v>
      </c>
      <c r="K403" s="19" t="s">
        <v>32</v>
      </c>
      <c r="L403" s="104" t="s">
        <v>379</v>
      </c>
      <c r="M403" s="120" t="s">
        <v>306</v>
      </c>
      <c r="N403" s="134">
        <v>59.64</v>
      </c>
      <c r="O403" s="120">
        <v>15.82</v>
      </c>
      <c r="P403" s="124">
        <f t="shared" si="60"/>
        <v>43.82</v>
      </c>
      <c r="Q403" s="125">
        <v>425</v>
      </c>
      <c r="R403" s="126">
        <f t="shared" si="61"/>
        <v>18623.5</v>
      </c>
      <c r="S403" s="125"/>
      <c r="T403" s="127"/>
      <c r="V403" s="127" t="s">
        <v>24</v>
      </c>
      <c r="W403" s="125">
        <v>145</v>
      </c>
      <c r="X403" s="128">
        <f t="shared" si="62"/>
        <v>6353.9</v>
      </c>
      <c r="Y403" s="129"/>
      <c r="Z403" s="127">
        <f t="shared" si="63"/>
        <v>0</v>
      </c>
      <c r="AA403" s="127">
        <f t="shared" si="64"/>
        <v>24977.4</v>
      </c>
    </row>
    <row r="404" spans="1:27" s="135" customFormat="1" ht="15.75" x14ac:dyDescent="0.25">
      <c r="A404" s="51">
        <v>401</v>
      </c>
      <c r="B404" s="118">
        <v>46007</v>
      </c>
      <c r="C404" s="118">
        <v>46008</v>
      </c>
      <c r="D404" s="119">
        <v>251217008</v>
      </c>
      <c r="E404" s="120" t="s">
        <v>889</v>
      </c>
      <c r="F404" s="120" t="s">
        <v>890</v>
      </c>
      <c r="G404" s="120">
        <v>41</v>
      </c>
      <c r="H404" s="121">
        <v>53</v>
      </c>
      <c r="I404" s="122" t="s">
        <v>430</v>
      </c>
      <c r="J404" s="18" t="s">
        <v>23</v>
      </c>
      <c r="K404" s="19" t="s">
        <v>32</v>
      </c>
      <c r="L404" s="101" t="s">
        <v>59</v>
      </c>
      <c r="M404" s="120" t="s">
        <v>515</v>
      </c>
      <c r="N404" s="134">
        <v>59.3</v>
      </c>
      <c r="O404" s="120">
        <v>17.579999999999998</v>
      </c>
      <c r="P404" s="124">
        <f t="shared" si="60"/>
        <v>41.72</v>
      </c>
      <c r="Q404" s="125">
        <v>355</v>
      </c>
      <c r="R404" s="126">
        <f t="shared" si="61"/>
        <v>14810.6</v>
      </c>
      <c r="S404" s="125"/>
      <c r="T404" s="127"/>
      <c r="U404" s="130"/>
      <c r="V404" s="127" t="s">
        <v>24</v>
      </c>
      <c r="W404" s="125">
        <v>145</v>
      </c>
      <c r="X404" s="128">
        <f t="shared" si="62"/>
        <v>6049.4</v>
      </c>
      <c r="Y404" s="129">
        <v>200</v>
      </c>
      <c r="Z404" s="127">
        <f t="shared" si="63"/>
        <v>8344</v>
      </c>
      <c r="AA404" s="127">
        <f t="shared" si="64"/>
        <v>29204</v>
      </c>
    </row>
    <row r="405" spans="1:27" s="135" customFormat="1" ht="15.75" x14ac:dyDescent="0.25">
      <c r="A405" s="51">
        <v>402</v>
      </c>
      <c r="B405" s="118">
        <v>46007</v>
      </c>
      <c r="C405" s="118">
        <v>46008</v>
      </c>
      <c r="D405" s="119">
        <v>251216025</v>
      </c>
      <c r="E405" s="120" t="s">
        <v>891</v>
      </c>
      <c r="F405" s="120" t="s">
        <v>892</v>
      </c>
      <c r="G405" s="120">
        <v>46</v>
      </c>
      <c r="H405" s="121">
        <v>76</v>
      </c>
      <c r="I405" s="122" t="s">
        <v>893</v>
      </c>
      <c r="J405" s="18" t="s">
        <v>23</v>
      </c>
      <c r="K405" s="19" t="s">
        <v>32</v>
      </c>
      <c r="L405" s="104" t="s">
        <v>418</v>
      </c>
      <c r="M405" s="120" t="s">
        <v>34</v>
      </c>
      <c r="N405" s="134">
        <v>64.739999999999995</v>
      </c>
      <c r="O405" s="120">
        <v>18.04</v>
      </c>
      <c r="P405" s="124">
        <f t="shared" si="60"/>
        <v>46.699999999999996</v>
      </c>
      <c r="Q405" s="125">
        <v>285</v>
      </c>
      <c r="R405" s="126">
        <f t="shared" si="61"/>
        <v>13309.499999999998</v>
      </c>
      <c r="S405" s="125"/>
      <c r="T405" s="127"/>
      <c r="U405" s="130"/>
      <c r="V405" s="127" t="s">
        <v>24</v>
      </c>
      <c r="W405" s="125">
        <v>145</v>
      </c>
      <c r="X405" s="128">
        <f t="shared" si="62"/>
        <v>6771.4999999999991</v>
      </c>
      <c r="Y405" s="129">
        <v>180</v>
      </c>
      <c r="Z405" s="127">
        <f t="shared" si="63"/>
        <v>8406</v>
      </c>
      <c r="AA405" s="127">
        <f t="shared" si="64"/>
        <v>28486.999999999996</v>
      </c>
    </row>
    <row r="406" spans="1:27" s="135" customFormat="1" ht="15.75" x14ac:dyDescent="0.25">
      <c r="A406" s="51">
        <v>403</v>
      </c>
      <c r="B406" s="118">
        <v>46007</v>
      </c>
      <c r="C406" s="118">
        <v>46008</v>
      </c>
      <c r="D406" s="119">
        <v>251216026</v>
      </c>
      <c r="E406" s="120" t="s">
        <v>894</v>
      </c>
      <c r="F406" s="120" t="s">
        <v>895</v>
      </c>
      <c r="G406" s="120">
        <v>41</v>
      </c>
      <c r="H406" s="121">
        <v>76</v>
      </c>
      <c r="I406" s="122" t="s">
        <v>893</v>
      </c>
      <c r="J406" s="18" t="s">
        <v>23</v>
      </c>
      <c r="K406" s="19" t="s">
        <v>32</v>
      </c>
      <c r="L406" s="104" t="s">
        <v>40</v>
      </c>
      <c r="M406" s="120" t="s">
        <v>34</v>
      </c>
      <c r="N406" s="134">
        <v>57.52</v>
      </c>
      <c r="O406" s="120">
        <v>15.72</v>
      </c>
      <c r="P406" s="124">
        <f t="shared" si="60"/>
        <v>41.800000000000004</v>
      </c>
      <c r="Q406" s="125">
        <v>285</v>
      </c>
      <c r="R406" s="126">
        <f t="shared" si="61"/>
        <v>11913.000000000002</v>
      </c>
      <c r="S406" s="125"/>
      <c r="T406" s="127"/>
      <c r="U406" s="130"/>
      <c r="V406" s="127" t="s">
        <v>24</v>
      </c>
      <c r="W406" s="125">
        <v>145</v>
      </c>
      <c r="X406" s="128">
        <f t="shared" si="62"/>
        <v>6061.0000000000009</v>
      </c>
      <c r="Y406" s="129">
        <v>180</v>
      </c>
      <c r="Z406" s="127">
        <f t="shared" si="63"/>
        <v>7524.0000000000009</v>
      </c>
      <c r="AA406" s="127">
        <f t="shared" si="64"/>
        <v>25498.000000000004</v>
      </c>
    </row>
    <row r="407" spans="1:27" s="135" customFormat="1" ht="15.75" x14ac:dyDescent="0.25">
      <c r="A407" s="51">
        <v>404</v>
      </c>
      <c r="B407" s="118">
        <v>46007</v>
      </c>
      <c r="C407" s="118">
        <v>46008</v>
      </c>
      <c r="D407" s="119">
        <v>251217011</v>
      </c>
      <c r="E407" s="120" t="s">
        <v>896</v>
      </c>
      <c r="F407" s="120" t="s">
        <v>897</v>
      </c>
      <c r="G407" s="120">
        <v>35</v>
      </c>
      <c r="H407" s="121">
        <v>126</v>
      </c>
      <c r="I407" s="122" t="s">
        <v>898</v>
      </c>
      <c r="J407" s="18" t="s">
        <v>23</v>
      </c>
      <c r="K407" s="19" t="s">
        <v>32</v>
      </c>
      <c r="L407" s="108" t="s">
        <v>286</v>
      </c>
      <c r="M407" s="120" t="s">
        <v>58</v>
      </c>
      <c r="N407" s="134">
        <v>46.98</v>
      </c>
      <c r="O407" s="120">
        <v>11.42</v>
      </c>
      <c r="P407" s="124">
        <f t="shared" si="60"/>
        <v>35.559999999999995</v>
      </c>
      <c r="Q407" s="125">
        <v>270</v>
      </c>
      <c r="R407" s="126">
        <f t="shared" si="61"/>
        <v>9601.1999999999989</v>
      </c>
      <c r="S407" s="125"/>
      <c r="T407" s="127"/>
      <c r="U407" s="130"/>
      <c r="V407" s="127" t="s">
        <v>24</v>
      </c>
      <c r="W407" s="125">
        <v>145</v>
      </c>
      <c r="X407" s="128">
        <f t="shared" si="62"/>
        <v>5156.1999999999989</v>
      </c>
      <c r="Y407" s="129">
        <v>260</v>
      </c>
      <c r="Z407" s="127">
        <f t="shared" si="63"/>
        <v>9245.5999999999985</v>
      </c>
      <c r="AA407" s="127">
        <f t="shared" si="64"/>
        <v>24002.999999999996</v>
      </c>
    </row>
    <row r="408" spans="1:27" s="135" customFormat="1" ht="15.75" x14ac:dyDescent="0.25">
      <c r="A408" s="51">
        <v>405</v>
      </c>
      <c r="B408" s="118">
        <v>46007</v>
      </c>
      <c r="C408" s="118">
        <v>46008</v>
      </c>
      <c r="D408" s="119">
        <v>251216027</v>
      </c>
      <c r="E408" s="120" t="s">
        <v>899</v>
      </c>
      <c r="F408" s="120" t="s">
        <v>900</v>
      </c>
      <c r="G408" s="120">
        <v>35</v>
      </c>
      <c r="H408" s="121">
        <v>126</v>
      </c>
      <c r="I408" s="122" t="s">
        <v>898</v>
      </c>
      <c r="J408" s="18" t="s">
        <v>23</v>
      </c>
      <c r="K408" s="19" t="s">
        <v>32</v>
      </c>
      <c r="L408" s="104" t="s">
        <v>41</v>
      </c>
      <c r="M408" s="120" t="s">
        <v>58</v>
      </c>
      <c r="N408" s="134">
        <v>47.8</v>
      </c>
      <c r="O408" s="120">
        <v>11.86</v>
      </c>
      <c r="P408" s="124">
        <f t="shared" si="60"/>
        <v>35.94</v>
      </c>
      <c r="Q408" s="125">
        <v>270</v>
      </c>
      <c r="R408" s="126">
        <f t="shared" si="61"/>
        <v>9703.7999999999993</v>
      </c>
      <c r="S408" s="125"/>
      <c r="T408" s="127"/>
      <c r="U408" s="130"/>
      <c r="V408" s="127" t="s">
        <v>24</v>
      </c>
      <c r="W408" s="125">
        <v>145</v>
      </c>
      <c r="X408" s="128">
        <f t="shared" si="62"/>
        <v>5211.2999999999993</v>
      </c>
      <c r="Y408" s="129">
        <v>260</v>
      </c>
      <c r="Z408" s="127">
        <f t="shared" si="63"/>
        <v>9344.4</v>
      </c>
      <c r="AA408" s="127">
        <f t="shared" si="64"/>
        <v>24259.5</v>
      </c>
    </row>
    <row r="409" spans="1:27" s="135" customFormat="1" ht="15.75" x14ac:dyDescent="0.25">
      <c r="A409" s="51">
        <v>406</v>
      </c>
      <c r="B409" s="118">
        <v>46007</v>
      </c>
      <c r="C409" s="118">
        <v>46008</v>
      </c>
      <c r="D409" s="119">
        <v>251217013</v>
      </c>
      <c r="E409" s="120" t="s">
        <v>901</v>
      </c>
      <c r="F409" s="120" t="s">
        <v>902</v>
      </c>
      <c r="G409" s="120">
        <v>59</v>
      </c>
      <c r="H409" s="121">
        <v>126</v>
      </c>
      <c r="I409" s="122" t="s">
        <v>898</v>
      </c>
      <c r="J409" s="18" t="s">
        <v>23</v>
      </c>
      <c r="K409" s="19" t="s">
        <v>32</v>
      </c>
      <c r="L409" s="104" t="s">
        <v>46</v>
      </c>
      <c r="M409" s="120" t="s">
        <v>515</v>
      </c>
      <c r="N409" s="134">
        <v>76.680000000000007</v>
      </c>
      <c r="O409" s="120">
        <v>17.38</v>
      </c>
      <c r="P409" s="124">
        <f t="shared" si="60"/>
        <v>59.300000000000011</v>
      </c>
      <c r="Q409" s="125">
        <v>425</v>
      </c>
      <c r="R409" s="126">
        <f t="shared" si="61"/>
        <v>25202.500000000004</v>
      </c>
      <c r="S409" s="125"/>
      <c r="T409" s="127"/>
      <c r="U409" s="130"/>
      <c r="V409" s="127" t="s">
        <v>24</v>
      </c>
      <c r="W409" s="125">
        <v>145</v>
      </c>
      <c r="X409" s="128">
        <f t="shared" si="62"/>
        <v>8598.5000000000018</v>
      </c>
      <c r="Y409" s="129">
        <v>260</v>
      </c>
      <c r="Z409" s="127">
        <f t="shared" si="63"/>
        <v>15418.000000000004</v>
      </c>
      <c r="AA409" s="127">
        <f t="shared" si="64"/>
        <v>49219.000000000015</v>
      </c>
    </row>
    <row r="410" spans="1:27" s="130" customFormat="1" ht="15.75" x14ac:dyDescent="0.25">
      <c r="A410" s="51">
        <v>407</v>
      </c>
      <c r="B410" s="118">
        <v>46007</v>
      </c>
      <c r="C410" s="118">
        <v>46008</v>
      </c>
      <c r="D410" s="119">
        <v>251217012</v>
      </c>
      <c r="E410" s="120" t="s">
        <v>903</v>
      </c>
      <c r="F410" s="120" t="s">
        <v>904</v>
      </c>
      <c r="G410" s="120">
        <v>44</v>
      </c>
      <c r="H410" s="121">
        <v>126</v>
      </c>
      <c r="I410" s="122" t="s">
        <v>898</v>
      </c>
      <c r="J410" s="18" t="s">
        <v>23</v>
      </c>
      <c r="K410" s="19" t="s">
        <v>32</v>
      </c>
      <c r="L410" s="24" t="s">
        <v>38</v>
      </c>
      <c r="M410" s="120" t="s">
        <v>515</v>
      </c>
      <c r="N410" s="134">
        <v>60.28</v>
      </c>
      <c r="O410" s="120">
        <v>15.78</v>
      </c>
      <c r="P410" s="124">
        <f t="shared" si="60"/>
        <v>44.5</v>
      </c>
      <c r="Q410" s="125">
        <v>425</v>
      </c>
      <c r="R410" s="126">
        <f t="shared" si="61"/>
        <v>18912.5</v>
      </c>
      <c r="S410" s="125"/>
      <c r="T410" s="127"/>
      <c r="V410" s="127" t="s">
        <v>24</v>
      </c>
      <c r="W410" s="125">
        <v>145</v>
      </c>
      <c r="X410" s="128">
        <f t="shared" si="62"/>
        <v>6452.5</v>
      </c>
      <c r="Y410" s="129">
        <v>260</v>
      </c>
      <c r="Z410" s="127">
        <f t="shared" si="63"/>
        <v>11570</v>
      </c>
      <c r="AA410" s="127">
        <f t="shared" si="64"/>
        <v>36935</v>
      </c>
    </row>
    <row r="411" spans="1:27" s="130" customFormat="1" ht="15.75" x14ac:dyDescent="0.25">
      <c r="A411" s="51">
        <v>408</v>
      </c>
      <c r="B411" s="118">
        <v>46007</v>
      </c>
      <c r="C411" s="118">
        <v>46008</v>
      </c>
      <c r="D411" s="119">
        <v>251217009</v>
      </c>
      <c r="E411" s="120" t="s">
        <v>905</v>
      </c>
      <c r="F411" s="120" t="s">
        <v>906</v>
      </c>
      <c r="G411" s="120">
        <v>45</v>
      </c>
      <c r="H411" s="121">
        <v>53</v>
      </c>
      <c r="I411" s="122" t="s">
        <v>430</v>
      </c>
      <c r="J411" s="18" t="s">
        <v>23</v>
      </c>
      <c r="K411" s="19" t="s">
        <v>32</v>
      </c>
      <c r="L411" s="104" t="s">
        <v>444</v>
      </c>
      <c r="M411" s="120" t="s">
        <v>515</v>
      </c>
      <c r="N411" s="134">
        <v>60.66</v>
      </c>
      <c r="O411" s="120">
        <v>15.62</v>
      </c>
      <c r="P411" s="124">
        <f t="shared" si="60"/>
        <v>45.04</v>
      </c>
      <c r="Q411" s="125">
        <v>355</v>
      </c>
      <c r="R411" s="126">
        <f t="shared" si="61"/>
        <v>15989.199999999999</v>
      </c>
      <c r="S411" s="125"/>
      <c r="T411" s="127"/>
      <c r="V411" s="127" t="s">
        <v>152</v>
      </c>
      <c r="W411" s="125">
        <v>145</v>
      </c>
      <c r="X411" s="128">
        <f t="shared" si="62"/>
        <v>6530.8</v>
      </c>
      <c r="Y411" s="129"/>
      <c r="Z411" s="127">
        <f t="shared" si="63"/>
        <v>0</v>
      </c>
      <c r="AA411" s="127">
        <f t="shared" si="64"/>
        <v>22520</v>
      </c>
    </row>
    <row r="412" spans="1:27" s="135" customFormat="1" ht="15.75" x14ac:dyDescent="0.25">
      <c r="A412" s="51">
        <v>409</v>
      </c>
      <c r="B412" s="118">
        <v>46007</v>
      </c>
      <c r="C412" s="118">
        <v>46008</v>
      </c>
      <c r="D412" s="119">
        <v>251217014</v>
      </c>
      <c r="E412" s="120" t="s">
        <v>907</v>
      </c>
      <c r="F412" s="120" t="s">
        <v>908</v>
      </c>
      <c r="G412" s="120">
        <v>36</v>
      </c>
      <c r="H412" s="121">
        <v>126</v>
      </c>
      <c r="I412" s="122" t="s">
        <v>898</v>
      </c>
      <c r="J412" s="18" t="s">
        <v>23</v>
      </c>
      <c r="K412" s="19" t="s">
        <v>32</v>
      </c>
      <c r="L412" s="104" t="s">
        <v>423</v>
      </c>
      <c r="M412" s="120" t="s">
        <v>34</v>
      </c>
      <c r="N412" s="134">
        <v>48.86</v>
      </c>
      <c r="O412" s="120">
        <v>12.74</v>
      </c>
      <c r="P412" s="124">
        <f t="shared" si="60"/>
        <v>36.119999999999997</v>
      </c>
      <c r="Q412" s="125">
        <v>305</v>
      </c>
      <c r="R412" s="126">
        <f t="shared" si="61"/>
        <v>11016.599999999999</v>
      </c>
      <c r="S412" s="125"/>
      <c r="T412" s="127"/>
      <c r="U412" s="130"/>
      <c r="V412" s="127" t="s">
        <v>24</v>
      </c>
      <c r="W412" s="125">
        <v>145</v>
      </c>
      <c r="X412" s="128">
        <f t="shared" si="62"/>
        <v>5237.3999999999996</v>
      </c>
      <c r="Y412" s="129">
        <v>260</v>
      </c>
      <c r="Z412" s="127">
        <f t="shared" si="63"/>
        <v>9391.1999999999989</v>
      </c>
      <c r="AA412" s="127">
        <f t="shared" si="64"/>
        <v>25645.199999999997</v>
      </c>
    </row>
    <row r="413" spans="1:27" s="130" customFormat="1" ht="15.75" x14ac:dyDescent="0.25">
      <c r="A413" s="51">
        <v>410</v>
      </c>
      <c r="B413" s="118">
        <v>46007</v>
      </c>
      <c r="C413" s="118">
        <v>46008</v>
      </c>
      <c r="D413" s="119">
        <v>251217015</v>
      </c>
      <c r="E413" s="120" t="s">
        <v>909</v>
      </c>
      <c r="F413" s="120" t="s">
        <v>910</v>
      </c>
      <c r="G413" s="120">
        <v>44</v>
      </c>
      <c r="H413" s="121">
        <v>126</v>
      </c>
      <c r="I413" s="122" t="s">
        <v>898</v>
      </c>
      <c r="J413" s="18" t="s">
        <v>23</v>
      </c>
      <c r="K413" s="19" t="s">
        <v>32</v>
      </c>
      <c r="L413" s="104" t="s">
        <v>467</v>
      </c>
      <c r="M413" s="120" t="s">
        <v>515</v>
      </c>
      <c r="N413" s="134">
        <v>60.84</v>
      </c>
      <c r="O413" s="120">
        <v>16.34</v>
      </c>
      <c r="P413" s="124">
        <f t="shared" si="60"/>
        <v>44.5</v>
      </c>
      <c r="Q413" s="125">
        <v>425</v>
      </c>
      <c r="R413" s="126">
        <f t="shared" si="61"/>
        <v>18912.5</v>
      </c>
      <c r="S413" s="125"/>
      <c r="T413" s="127"/>
      <c r="V413" s="127" t="s">
        <v>24</v>
      </c>
      <c r="W413" s="125">
        <v>145</v>
      </c>
      <c r="X413" s="128">
        <f t="shared" si="62"/>
        <v>6452.5</v>
      </c>
      <c r="Y413" s="129">
        <v>260</v>
      </c>
      <c r="Z413" s="127">
        <f t="shared" si="63"/>
        <v>11570</v>
      </c>
      <c r="AA413" s="127">
        <f t="shared" si="64"/>
        <v>36935</v>
      </c>
    </row>
    <row r="414" spans="1:27" s="135" customFormat="1" ht="15.75" x14ac:dyDescent="0.25">
      <c r="A414" s="51">
        <v>411</v>
      </c>
      <c r="B414" s="118">
        <v>46007</v>
      </c>
      <c r="C414" s="118">
        <v>46008</v>
      </c>
      <c r="D414" s="119">
        <v>251217017</v>
      </c>
      <c r="E414" s="120" t="s">
        <v>911</v>
      </c>
      <c r="F414" s="120" t="s">
        <v>912</v>
      </c>
      <c r="G414" s="120">
        <v>45</v>
      </c>
      <c r="H414" s="121">
        <v>126</v>
      </c>
      <c r="I414" s="122" t="s">
        <v>898</v>
      </c>
      <c r="J414" s="18" t="s">
        <v>23</v>
      </c>
      <c r="K414" s="19" t="s">
        <v>32</v>
      </c>
      <c r="L414" s="104" t="s">
        <v>913</v>
      </c>
      <c r="M414" s="120" t="s">
        <v>515</v>
      </c>
      <c r="N414" s="134">
        <v>61.42</v>
      </c>
      <c r="O414" s="120">
        <v>16.079999999999998</v>
      </c>
      <c r="P414" s="124">
        <f t="shared" si="60"/>
        <v>45.34</v>
      </c>
      <c r="Q414" s="125">
        <v>425</v>
      </c>
      <c r="R414" s="126">
        <f t="shared" si="61"/>
        <v>19269.5</v>
      </c>
      <c r="S414" s="125"/>
      <c r="T414" s="127"/>
      <c r="U414" s="130"/>
      <c r="V414" s="127" t="s">
        <v>24</v>
      </c>
      <c r="W414" s="125">
        <v>145</v>
      </c>
      <c r="X414" s="128">
        <f t="shared" si="62"/>
        <v>6574.3</v>
      </c>
      <c r="Y414" s="129">
        <v>260</v>
      </c>
      <c r="Z414" s="127">
        <f t="shared" si="63"/>
        <v>11788.400000000001</v>
      </c>
      <c r="AA414" s="127">
        <f t="shared" si="64"/>
        <v>37632.199999999997</v>
      </c>
    </row>
    <row r="415" spans="1:27" s="130" customFormat="1" ht="15.75" x14ac:dyDescent="0.25">
      <c r="A415" s="51">
        <v>412</v>
      </c>
      <c r="B415" s="118">
        <v>46007</v>
      </c>
      <c r="C415" s="118">
        <v>46008</v>
      </c>
      <c r="D415" s="119">
        <v>251217016</v>
      </c>
      <c r="E415" s="120" t="s">
        <v>914</v>
      </c>
      <c r="F415" s="120" t="s">
        <v>915</v>
      </c>
      <c r="G415" s="120">
        <v>34</v>
      </c>
      <c r="H415" s="121">
        <v>119</v>
      </c>
      <c r="I415" s="122" t="s">
        <v>870</v>
      </c>
      <c r="J415" s="18" t="s">
        <v>23</v>
      </c>
      <c r="K415" s="19" t="s">
        <v>32</v>
      </c>
      <c r="L415" s="104" t="s">
        <v>331</v>
      </c>
      <c r="M415" s="120" t="s">
        <v>306</v>
      </c>
      <c r="N415" s="134">
        <v>45.46</v>
      </c>
      <c r="O415" s="120">
        <v>11.44</v>
      </c>
      <c r="P415" s="124">
        <f t="shared" si="60"/>
        <v>34.020000000000003</v>
      </c>
      <c r="Q415" s="125">
        <v>425</v>
      </c>
      <c r="R415" s="126">
        <f t="shared" si="61"/>
        <v>14458.500000000002</v>
      </c>
      <c r="S415" s="125"/>
      <c r="T415" s="127"/>
      <c r="V415" s="127" t="s">
        <v>24</v>
      </c>
      <c r="W415" s="125">
        <v>145</v>
      </c>
      <c r="X415" s="128">
        <f t="shared" si="62"/>
        <v>4932.9000000000005</v>
      </c>
      <c r="Y415" s="129"/>
      <c r="Z415" s="127">
        <f t="shared" si="63"/>
        <v>0</v>
      </c>
      <c r="AA415" s="127">
        <f t="shared" si="64"/>
        <v>19391.400000000001</v>
      </c>
    </row>
    <row r="416" spans="1:27" s="130" customFormat="1" ht="15.75" x14ac:dyDescent="0.25">
      <c r="A416" s="51">
        <v>413</v>
      </c>
      <c r="B416" s="118">
        <v>46007</v>
      </c>
      <c r="C416" s="118">
        <v>46008</v>
      </c>
      <c r="D416" s="119">
        <v>251217010</v>
      </c>
      <c r="E416" s="120" t="s">
        <v>916</v>
      </c>
      <c r="F416" s="120" t="s">
        <v>917</v>
      </c>
      <c r="G416" s="120">
        <v>42</v>
      </c>
      <c r="H416" s="121">
        <v>53</v>
      </c>
      <c r="I416" s="122" t="s">
        <v>430</v>
      </c>
      <c r="J416" s="18" t="s">
        <v>23</v>
      </c>
      <c r="K416" s="19" t="s">
        <v>32</v>
      </c>
      <c r="L416" s="104" t="s">
        <v>39</v>
      </c>
      <c r="M416" s="120" t="s">
        <v>515</v>
      </c>
      <c r="N416" s="134">
        <v>58.14</v>
      </c>
      <c r="O416" s="120">
        <v>15.72</v>
      </c>
      <c r="P416" s="124">
        <f t="shared" si="60"/>
        <v>42.42</v>
      </c>
      <c r="Q416" s="125">
        <v>355</v>
      </c>
      <c r="R416" s="126">
        <f t="shared" si="61"/>
        <v>15059.1</v>
      </c>
      <c r="S416" s="125"/>
      <c r="T416" s="127"/>
      <c r="V416" s="127" t="s">
        <v>152</v>
      </c>
      <c r="W416" s="125">
        <v>145</v>
      </c>
      <c r="X416" s="128">
        <f t="shared" si="62"/>
        <v>6150.9000000000005</v>
      </c>
      <c r="Y416" s="129">
        <v>200</v>
      </c>
      <c r="Z416" s="127">
        <f t="shared" si="63"/>
        <v>8484</v>
      </c>
      <c r="AA416" s="127">
        <f t="shared" si="64"/>
        <v>29694</v>
      </c>
    </row>
    <row r="417" spans="1:38" s="130" customFormat="1" ht="15.75" x14ac:dyDescent="0.25">
      <c r="A417" s="51">
        <v>414</v>
      </c>
      <c r="B417" s="118">
        <v>46007</v>
      </c>
      <c r="C417" s="118">
        <v>46008</v>
      </c>
      <c r="D417" s="119">
        <v>251217018</v>
      </c>
      <c r="E417" s="120" t="s">
        <v>918</v>
      </c>
      <c r="F417" s="120" t="s">
        <v>919</v>
      </c>
      <c r="G417" s="120">
        <v>40</v>
      </c>
      <c r="H417" s="121">
        <v>119</v>
      </c>
      <c r="I417" s="122" t="s">
        <v>870</v>
      </c>
      <c r="J417" s="18" t="s">
        <v>23</v>
      </c>
      <c r="K417" s="19" t="s">
        <v>32</v>
      </c>
      <c r="L417" s="104" t="s">
        <v>482</v>
      </c>
      <c r="M417" s="120" t="s">
        <v>306</v>
      </c>
      <c r="N417" s="134">
        <v>54.34</v>
      </c>
      <c r="O417" s="120">
        <v>14</v>
      </c>
      <c r="P417" s="124">
        <f t="shared" si="60"/>
        <v>40.340000000000003</v>
      </c>
      <c r="Q417" s="125">
        <v>425</v>
      </c>
      <c r="R417" s="126">
        <f t="shared" si="61"/>
        <v>17144.5</v>
      </c>
      <c r="S417" s="125"/>
      <c r="T417" s="127"/>
      <c r="V417" s="127" t="s">
        <v>24</v>
      </c>
      <c r="W417" s="125">
        <v>145</v>
      </c>
      <c r="X417" s="128">
        <f t="shared" si="62"/>
        <v>5849.3</v>
      </c>
      <c r="Y417" s="129"/>
      <c r="Z417" s="127">
        <f t="shared" si="63"/>
        <v>0</v>
      </c>
      <c r="AA417" s="127">
        <f t="shared" si="64"/>
        <v>22993.8</v>
      </c>
    </row>
    <row r="418" spans="1:38" s="130" customFormat="1" ht="15.75" x14ac:dyDescent="0.25">
      <c r="A418" s="51">
        <v>415</v>
      </c>
      <c r="B418" s="118">
        <v>46007</v>
      </c>
      <c r="C418" s="118">
        <v>46008</v>
      </c>
      <c r="D418" s="119">
        <v>251217019</v>
      </c>
      <c r="E418" s="120" t="s">
        <v>920</v>
      </c>
      <c r="F418" s="120" t="s">
        <v>921</v>
      </c>
      <c r="G418" s="120">
        <v>44</v>
      </c>
      <c r="H418" s="121">
        <v>119</v>
      </c>
      <c r="I418" s="122" t="s">
        <v>870</v>
      </c>
      <c r="J418" s="18" t="s">
        <v>23</v>
      </c>
      <c r="K418" s="19" t="s">
        <v>32</v>
      </c>
      <c r="L418" s="104" t="s">
        <v>323</v>
      </c>
      <c r="M418" s="120" t="s">
        <v>306</v>
      </c>
      <c r="N418" s="134">
        <v>59.8</v>
      </c>
      <c r="O418" s="120">
        <v>15.36</v>
      </c>
      <c r="P418" s="124">
        <f t="shared" si="60"/>
        <v>44.44</v>
      </c>
      <c r="Q418" s="125">
        <v>425</v>
      </c>
      <c r="R418" s="126">
        <f t="shared" si="61"/>
        <v>18887</v>
      </c>
      <c r="S418" s="125"/>
      <c r="T418" s="127"/>
      <c r="V418" s="127" t="s">
        <v>24</v>
      </c>
      <c r="W418" s="125">
        <v>145</v>
      </c>
      <c r="X418" s="128">
        <f t="shared" si="62"/>
        <v>6443.7999999999993</v>
      </c>
      <c r="Y418" s="129"/>
      <c r="Z418" s="127">
        <f t="shared" si="63"/>
        <v>0</v>
      </c>
      <c r="AA418" s="127">
        <f t="shared" si="64"/>
        <v>25330.799999999999</v>
      </c>
    </row>
    <row r="419" spans="1:38" s="130" customFormat="1" ht="18.75" x14ac:dyDescent="0.25">
      <c r="A419" s="51">
        <v>416</v>
      </c>
      <c r="B419" s="118">
        <v>46007</v>
      </c>
      <c r="C419" s="118">
        <v>46008</v>
      </c>
      <c r="D419" s="119">
        <v>251217021</v>
      </c>
      <c r="E419" s="120" t="s">
        <v>922</v>
      </c>
      <c r="F419" s="120" t="s">
        <v>923</v>
      </c>
      <c r="G419" s="120">
        <v>44</v>
      </c>
      <c r="H419" s="121">
        <v>117</v>
      </c>
      <c r="I419" s="122" t="s">
        <v>55</v>
      </c>
      <c r="J419" s="18" t="s">
        <v>23</v>
      </c>
      <c r="K419" s="19" t="s">
        <v>32</v>
      </c>
      <c r="L419" s="146" t="s">
        <v>379</v>
      </c>
      <c r="M419" s="120" t="s">
        <v>36</v>
      </c>
      <c r="N419" s="134">
        <v>59.96</v>
      </c>
      <c r="O419" s="120">
        <v>15.8</v>
      </c>
      <c r="P419" s="124">
        <f t="shared" si="60"/>
        <v>44.16</v>
      </c>
      <c r="Q419" s="125">
        <v>555</v>
      </c>
      <c r="R419" s="126">
        <f t="shared" si="61"/>
        <v>24508.799999999999</v>
      </c>
      <c r="S419" s="125"/>
      <c r="T419" s="127"/>
      <c r="V419" s="127" t="s">
        <v>24</v>
      </c>
      <c r="W419" s="125">
        <v>145</v>
      </c>
      <c r="X419" s="128">
        <f t="shared" si="62"/>
        <v>6403.2</v>
      </c>
      <c r="Y419" s="129">
        <v>230</v>
      </c>
      <c r="Z419" s="127">
        <f t="shared" si="63"/>
        <v>10156.799999999999</v>
      </c>
      <c r="AA419" s="127">
        <f t="shared" si="64"/>
        <v>41068.800000000003</v>
      </c>
    </row>
    <row r="420" spans="1:38" s="135" customFormat="1" ht="18.75" x14ac:dyDescent="0.25">
      <c r="A420" s="51">
        <v>417</v>
      </c>
      <c r="B420" s="118">
        <v>46007</v>
      </c>
      <c r="C420" s="118">
        <v>46008</v>
      </c>
      <c r="D420" s="119">
        <v>251217022</v>
      </c>
      <c r="E420" s="120" t="s">
        <v>924</v>
      </c>
      <c r="F420" s="120" t="s">
        <v>925</v>
      </c>
      <c r="G420" s="120">
        <v>44</v>
      </c>
      <c r="H420" s="121">
        <v>84</v>
      </c>
      <c r="I420" s="122" t="s">
        <v>50</v>
      </c>
      <c r="J420" s="18" t="s">
        <v>23</v>
      </c>
      <c r="K420" s="19" t="s">
        <v>32</v>
      </c>
      <c r="L420" s="146" t="s">
        <v>514</v>
      </c>
      <c r="M420" s="120" t="s">
        <v>36</v>
      </c>
      <c r="N420" s="134">
        <v>59.98</v>
      </c>
      <c r="O420" s="120">
        <v>15.3</v>
      </c>
      <c r="P420" s="124">
        <f t="shared" si="60"/>
        <v>44.679999999999993</v>
      </c>
      <c r="Q420" s="125">
        <v>515</v>
      </c>
      <c r="R420" s="126">
        <f t="shared" si="61"/>
        <v>23010.199999999997</v>
      </c>
      <c r="S420" s="125"/>
      <c r="T420" s="127"/>
      <c r="U420" s="130"/>
      <c r="V420" s="127" t="s">
        <v>24</v>
      </c>
      <c r="W420" s="125">
        <v>145</v>
      </c>
      <c r="X420" s="128">
        <f t="shared" si="62"/>
        <v>6478.5999999999985</v>
      </c>
      <c r="Y420" s="129">
        <v>210</v>
      </c>
      <c r="Z420" s="127">
        <f t="shared" si="63"/>
        <v>9382.7999999999993</v>
      </c>
      <c r="AA420" s="127">
        <f t="shared" si="64"/>
        <v>38871.599999999991</v>
      </c>
    </row>
    <row r="421" spans="1:38" s="130" customFormat="1" ht="15.75" x14ac:dyDescent="0.25">
      <c r="A421" s="51">
        <v>418</v>
      </c>
      <c r="B421" s="118">
        <v>46007</v>
      </c>
      <c r="C421" s="118">
        <v>46008</v>
      </c>
      <c r="D421" s="119" t="s">
        <v>926</v>
      </c>
      <c r="E421" s="120"/>
      <c r="F421" s="120"/>
      <c r="G421" s="120"/>
      <c r="H421" s="121"/>
      <c r="I421" s="122" t="s">
        <v>843</v>
      </c>
      <c r="J421" s="18" t="s">
        <v>23</v>
      </c>
      <c r="K421" s="19" t="s">
        <v>32</v>
      </c>
      <c r="L421" s="120" t="s">
        <v>844</v>
      </c>
      <c r="M421" s="120" t="s">
        <v>36</v>
      </c>
      <c r="N421" s="134">
        <v>7.5</v>
      </c>
      <c r="O421" s="120">
        <v>3.42</v>
      </c>
      <c r="P421" s="124">
        <f t="shared" si="60"/>
        <v>4.08</v>
      </c>
      <c r="Q421" s="125">
        <v>550</v>
      </c>
      <c r="R421" s="126">
        <f t="shared" si="61"/>
        <v>2244</v>
      </c>
      <c r="S421" s="125"/>
      <c r="T421" s="127"/>
      <c r="V421" s="127" t="s">
        <v>53</v>
      </c>
      <c r="W421" s="125"/>
      <c r="X421" s="128">
        <f t="shared" si="62"/>
        <v>0</v>
      </c>
      <c r="Y421" s="129"/>
      <c r="Z421" s="127">
        <f t="shared" si="63"/>
        <v>0</v>
      </c>
      <c r="AA421" s="127">
        <f t="shared" si="64"/>
        <v>2244</v>
      </c>
    </row>
    <row r="422" spans="1:38" s="130" customFormat="1" ht="15.75" x14ac:dyDescent="0.25">
      <c r="A422" s="51">
        <v>419</v>
      </c>
      <c r="B422" s="22">
        <v>46008</v>
      </c>
      <c r="C422" s="22">
        <v>46008</v>
      </c>
      <c r="D422" s="105">
        <v>251217023</v>
      </c>
      <c r="E422" s="24" t="s">
        <v>927</v>
      </c>
      <c r="F422" s="24" t="s">
        <v>928</v>
      </c>
      <c r="G422" s="24">
        <v>46</v>
      </c>
      <c r="H422" s="35">
        <v>117</v>
      </c>
      <c r="I422" s="44" t="s">
        <v>55</v>
      </c>
      <c r="J422" s="147" t="s">
        <v>23</v>
      </c>
      <c r="K422" s="43" t="s">
        <v>32</v>
      </c>
      <c r="L422" s="104" t="s">
        <v>485</v>
      </c>
      <c r="M422" s="24" t="s">
        <v>36</v>
      </c>
      <c r="N422" s="24">
        <v>61.64</v>
      </c>
      <c r="O422" s="24">
        <v>15.28</v>
      </c>
      <c r="P422" s="28">
        <f t="shared" si="60"/>
        <v>46.36</v>
      </c>
      <c r="Q422" s="29">
        <v>555</v>
      </c>
      <c r="R422" s="30">
        <f t="shared" si="61"/>
        <v>25729.8</v>
      </c>
      <c r="S422" s="29"/>
      <c r="T422" s="31"/>
      <c r="U422" s="34"/>
      <c r="V422" s="31" t="s">
        <v>24</v>
      </c>
      <c r="W422" s="29">
        <v>145</v>
      </c>
      <c r="X422" s="32">
        <f t="shared" ref="X422:X443" si="65">W422*P422</f>
        <v>6722.2</v>
      </c>
      <c r="Y422" s="33">
        <v>230</v>
      </c>
      <c r="Z422" s="31">
        <f t="shared" ref="Z422:Z443" si="66">Y422*P422</f>
        <v>10662.8</v>
      </c>
      <c r="AA422" s="31">
        <f t="shared" ref="AA422:AA443" si="67">R422+X422+Z422</f>
        <v>43114.8</v>
      </c>
    </row>
    <row r="423" spans="1:38" s="130" customFormat="1" ht="15.75" x14ac:dyDescent="0.25">
      <c r="A423" s="51">
        <v>420</v>
      </c>
      <c r="B423" s="22">
        <v>46008</v>
      </c>
      <c r="C423" s="22">
        <v>46008</v>
      </c>
      <c r="D423" s="148" t="s">
        <v>929</v>
      </c>
      <c r="E423" s="24"/>
      <c r="F423" s="24"/>
      <c r="G423" s="24"/>
      <c r="H423" s="54"/>
      <c r="I423" s="55" t="s">
        <v>930</v>
      </c>
      <c r="J423" s="147" t="s">
        <v>23</v>
      </c>
      <c r="K423" s="45" t="s">
        <v>30</v>
      </c>
      <c r="L423" s="148" t="s">
        <v>931</v>
      </c>
      <c r="M423" s="24" t="s">
        <v>31</v>
      </c>
      <c r="N423" s="24">
        <v>8.84</v>
      </c>
      <c r="O423" s="24">
        <v>3.58</v>
      </c>
      <c r="P423" s="28">
        <f t="shared" ref="P423:P486" si="68">N423-O423</f>
        <v>5.26</v>
      </c>
      <c r="Q423" s="29">
        <v>150</v>
      </c>
      <c r="R423" s="30">
        <f t="shared" ref="R423:R486" si="69">Q423*P423</f>
        <v>789</v>
      </c>
      <c r="S423" s="29">
        <v>789</v>
      </c>
      <c r="T423" s="31"/>
      <c r="U423" s="34"/>
      <c r="V423" s="31" t="s">
        <v>24</v>
      </c>
      <c r="W423" s="29"/>
      <c r="X423" s="32">
        <f t="shared" si="65"/>
        <v>0</v>
      </c>
      <c r="Y423" s="33"/>
      <c r="Z423" s="33">
        <f t="shared" si="66"/>
        <v>0</v>
      </c>
      <c r="AA423" s="31">
        <f t="shared" si="67"/>
        <v>789</v>
      </c>
    </row>
    <row r="424" spans="1:38" s="130" customFormat="1" ht="15.75" x14ac:dyDescent="0.25">
      <c r="A424" s="51">
        <v>421</v>
      </c>
      <c r="B424" s="22">
        <v>46008</v>
      </c>
      <c r="C424" s="22">
        <v>46008</v>
      </c>
      <c r="D424" s="105">
        <v>251217024</v>
      </c>
      <c r="E424" s="24" t="s">
        <v>932</v>
      </c>
      <c r="F424" s="24" t="s">
        <v>933</v>
      </c>
      <c r="G424" s="24">
        <v>34</v>
      </c>
      <c r="H424" s="64">
        <v>119</v>
      </c>
      <c r="I424" s="43" t="s">
        <v>870</v>
      </c>
      <c r="J424" s="147" t="s">
        <v>23</v>
      </c>
      <c r="K424" s="43" t="s">
        <v>32</v>
      </c>
      <c r="L424" s="104" t="s">
        <v>47</v>
      </c>
      <c r="M424" s="24" t="s">
        <v>306</v>
      </c>
      <c r="N424" s="24">
        <v>46.08</v>
      </c>
      <c r="O424" s="24">
        <v>11.12</v>
      </c>
      <c r="P424" s="28">
        <f t="shared" si="68"/>
        <v>34.96</v>
      </c>
      <c r="Q424" s="29">
        <v>425</v>
      </c>
      <c r="R424" s="30">
        <f t="shared" si="69"/>
        <v>14858</v>
      </c>
      <c r="S424" s="29"/>
      <c r="T424" s="31"/>
      <c r="U424" s="34"/>
      <c r="V424" s="31" t="s">
        <v>24</v>
      </c>
      <c r="W424" s="29">
        <v>145</v>
      </c>
      <c r="X424" s="32">
        <f t="shared" si="65"/>
        <v>5069.2</v>
      </c>
      <c r="Y424" s="33">
        <v>150</v>
      </c>
      <c r="Z424" s="33">
        <f t="shared" si="66"/>
        <v>5244</v>
      </c>
      <c r="AA424" s="31">
        <f t="shared" si="67"/>
        <v>25171.200000000001</v>
      </c>
    </row>
    <row r="425" spans="1:38" s="130" customFormat="1" ht="15.75" x14ac:dyDescent="0.25">
      <c r="A425" s="51">
        <v>422</v>
      </c>
      <c r="B425" s="22">
        <v>46008</v>
      </c>
      <c r="C425" s="22">
        <v>46008</v>
      </c>
      <c r="D425" s="105">
        <v>251217025</v>
      </c>
      <c r="E425" s="24"/>
      <c r="F425" s="24"/>
      <c r="G425" s="24"/>
      <c r="H425" s="54"/>
      <c r="I425" s="55" t="s">
        <v>930</v>
      </c>
      <c r="J425" s="147" t="s">
        <v>23</v>
      </c>
      <c r="K425" s="45" t="s">
        <v>30</v>
      </c>
      <c r="L425" s="148" t="s">
        <v>931</v>
      </c>
      <c r="M425" s="24" t="s">
        <v>31</v>
      </c>
      <c r="N425" s="24">
        <v>8.0399999999999991</v>
      </c>
      <c r="O425" s="24">
        <v>3.72</v>
      </c>
      <c r="P425" s="28">
        <f t="shared" si="68"/>
        <v>4.3199999999999985</v>
      </c>
      <c r="Q425" s="29">
        <v>150</v>
      </c>
      <c r="R425" s="30">
        <f t="shared" si="69"/>
        <v>647.99999999999977</v>
      </c>
      <c r="S425" s="29">
        <v>648</v>
      </c>
      <c r="T425" s="31"/>
      <c r="U425" s="34"/>
      <c r="V425" s="31" t="s">
        <v>24</v>
      </c>
      <c r="W425" s="29"/>
      <c r="X425" s="32">
        <f t="shared" si="65"/>
        <v>0</v>
      </c>
      <c r="Y425" s="33"/>
      <c r="Z425" s="33">
        <f t="shared" si="66"/>
        <v>0</v>
      </c>
      <c r="AA425" s="31">
        <f t="shared" si="67"/>
        <v>647.99999999999977</v>
      </c>
    </row>
    <row r="426" spans="1:38" s="130" customFormat="1" ht="15.75" x14ac:dyDescent="0.25">
      <c r="A426" s="51">
        <v>423</v>
      </c>
      <c r="B426" s="22">
        <v>46008</v>
      </c>
      <c r="C426" s="22">
        <v>46008</v>
      </c>
      <c r="D426" s="105">
        <v>251217026</v>
      </c>
      <c r="E426" s="24" t="s">
        <v>934</v>
      </c>
      <c r="F426" s="24" t="s">
        <v>935</v>
      </c>
      <c r="G426" s="24">
        <v>34</v>
      </c>
      <c r="H426" s="64">
        <v>119</v>
      </c>
      <c r="I426" s="43" t="s">
        <v>870</v>
      </c>
      <c r="J426" s="147" t="s">
        <v>23</v>
      </c>
      <c r="K426" s="43" t="s">
        <v>32</v>
      </c>
      <c r="L426" s="101" t="s">
        <v>331</v>
      </c>
      <c r="M426" s="24" t="s">
        <v>306</v>
      </c>
      <c r="N426" s="24">
        <v>45.92</v>
      </c>
      <c r="O426" s="24">
        <v>11.48</v>
      </c>
      <c r="P426" s="28">
        <f t="shared" si="68"/>
        <v>34.44</v>
      </c>
      <c r="Q426" s="29">
        <v>425</v>
      </c>
      <c r="R426" s="30">
        <f t="shared" si="69"/>
        <v>14636.999999999998</v>
      </c>
      <c r="S426" s="29"/>
      <c r="T426" s="31"/>
      <c r="U426" s="34"/>
      <c r="V426" s="31" t="s">
        <v>24</v>
      </c>
      <c r="W426" s="29">
        <v>145</v>
      </c>
      <c r="X426" s="32">
        <f t="shared" si="65"/>
        <v>4993.7999999999993</v>
      </c>
      <c r="Y426" s="33">
        <v>150</v>
      </c>
      <c r="Z426" s="33">
        <f t="shared" si="66"/>
        <v>5166</v>
      </c>
      <c r="AA426" s="31">
        <f t="shared" si="67"/>
        <v>24796.799999999996</v>
      </c>
    </row>
    <row r="427" spans="1:38" s="135" customFormat="1" ht="15.75" x14ac:dyDescent="0.25">
      <c r="A427" s="51">
        <v>424</v>
      </c>
      <c r="B427" s="22">
        <v>46008</v>
      </c>
      <c r="C427" s="22">
        <v>46008</v>
      </c>
      <c r="D427" s="148" t="s">
        <v>936</v>
      </c>
      <c r="E427" s="24"/>
      <c r="F427" s="24"/>
      <c r="G427" s="24"/>
      <c r="H427" s="149"/>
      <c r="I427" s="150" t="s">
        <v>930</v>
      </c>
      <c r="J427" s="147" t="s">
        <v>23</v>
      </c>
      <c r="K427" s="45" t="s">
        <v>30</v>
      </c>
      <c r="L427" s="101" t="s">
        <v>937</v>
      </c>
      <c r="M427" s="24" t="s">
        <v>31</v>
      </c>
      <c r="N427" s="37">
        <v>8.82</v>
      </c>
      <c r="O427" s="24">
        <v>3.64</v>
      </c>
      <c r="P427" s="28">
        <f t="shared" si="68"/>
        <v>5.18</v>
      </c>
      <c r="Q427" s="29">
        <v>150</v>
      </c>
      <c r="R427" s="30">
        <f t="shared" si="69"/>
        <v>777</v>
      </c>
      <c r="S427" s="29">
        <v>777</v>
      </c>
      <c r="T427" s="31"/>
      <c r="U427" s="38"/>
      <c r="V427" s="31" t="s">
        <v>24</v>
      </c>
      <c r="W427" s="29"/>
      <c r="X427" s="32">
        <f t="shared" si="65"/>
        <v>0</v>
      </c>
      <c r="Y427" s="33"/>
      <c r="Z427" s="33">
        <f t="shared" si="66"/>
        <v>0</v>
      </c>
      <c r="AA427" s="31">
        <f t="shared" si="67"/>
        <v>777</v>
      </c>
    </row>
    <row r="428" spans="1:38" s="130" customFormat="1" ht="15.75" x14ac:dyDescent="0.25">
      <c r="A428" s="51">
        <v>425</v>
      </c>
      <c r="B428" s="22">
        <v>46008</v>
      </c>
      <c r="C428" s="22">
        <v>46008</v>
      </c>
      <c r="D428" s="105">
        <v>251217027</v>
      </c>
      <c r="E428" s="24" t="s">
        <v>938</v>
      </c>
      <c r="F428" s="24" t="s">
        <v>939</v>
      </c>
      <c r="G428" s="24">
        <v>46</v>
      </c>
      <c r="H428" s="25">
        <v>84</v>
      </c>
      <c r="I428" s="26" t="s">
        <v>50</v>
      </c>
      <c r="J428" s="151" t="s">
        <v>23</v>
      </c>
      <c r="K428" s="43" t="s">
        <v>32</v>
      </c>
      <c r="L428" s="101" t="s">
        <v>40</v>
      </c>
      <c r="M428" s="24" t="s">
        <v>36</v>
      </c>
      <c r="N428" s="37">
        <v>61.08</v>
      </c>
      <c r="O428" s="37">
        <v>15</v>
      </c>
      <c r="P428" s="28">
        <f t="shared" si="68"/>
        <v>46.08</v>
      </c>
      <c r="Q428" s="29">
        <v>515</v>
      </c>
      <c r="R428" s="30">
        <f t="shared" si="69"/>
        <v>23731.200000000001</v>
      </c>
      <c r="S428" s="29"/>
      <c r="T428" s="31"/>
      <c r="U428" s="34"/>
      <c r="V428" s="31" t="s">
        <v>24</v>
      </c>
      <c r="W428" s="29">
        <v>145</v>
      </c>
      <c r="X428" s="32">
        <f t="shared" si="65"/>
        <v>6681.5999999999995</v>
      </c>
      <c r="Y428" s="33">
        <v>210</v>
      </c>
      <c r="Z428" s="33">
        <f t="shared" si="66"/>
        <v>9676.7999999999993</v>
      </c>
      <c r="AA428" s="31">
        <f t="shared" si="67"/>
        <v>40089.599999999999</v>
      </c>
    </row>
    <row r="429" spans="1:38" s="130" customFormat="1" ht="15.75" x14ac:dyDescent="0.25">
      <c r="A429" s="51">
        <v>426</v>
      </c>
      <c r="B429" s="22">
        <v>46008</v>
      </c>
      <c r="C429" s="22">
        <v>46008</v>
      </c>
      <c r="D429" s="105">
        <v>251217028</v>
      </c>
      <c r="E429" s="24" t="s">
        <v>940</v>
      </c>
      <c r="F429" s="24" t="s">
        <v>941</v>
      </c>
      <c r="G429" s="24">
        <v>22</v>
      </c>
      <c r="H429" s="25">
        <v>18</v>
      </c>
      <c r="I429" s="43" t="s">
        <v>849</v>
      </c>
      <c r="J429" s="151" t="s">
        <v>23</v>
      </c>
      <c r="K429" s="43" t="s">
        <v>32</v>
      </c>
      <c r="L429" s="101" t="s">
        <v>942</v>
      </c>
      <c r="M429" s="24" t="s">
        <v>34</v>
      </c>
      <c r="N429" s="37">
        <v>36.479999999999997</v>
      </c>
      <c r="O429" s="37">
        <v>14.16</v>
      </c>
      <c r="P429" s="28">
        <f t="shared" si="68"/>
        <v>22.319999999999997</v>
      </c>
      <c r="Q429" s="29">
        <v>420</v>
      </c>
      <c r="R429" s="30">
        <f t="shared" si="69"/>
        <v>9374.3999999999978</v>
      </c>
      <c r="S429" s="29"/>
      <c r="T429" s="31"/>
      <c r="U429" s="34"/>
      <c r="V429" s="31" t="s">
        <v>24</v>
      </c>
      <c r="W429" s="29">
        <v>145</v>
      </c>
      <c r="X429" s="32">
        <f t="shared" si="65"/>
        <v>3236.3999999999996</v>
      </c>
      <c r="Y429" s="33"/>
      <c r="Z429" s="33">
        <f t="shared" si="66"/>
        <v>0</v>
      </c>
      <c r="AA429" s="31">
        <f t="shared" si="67"/>
        <v>12610.799999999997</v>
      </c>
    </row>
    <row r="430" spans="1:38" s="130" customFormat="1" ht="15.75" x14ac:dyDescent="0.25">
      <c r="A430" s="51">
        <v>427</v>
      </c>
      <c r="B430" s="22">
        <v>46008</v>
      </c>
      <c r="C430" s="22">
        <v>46008</v>
      </c>
      <c r="D430" s="105">
        <v>251217029</v>
      </c>
      <c r="E430" s="24" t="s">
        <v>943</v>
      </c>
      <c r="F430" s="24" t="s">
        <v>944</v>
      </c>
      <c r="G430" s="24">
        <v>22</v>
      </c>
      <c r="H430" s="25">
        <v>18</v>
      </c>
      <c r="I430" s="43" t="s">
        <v>849</v>
      </c>
      <c r="J430" s="151" t="s">
        <v>23</v>
      </c>
      <c r="K430" s="43" t="s">
        <v>32</v>
      </c>
      <c r="L430" s="101" t="s">
        <v>188</v>
      </c>
      <c r="M430" s="24" t="s">
        <v>36</v>
      </c>
      <c r="N430" s="37">
        <v>36.700000000000003</v>
      </c>
      <c r="O430" s="37">
        <v>14.2</v>
      </c>
      <c r="P430" s="28">
        <f t="shared" si="68"/>
        <v>22.500000000000004</v>
      </c>
      <c r="Q430" s="29">
        <v>620</v>
      </c>
      <c r="R430" s="30">
        <f t="shared" si="69"/>
        <v>13950.000000000002</v>
      </c>
      <c r="S430" s="29"/>
      <c r="T430" s="31"/>
      <c r="U430" s="34"/>
      <c r="V430" s="31" t="s">
        <v>24</v>
      </c>
      <c r="W430" s="29">
        <v>145</v>
      </c>
      <c r="X430" s="32">
        <f t="shared" si="65"/>
        <v>3262.5000000000005</v>
      </c>
      <c r="Y430" s="33"/>
      <c r="Z430" s="33">
        <f t="shared" si="66"/>
        <v>0</v>
      </c>
      <c r="AA430" s="31">
        <f t="shared" si="67"/>
        <v>17212.500000000004</v>
      </c>
    </row>
    <row r="431" spans="1:38" s="130" customFormat="1" ht="20.100000000000001" customHeight="1" x14ac:dyDescent="0.25">
      <c r="A431" s="51">
        <v>428</v>
      </c>
      <c r="B431" s="22">
        <v>46008</v>
      </c>
      <c r="C431" s="22">
        <v>46008</v>
      </c>
      <c r="D431" s="105">
        <v>251217030</v>
      </c>
      <c r="E431" s="24" t="s">
        <v>945</v>
      </c>
      <c r="F431" s="24" t="s">
        <v>946</v>
      </c>
      <c r="G431" s="24">
        <v>45</v>
      </c>
      <c r="H431" s="64">
        <v>119</v>
      </c>
      <c r="I431" s="43" t="s">
        <v>870</v>
      </c>
      <c r="J431" s="147" t="s">
        <v>23</v>
      </c>
      <c r="K431" s="43" t="s">
        <v>32</v>
      </c>
      <c r="L431" s="101" t="s">
        <v>323</v>
      </c>
      <c r="M431" s="24" t="s">
        <v>306</v>
      </c>
      <c r="N431" s="37">
        <v>60.44</v>
      </c>
      <c r="O431" s="37">
        <v>15.38</v>
      </c>
      <c r="P431" s="28">
        <f t="shared" si="68"/>
        <v>45.059999999999995</v>
      </c>
      <c r="Q431" s="29">
        <v>425</v>
      </c>
      <c r="R431" s="30">
        <f t="shared" si="69"/>
        <v>19150.499999999996</v>
      </c>
      <c r="S431" s="29"/>
      <c r="T431" s="31"/>
      <c r="U431" s="34"/>
      <c r="V431" s="31" t="s">
        <v>24</v>
      </c>
      <c r="W431" s="29">
        <v>145</v>
      </c>
      <c r="X431" s="32">
        <f t="shared" si="65"/>
        <v>6533.6999999999989</v>
      </c>
      <c r="Y431" s="33">
        <v>150</v>
      </c>
      <c r="Z431" s="33">
        <f t="shared" si="66"/>
        <v>6758.9999999999991</v>
      </c>
      <c r="AA431" s="31">
        <f t="shared" si="67"/>
        <v>32443.199999999997</v>
      </c>
      <c r="AB431" s="139"/>
      <c r="AC431" s="138"/>
      <c r="AD431" s="140"/>
      <c r="AE431" s="141"/>
      <c r="AF431" s="138"/>
      <c r="AG431" s="141"/>
      <c r="AH431" s="138"/>
      <c r="AI431" s="140"/>
      <c r="AJ431" s="138"/>
      <c r="AK431" s="140"/>
      <c r="AL431" s="140"/>
    </row>
    <row r="432" spans="1:38" s="130" customFormat="1" ht="15.75" x14ac:dyDescent="0.25">
      <c r="A432" s="51">
        <v>429</v>
      </c>
      <c r="B432" s="22">
        <v>46008</v>
      </c>
      <c r="C432" s="22">
        <v>46008</v>
      </c>
      <c r="D432" s="105">
        <v>251217031</v>
      </c>
      <c r="E432" s="24" t="s">
        <v>947</v>
      </c>
      <c r="F432" s="24" t="s">
        <v>948</v>
      </c>
      <c r="G432" s="24">
        <v>43</v>
      </c>
      <c r="H432" s="64">
        <v>119</v>
      </c>
      <c r="I432" s="43" t="s">
        <v>870</v>
      </c>
      <c r="J432" s="147" t="s">
        <v>23</v>
      </c>
      <c r="K432" s="43" t="s">
        <v>32</v>
      </c>
      <c r="L432" s="101" t="s">
        <v>39</v>
      </c>
      <c r="M432" s="24" t="s">
        <v>306</v>
      </c>
      <c r="N432" s="37">
        <v>59.66</v>
      </c>
      <c r="O432" s="37">
        <v>15.74</v>
      </c>
      <c r="P432" s="28">
        <f t="shared" si="68"/>
        <v>43.919999999999995</v>
      </c>
      <c r="Q432" s="29">
        <v>425</v>
      </c>
      <c r="R432" s="30">
        <f t="shared" si="69"/>
        <v>18665.999999999996</v>
      </c>
      <c r="S432" s="29"/>
      <c r="T432" s="31"/>
      <c r="U432" s="34"/>
      <c r="V432" s="31" t="s">
        <v>24</v>
      </c>
      <c r="W432" s="29">
        <v>145</v>
      </c>
      <c r="X432" s="32">
        <f t="shared" si="65"/>
        <v>6368.4</v>
      </c>
      <c r="Y432" s="33">
        <v>150</v>
      </c>
      <c r="Z432" s="33">
        <f t="shared" si="66"/>
        <v>6587.9999999999991</v>
      </c>
      <c r="AA432" s="31">
        <f t="shared" si="67"/>
        <v>31622.399999999994</v>
      </c>
    </row>
    <row r="433" spans="1:27" s="130" customFormat="1" ht="15.75" x14ac:dyDescent="0.25">
      <c r="A433" s="51">
        <v>430</v>
      </c>
      <c r="B433" s="22">
        <v>46008</v>
      </c>
      <c r="C433" s="22">
        <v>46008</v>
      </c>
      <c r="D433" s="105">
        <v>251217032</v>
      </c>
      <c r="E433" s="24" t="s">
        <v>949</v>
      </c>
      <c r="F433" s="24" t="s">
        <v>950</v>
      </c>
      <c r="G433" s="24">
        <v>44</v>
      </c>
      <c r="H433" s="64">
        <v>119</v>
      </c>
      <c r="I433" s="43" t="s">
        <v>870</v>
      </c>
      <c r="J433" s="147" t="s">
        <v>23</v>
      </c>
      <c r="K433" s="43" t="s">
        <v>32</v>
      </c>
      <c r="L433" s="101" t="s">
        <v>514</v>
      </c>
      <c r="M433" s="24" t="s">
        <v>306</v>
      </c>
      <c r="N433" s="37">
        <v>59.76</v>
      </c>
      <c r="O433" s="37">
        <v>15.3</v>
      </c>
      <c r="P433" s="28">
        <f t="shared" si="68"/>
        <v>44.459999999999994</v>
      </c>
      <c r="Q433" s="29">
        <v>425</v>
      </c>
      <c r="R433" s="30">
        <f t="shared" si="69"/>
        <v>18895.499999999996</v>
      </c>
      <c r="S433" s="29"/>
      <c r="T433" s="31"/>
      <c r="U433" s="34"/>
      <c r="V433" s="31" t="s">
        <v>24</v>
      </c>
      <c r="W433" s="29">
        <v>145</v>
      </c>
      <c r="X433" s="32">
        <f t="shared" si="65"/>
        <v>6446.6999999999989</v>
      </c>
      <c r="Y433" s="33">
        <v>150</v>
      </c>
      <c r="Z433" s="33">
        <f t="shared" si="66"/>
        <v>6668.9999999999991</v>
      </c>
      <c r="AA433" s="31">
        <f t="shared" si="67"/>
        <v>32011.199999999997</v>
      </c>
    </row>
    <row r="434" spans="1:27" s="130" customFormat="1" ht="15.75" x14ac:dyDescent="0.25">
      <c r="A434" s="51">
        <v>431</v>
      </c>
      <c r="B434" s="22">
        <v>46008</v>
      </c>
      <c r="C434" s="22">
        <v>46008</v>
      </c>
      <c r="D434" s="105">
        <v>251217033</v>
      </c>
      <c r="E434" s="24" t="s">
        <v>951</v>
      </c>
      <c r="F434" s="24" t="s">
        <v>952</v>
      </c>
      <c r="G434" s="24">
        <v>41</v>
      </c>
      <c r="H434" s="64">
        <v>119</v>
      </c>
      <c r="I434" s="43" t="s">
        <v>870</v>
      </c>
      <c r="J434" s="147" t="s">
        <v>23</v>
      </c>
      <c r="K434" s="43" t="s">
        <v>32</v>
      </c>
      <c r="L434" s="101" t="s">
        <v>379</v>
      </c>
      <c r="M434" s="24" t="s">
        <v>306</v>
      </c>
      <c r="N434" s="37">
        <v>57.18</v>
      </c>
      <c r="O434" s="37">
        <v>15.74</v>
      </c>
      <c r="P434" s="28">
        <f t="shared" si="68"/>
        <v>41.44</v>
      </c>
      <c r="Q434" s="29">
        <v>425</v>
      </c>
      <c r="R434" s="30">
        <f t="shared" si="69"/>
        <v>17612</v>
      </c>
      <c r="S434" s="29"/>
      <c r="T434" s="31"/>
      <c r="U434" s="34"/>
      <c r="V434" s="31" t="s">
        <v>24</v>
      </c>
      <c r="W434" s="29">
        <v>145</v>
      </c>
      <c r="X434" s="32">
        <f t="shared" si="65"/>
        <v>6008.7999999999993</v>
      </c>
      <c r="Y434" s="33">
        <v>150</v>
      </c>
      <c r="Z434" s="33">
        <f t="shared" si="66"/>
        <v>6216</v>
      </c>
      <c r="AA434" s="31">
        <f t="shared" si="67"/>
        <v>29836.799999999999</v>
      </c>
    </row>
    <row r="435" spans="1:27" s="130" customFormat="1" ht="15.75" x14ac:dyDescent="0.25">
      <c r="A435" s="51">
        <v>432</v>
      </c>
      <c r="B435" s="22">
        <v>46008</v>
      </c>
      <c r="C435" s="22">
        <v>46008</v>
      </c>
      <c r="D435" s="105">
        <v>251217034</v>
      </c>
      <c r="E435" s="24" t="s">
        <v>953</v>
      </c>
      <c r="F435" s="24" t="s">
        <v>954</v>
      </c>
      <c r="G435" s="24">
        <v>43.46</v>
      </c>
      <c r="H435" s="64">
        <v>119</v>
      </c>
      <c r="I435" s="43" t="s">
        <v>870</v>
      </c>
      <c r="J435" s="147" t="s">
        <v>23</v>
      </c>
      <c r="K435" s="43" t="s">
        <v>32</v>
      </c>
      <c r="L435" s="101" t="s">
        <v>39</v>
      </c>
      <c r="M435" s="24" t="s">
        <v>306</v>
      </c>
      <c r="N435" s="37">
        <v>59.2</v>
      </c>
      <c r="O435" s="37">
        <v>15.74</v>
      </c>
      <c r="P435" s="28">
        <f t="shared" si="68"/>
        <v>43.46</v>
      </c>
      <c r="Q435" s="29">
        <v>425</v>
      </c>
      <c r="R435" s="30">
        <f t="shared" si="69"/>
        <v>18470.5</v>
      </c>
      <c r="S435" s="29"/>
      <c r="T435" s="31"/>
      <c r="U435" s="34"/>
      <c r="V435" s="31" t="s">
        <v>24</v>
      </c>
      <c r="W435" s="29">
        <v>145</v>
      </c>
      <c r="X435" s="32">
        <f t="shared" si="65"/>
        <v>6301.7</v>
      </c>
      <c r="Y435" s="33">
        <v>150</v>
      </c>
      <c r="Z435" s="33">
        <f t="shared" si="66"/>
        <v>6519</v>
      </c>
      <c r="AA435" s="31">
        <f t="shared" si="67"/>
        <v>31291.200000000001</v>
      </c>
    </row>
    <row r="436" spans="1:27" s="135" customFormat="1" ht="15.75" x14ac:dyDescent="0.25">
      <c r="A436" s="51">
        <v>433</v>
      </c>
      <c r="B436" s="22">
        <v>46008</v>
      </c>
      <c r="C436" s="22">
        <v>46008</v>
      </c>
      <c r="D436" s="105">
        <v>251217035</v>
      </c>
      <c r="E436" s="24" t="s">
        <v>955</v>
      </c>
      <c r="F436" s="24" t="s">
        <v>956</v>
      </c>
      <c r="G436" s="24">
        <v>33</v>
      </c>
      <c r="H436" s="64">
        <v>119</v>
      </c>
      <c r="I436" s="43" t="s">
        <v>870</v>
      </c>
      <c r="J436" s="147" t="s">
        <v>23</v>
      </c>
      <c r="K436" s="43" t="s">
        <v>32</v>
      </c>
      <c r="L436" s="101" t="s">
        <v>500</v>
      </c>
      <c r="M436" s="24" t="s">
        <v>306</v>
      </c>
      <c r="N436" s="37">
        <v>45.66</v>
      </c>
      <c r="O436" s="37">
        <v>12.02</v>
      </c>
      <c r="P436" s="28">
        <f t="shared" si="68"/>
        <v>33.64</v>
      </c>
      <c r="Q436" s="29">
        <v>425</v>
      </c>
      <c r="R436" s="30">
        <f t="shared" si="69"/>
        <v>14297</v>
      </c>
      <c r="S436" s="29"/>
      <c r="T436" s="31"/>
      <c r="U436" s="38"/>
      <c r="V436" s="31" t="s">
        <v>24</v>
      </c>
      <c r="W436" s="29">
        <v>145</v>
      </c>
      <c r="X436" s="32">
        <f t="shared" si="65"/>
        <v>4877.8</v>
      </c>
      <c r="Y436" s="33">
        <v>150</v>
      </c>
      <c r="Z436" s="31">
        <f t="shared" si="66"/>
        <v>5046</v>
      </c>
      <c r="AA436" s="31">
        <f t="shared" si="67"/>
        <v>24220.799999999999</v>
      </c>
    </row>
    <row r="437" spans="1:27" s="135" customFormat="1" ht="15.75" x14ac:dyDescent="0.25">
      <c r="A437" s="51">
        <v>434</v>
      </c>
      <c r="B437" s="22">
        <v>46008</v>
      </c>
      <c r="C437" s="22">
        <v>46008</v>
      </c>
      <c r="D437" s="105">
        <v>251217036</v>
      </c>
      <c r="E437" s="24" t="s">
        <v>957</v>
      </c>
      <c r="F437" s="24" t="s">
        <v>958</v>
      </c>
      <c r="G437" s="24">
        <v>33</v>
      </c>
      <c r="H437" s="64">
        <v>119</v>
      </c>
      <c r="I437" s="43" t="s">
        <v>870</v>
      </c>
      <c r="J437" s="147" t="s">
        <v>23</v>
      </c>
      <c r="K437" s="43" t="s">
        <v>32</v>
      </c>
      <c r="L437" s="101" t="s">
        <v>503</v>
      </c>
      <c r="M437" s="24" t="s">
        <v>306</v>
      </c>
      <c r="N437" s="37">
        <v>45.34</v>
      </c>
      <c r="O437" s="37">
        <v>11.58</v>
      </c>
      <c r="P437" s="28">
        <f t="shared" si="68"/>
        <v>33.760000000000005</v>
      </c>
      <c r="Q437" s="29">
        <v>425</v>
      </c>
      <c r="R437" s="30">
        <f t="shared" si="69"/>
        <v>14348.000000000002</v>
      </c>
      <c r="S437" s="29"/>
      <c r="T437" s="31"/>
      <c r="U437" s="38"/>
      <c r="V437" s="31" t="s">
        <v>24</v>
      </c>
      <c r="W437" s="29">
        <v>145</v>
      </c>
      <c r="X437" s="32">
        <f t="shared" si="65"/>
        <v>4895.2000000000007</v>
      </c>
      <c r="Y437" s="33">
        <v>150</v>
      </c>
      <c r="Z437" s="31">
        <f t="shared" si="66"/>
        <v>5064.0000000000009</v>
      </c>
      <c r="AA437" s="31">
        <f t="shared" si="67"/>
        <v>24307.200000000004</v>
      </c>
    </row>
    <row r="438" spans="1:27" s="130" customFormat="1" ht="15.75" x14ac:dyDescent="0.25">
      <c r="A438" s="51">
        <v>435</v>
      </c>
      <c r="B438" s="22">
        <v>46008</v>
      </c>
      <c r="C438" s="22">
        <v>46008</v>
      </c>
      <c r="D438" s="105">
        <v>251217037</v>
      </c>
      <c r="E438" s="24" t="s">
        <v>959</v>
      </c>
      <c r="F438" s="24" t="s">
        <v>960</v>
      </c>
      <c r="G438" s="24">
        <v>22</v>
      </c>
      <c r="H438" s="25">
        <v>18</v>
      </c>
      <c r="I438" s="43" t="s">
        <v>849</v>
      </c>
      <c r="J438" s="151" t="s">
        <v>23</v>
      </c>
      <c r="K438" s="43" t="s">
        <v>32</v>
      </c>
      <c r="L438" s="101" t="s">
        <v>942</v>
      </c>
      <c r="M438" s="24" t="s">
        <v>34</v>
      </c>
      <c r="N438" s="37">
        <v>36.520000000000003</v>
      </c>
      <c r="O438" s="37">
        <v>14.16</v>
      </c>
      <c r="P438" s="28">
        <f t="shared" si="68"/>
        <v>22.360000000000003</v>
      </c>
      <c r="Q438" s="29">
        <v>420</v>
      </c>
      <c r="R438" s="30">
        <f t="shared" si="69"/>
        <v>9391.2000000000007</v>
      </c>
      <c r="S438" s="29"/>
      <c r="T438" s="31"/>
      <c r="U438" s="34"/>
      <c r="V438" s="31" t="s">
        <v>24</v>
      </c>
      <c r="W438" s="29">
        <v>145</v>
      </c>
      <c r="X438" s="32">
        <f t="shared" si="65"/>
        <v>3242.2000000000003</v>
      </c>
      <c r="Y438" s="33"/>
      <c r="Z438" s="31">
        <f t="shared" si="66"/>
        <v>0</v>
      </c>
      <c r="AA438" s="31">
        <f t="shared" si="67"/>
        <v>12633.400000000001</v>
      </c>
    </row>
    <row r="439" spans="1:27" s="130" customFormat="1" ht="15.75" x14ac:dyDescent="0.25">
      <c r="A439" s="51">
        <v>436</v>
      </c>
      <c r="B439" s="22">
        <v>46008</v>
      </c>
      <c r="C439" s="22">
        <v>46008</v>
      </c>
      <c r="D439" s="105">
        <v>251217038</v>
      </c>
      <c r="E439" s="24" t="s">
        <v>961</v>
      </c>
      <c r="F439" s="24" t="s">
        <v>962</v>
      </c>
      <c r="G439" s="24">
        <v>22</v>
      </c>
      <c r="H439" s="25">
        <v>18</v>
      </c>
      <c r="I439" s="43" t="s">
        <v>849</v>
      </c>
      <c r="J439" s="151" t="s">
        <v>23</v>
      </c>
      <c r="K439" s="43" t="s">
        <v>32</v>
      </c>
      <c r="L439" s="104" t="s">
        <v>188</v>
      </c>
      <c r="M439" s="24" t="s">
        <v>36</v>
      </c>
      <c r="N439" s="37">
        <v>36.58</v>
      </c>
      <c r="O439" s="37">
        <v>14.26</v>
      </c>
      <c r="P439" s="28">
        <f t="shared" si="68"/>
        <v>22.32</v>
      </c>
      <c r="Q439" s="29">
        <v>620</v>
      </c>
      <c r="R439" s="30">
        <f t="shared" si="69"/>
        <v>13838.4</v>
      </c>
      <c r="S439" s="29"/>
      <c r="T439" s="31"/>
      <c r="U439" s="34"/>
      <c r="V439" s="31" t="s">
        <v>24</v>
      </c>
      <c r="W439" s="29">
        <v>145</v>
      </c>
      <c r="X439" s="32">
        <f t="shared" si="65"/>
        <v>3236.4</v>
      </c>
      <c r="Y439" s="33"/>
      <c r="Z439" s="31">
        <f t="shared" si="66"/>
        <v>0</v>
      </c>
      <c r="AA439" s="31">
        <f t="shared" si="67"/>
        <v>17074.8</v>
      </c>
    </row>
    <row r="440" spans="1:27" s="130" customFormat="1" ht="15.75" x14ac:dyDescent="0.25">
      <c r="A440" s="51">
        <v>437</v>
      </c>
      <c r="B440" s="22">
        <v>46008</v>
      </c>
      <c r="C440" s="22">
        <v>46008</v>
      </c>
      <c r="D440" s="105">
        <v>251217039</v>
      </c>
      <c r="E440" s="24" t="s">
        <v>963</v>
      </c>
      <c r="F440" s="24" t="s">
        <v>964</v>
      </c>
      <c r="G440" s="24">
        <v>45</v>
      </c>
      <c r="H440" s="64">
        <v>119</v>
      </c>
      <c r="I440" s="43" t="s">
        <v>870</v>
      </c>
      <c r="J440" s="147" t="s">
        <v>23</v>
      </c>
      <c r="K440" s="43" t="s">
        <v>32</v>
      </c>
      <c r="L440" s="104" t="s">
        <v>965</v>
      </c>
      <c r="M440" s="24" t="s">
        <v>306</v>
      </c>
      <c r="N440" s="37">
        <v>61.24</v>
      </c>
      <c r="O440" s="37">
        <v>15.36</v>
      </c>
      <c r="P440" s="28">
        <f t="shared" si="68"/>
        <v>45.88</v>
      </c>
      <c r="Q440" s="29">
        <v>425</v>
      </c>
      <c r="R440" s="30">
        <f t="shared" si="69"/>
        <v>19499</v>
      </c>
      <c r="S440" s="29"/>
      <c r="T440" s="31"/>
      <c r="U440" s="34"/>
      <c r="V440" s="31" t="s">
        <v>24</v>
      </c>
      <c r="W440" s="29">
        <v>145</v>
      </c>
      <c r="X440" s="32">
        <f t="shared" si="65"/>
        <v>6652.6</v>
      </c>
      <c r="Y440" s="33">
        <v>150</v>
      </c>
      <c r="Z440" s="31">
        <f t="shared" si="66"/>
        <v>6882</v>
      </c>
      <c r="AA440" s="31">
        <f t="shared" si="67"/>
        <v>33033.599999999999</v>
      </c>
    </row>
    <row r="441" spans="1:27" s="135" customFormat="1" ht="15.75" x14ac:dyDescent="0.25">
      <c r="A441" s="51">
        <v>438</v>
      </c>
      <c r="B441" s="22">
        <v>46008</v>
      </c>
      <c r="C441" s="22">
        <v>46008</v>
      </c>
      <c r="D441" s="105">
        <v>251217040</v>
      </c>
      <c r="E441" s="24" t="s">
        <v>966</v>
      </c>
      <c r="F441" s="24" t="s">
        <v>967</v>
      </c>
      <c r="G441" s="24">
        <v>44</v>
      </c>
      <c r="H441" s="64">
        <v>119</v>
      </c>
      <c r="I441" s="43" t="s">
        <v>870</v>
      </c>
      <c r="J441" s="147" t="s">
        <v>23</v>
      </c>
      <c r="K441" s="43" t="s">
        <v>32</v>
      </c>
      <c r="L441" s="101" t="s">
        <v>39</v>
      </c>
      <c r="M441" s="24" t="s">
        <v>306</v>
      </c>
      <c r="N441" s="37">
        <v>60.1</v>
      </c>
      <c r="O441" s="37">
        <v>15.7</v>
      </c>
      <c r="P441" s="28">
        <f t="shared" si="68"/>
        <v>44.400000000000006</v>
      </c>
      <c r="Q441" s="29">
        <v>425</v>
      </c>
      <c r="R441" s="30">
        <f t="shared" si="69"/>
        <v>18870.000000000004</v>
      </c>
      <c r="S441" s="29"/>
      <c r="T441" s="31"/>
      <c r="U441" s="38"/>
      <c r="V441" s="31" t="s">
        <v>24</v>
      </c>
      <c r="W441" s="29">
        <v>145</v>
      </c>
      <c r="X441" s="32">
        <f t="shared" si="65"/>
        <v>6438.0000000000009</v>
      </c>
      <c r="Y441" s="33">
        <v>150</v>
      </c>
      <c r="Z441" s="31">
        <f t="shared" si="66"/>
        <v>6660.0000000000009</v>
      </c>
      <c r="AA441" s="31">
        <f t="shared" si="67"/>
        <v>31968.000000000004</v>
      </c>
    </row>
    <row r="442" spans="1:27" s="135" customFormat="1" ht="15.75" x14ac:dyDescent="0.25">
      <c r="A442" s="51">
        <v>439</v>
      </c>
      <c r="B442" s="22">
        <v>46008</v>
      </c>
      <c r="C442" s="22">
        <v>46008</v>
      </c>
      <c r="D442" s="105">
        <v>251217041</v>
      </c>
      <c r="E442" s="24" t="s">
        <v>968</v>
      </c>
      <c r="F442" s="24" t="s">
        <v>969</v>
      </c>
      <c r="G442" s="24">
        <v>43</v>
      </c>
      <c r="H442" s="64">
        <v>119</v>
      </c>
      <c r="I442" s="43" t="s">
        <v>870</v>
      </c>
      <c r="J442" s="147" t="s">
        <v>23</v>
      </c>
      <c r="K442" s="43" t="s">
        <v>32</v>
      </c>
      <c r="L442" s="104" t="s">
        <v>379</v>
      </c>
      <c r="M442" s="24" t="s">
        <v>306</v>
      </c>
      <c r="N442" s="37">
        <v>59.48</v>
      </c>
      <c r="O442" s="37">
        <v>15.72</v>
      </c>
      <c r="P442" s="28">
        <f t="shared" si="68"/>
        <v>43.76</v>
      </c>
      <c r="Q442" s="29">
        <v>425</v>
      </c>
      <c r="R442" s="30">
        <f t="shared" si="69"/>
        <v>18598</v>
      </c>
      <c r="S442" s="29"/>
      <c r="T442" s="31"/>
      <c r="U442" s="38"/>
      <c r="V442" s="31" t="s">
        <v>24</v>
      </c>
      <c r="W442" s="29">
        <v>145</v>
      </c>
      <c r="X442" s="32">
        <f t="shared" si="65"/>
        <v>6345.2</v>
      </c>
      <c r="Y442" s="33">
        <v>150</v>
      </c>
      <c r="Z442" s="31">
        <f t="shared" si="66"/>
        <v>6564</v>
      </c>
      <c r="AA442" s="31">
        <f t="shared" si="67"/>
        <v>31507.200000000001</v>
      </c>
    </row>
    <row r="443" spans="1:27" s="130" customFormat="1" ht="15.75" x14ac:dyDescent="0.25">
      <c r="A443" s="51">
        <v>440</v>
      </c>
      <c r="B443" s="22">
        <v>46008</v>
      </c>
      <c r="C443" s="22">
        <v>46008</v>
      </c>
      <c r="D443" s="105">
        <v>251217042</v>
      </c>
      <c r="E443" s="24" t="s">
        <v>970</v>
      </c>
      <c r="F443" s="24" t="s">
        <v>971</v>
      </c>
      <c r="G443" s="24">
        <v>35</v>
      </c>
      <c r="H443" s="64">
        <v>119</v>
      </c>
      <c r="I443" s="43" t="s">
        <v>870</v>
      </c>
      <c r="J443" s="147" t="s">
        <v>23</v>
      </c>
      <c r="K443" s="43" t="s">
        <v>32</v>
      </c>
      <c r="L443" s="104" t="s">
        <v>503</v>
      </c>
      <c r="M443" s="24" t="s">
        <v>306</v>
      </c>
      <c r="N443" s="37">
        <v>46.8</v>
      </c>
      <c r="O443" s="37">
        <v>11.56</v>
      </c>
      <c r="P443" s="28">
        <f t="shared" si="68"/>
        <v>35.239999999999995</v>
      </c>
      <c r="Q443" s="29">
        <v>425</v>
      </c>
      <c r="R443" s="30">
        <f t="shared" si="69"/>
        <v>14976.999999999998</v>
      </c>
      <c r="S443" s="29"/>
      <c r="T443" s="31"/>
      <c r="U443" s="34"/>
      <c r="V443" s="31" t="s">
        <v>24</v>
      </c>
      <c r="W443" s="29">
        <v>145</v>
      </c>
      <c r="X443" s="32">
        <f t="shared" si="65"/>
        <v>5109.7999999999993</v>
      </c>
      <c r="Y443" s="33">
        <v>150</v>
      </c>
      <c r="Z443" s="31">
        <f t="shared" si="66"/>
        <v>5285.9999999999991</v>
      </c>
      <c r="AA443" s="31">
        <f t="shared" si="67"/>
        <v>25372.799999999996</v>
      </c>
    </row>
    <row r="444" spans="1:27" s="130" customFormat="1" ht="15.75" x14ac:dyDescent="0.25">
      <c r="A444" s="51">
        <v>441</v>
      </c>
      <c r="B444" s="22">
        <v>46008</v>
      </c>
      <c r="C444" s="22">
        <v>46009</v>
      </c>
      <c r="D444" s="105" t="s">
        <v>972</v>
      </c>
      <c r="E444" s="24"/>
      <c r="F444" s="24"/>
      <c r="G444" s="24"/>
      <c r="H444" s="64"/>
      <c r="I444" s="43" t="s">
        <v>973</v>
      </c>
      <c r="J444" s="147" t="s">
        <v>23</v>
      </c>
      <c r="K444" s="43" t="s">
        <v>30</v>
      </c>
      <c r="L444" s="104" t="s">
        <v>974</v>
      </c>
      <c r="M444" s="24" t="s">
        <v>36</v>
      </c>
      <c r="N444" s="37">
        <v>16</v>
      </c>
      <c r="O444" s="37">
        <v>7.12</v>
      </c>
      <c r="P444" s="28">
        <f t="shared" si="68"/>
        <v>8.879999999999999</v>
      </c>
      <c r="Q444" s="29">
        <v>550</v>
      </c>
      <c r="R444" s="30">
        <f t="shared" si="69"/>
        <v>4883.9999999999991</v>
      </c>
      <c r="S444" s="29">
        <v>4884</v>
      </c>
      <c r="T444" s="31"/>
      <c r="U444" s="34"/>
      <c r="V444" s="31" t="s">
        <v>152</v>
      </c>
      <c r="W444" s="29"/>
      <c r="X444" s="32"/>
      <c r="Y444" s="33"/>
      <c r="Z444" s="31"/>
      <c r="AA444" s="29">
        <v>4884</v>
      </c>
    </row>
    <row r="445" spans="1:27" s="130" customFormat="1" ht="15.75" x14ac:dyDescent="0.25">
      <c r="A445" s="51">
        <v>442</v>
      </c>
      <c r="B445" s="22">
        <v>46008</v>
      </c>
      <c r="C445" s="22">
        <v>46009</v>
      </c>
      <c r="D445" s="105" t="s">
        <v>975</v>
      </c>
      <c r="E445" s="24"/>
      <c r="F445" s="24"/>
      <c r="G445" s="24"/>
      <c r="H445" s="64"/>
      <c r="I445" s="43" t="s">
        <v>976</v>
      </c>
      <c r="J445" s="147" t="s">
        <v>23</v>
      </c>
      <c r="K445" s="43" t="s">
        <v>30</v>
      </c>
      <c r="L445" s="104" t="s">
        <v>250</v>
      </c>
      <c r="M445" s="24" t="s">
        <v>36</v>
      </c>
      <c r="N445" s="37">
        <v>16.100000000000001</v>
      </c>
      <c r="O445" s="37">
        <v>7.32</v>
      </c>
      <c r="P445" s="28">
        <f t="shared" si="68"/>
        <v>8.7800000000000011</v>
      </c>
      <c r="Q445" s="29">
        <v>540</v>
      </c>
      <c r="R445" s="30">
        <f t="shared" si="69"/>
        <v>4741.2000000000007</v>
      </c>
      <c r="S445" s="29">
        <v>4741</v>
      </c>
      <c r="T445" s="31"/>
      <c r="U445" s="34"/>
      <c r="V445" s="31" t="s">
        <v>152</v>
      </c>
      <c r="W445" s="29"/>
      <c r="X445" s="32"/>
      <c r="Y445" s="33"/>
      <c r="Z445" s="31"/>
      <c r="AA445" s="29">
        <v>4741</v>
      </c>
    </row>
    <row r="446" spans="1:27" s="130" customFormat="1" ht="15.75" x14ac:dyDescent="0.25">
      <c r="A446" s="51">
        <v>443</v>
      </c>
      <c r="B446" s="22">
        <v>46008</v>
      </c>
      <c r="C446" s="22">
        <v>46009</v>
      </c>
      <c r="D446" s="101">
        <v>251218001</v>
      </c>
      <c r="E446" s="24" t="s">
        <v>977</v>
      </c>
      <c r="F446" s="24" t="s">
        <v>978</v>
      </c>
      <c r="G446" s="24">
        <v>43</v>
      </c>
      <c r="H446" s="64">
        <v>119</v>
      </c>
      <c r="I446" s="43" t="s">
        <v>870</v>
      </c>
      <c r="J446" s="147" t="s">
        <v>23</v>
      </c>
      <c r="K446" s="43" t="s">
        <v>32</v>
      </c>
      <c r="L446" s="104" t="s">
        <v>39</v>
      </c>
      <c r="M446" s="24" t="s">
        <v>306</v>
      </c>
      <c r="N446" s="37">
        <v>59.64</v>
      </c>
      <c r="O446" s="37">
        <v>15.76</v>
      </c>
      <c r="P446" s="28">
        <f t="shared" si="68"/>
        <v>43.88</v>
      </c>
      <c r="Q446" s="29">
        <v>425</v>
      </c>
      <c r="R446" s="30">
        <f t="shared" si="69"/>
        <v>18649</v>
      </c>
      <c r="S446" s="29"/>
      <c r="T446" s="31"/>
      <c r="U446" s="34"/>
      <c r="V446" s="31" t="s">
        <v>24</v>
      </c>
      <c r="W446" s="29">
        <v>145</v>
      </c>
      <c r="X446" s="32">
        <f t="shared" ref="X446:X457" si="70">W446*P446</f>
        <v>6362.6</v>
      </c>
      <c r="Y446" s="33">
        <v>150</v>
      </c>
      <c r="Z446" s="31">
        <f t="shared" ref="Z446:Z457" si="71">Y446*P446</f>
        <v>6582</v>
      </c>
      <c r="AA446" s="31">
        <f t="shared" ref="AA446:AA457" si="72">R446+X446+Z446</f>
        <v>31593.599999999999</v>
      </c>
    </row>
    <row r="447" spans="1:27" s="135" customFormat="1" ht="15.75" x14ac:dyDescent="0.25">
      <c r="A447" s="51">
        <v>444</v>
      </c>
      <c r="B447" s="22">
        <v>46008</v>
      </c>
      <c r="C447" s="22">
        <v>46009</v>
      </c>
      <c r="D447" s="101">
        <v>251218002</v>
      </c>
      <c r="E447" s="24" t="s">
        <v>979</v>
      </c>
      <c r="F447" s="24" t="s">
        <v>980</v>
      </c>
      <c r="G447" s="24">
        <v>44</v>
      </c>
      <c r="H447" s="64">
        <v>119</v>
      </c>
      <c r="I447" s="43" t="s">
        <v>870</v>
      </c>
      <c r="J447" s="147" t="s">
        <v>23</v>
      </c>
      <c r="K447" s="43" t="s">
        <v>32</v>
      </c>
      <c r="L447" s="24" t="s">
        <v>379</v>
      </c>
      <c r="M447" s="24" t="s">
        <v>306</v>
      </c>
      <c r="N447" s="37">
        <v>60.2</v>
      </c>
      <c r="O447" s="37">
        <v>15.68</v>
      </c>
      <c r="P447" s="28">
        <f t="shared" si="68"/>
        <v>44.52</v>
      </c>
      <c r="Q447" s="29">
        <v>425</v>
      </c>
      <c r="R447" s="30">
        <f t="shared" si="69"/>
        <v>18921</v>
      </c>
      <c r="S447" s="29"/>
      <c r="T447" s="31"/>
      <c r="U447" s="38"/>
      <c r="V447" s="31" t="s">
        <v>24</v>
      </c>
      <c r="W447" s="29">
        <v>145</v>
      </c>
      <c r="X447" s="32">
        <f t="shared" si="70"/>
        <v>6455.4000000000005</v>
      </c>
      <c r="Y447" s="33">
        <v>150</v>
      </c>
      <c r="Z447" s="31">
        <f t="shared" si="71"/>
        <v>6678.0000000000009</v>
      </c>
      <c r="AA447" s="31">
        <f t="shared" si="72"/>
        <v>32054.400000000001</v>
      </c>
    </row>
    <row r="448" spans="1:27" s="130" customFormat="1" ht="15.75" x14ac:dyDescent="0.25">
      <c r="A448" s="51">
        <v>445</v>
      </c>
      <c r="B448" s="22">
        <v>46008</v>
      </c>
      <c r="C448" s="22">
        <v>46009</v>
      </c>
      <c r="D448" s="101">
        <v>251218003</v>
      </c>
      <c r="E448" s="24" t="s">
        <v>981</v>
      </c>
      <c r="F448" s="24" t="s">
        <v>982</v>
      </c>
      <c r="G448" s="24">
        <v>45</v>
      </c>
      <c r="H448" s="25">
        <v>53</v>
      </c>
      <c r="I448" s="152" t="s">
        <v>430</v>
      </c>
      <c r="J448" s="151" t="s">
        <v>23</v>
      </c>
      <c r="K448" s="43" t="s">
        <v>32</v>
      </c>
      <c r="L448" s="104" t="s">
        <v>444</v>
      </c>
      <c r="M448" s="24" t="s">
        <v>515</v>
      </c>
      <c r="N448" s="37">
        <v>60.94</v>
      </c>
      <c r="O448" s="37">
        <v>15.68</v>
      </c>
      <c r="P448" s="28">
        <f t="shared" si="68"/>
        <v>45.26</v>
      </c>
      <c r="Q448" s="29">
        <v>355</v>
      </c>
      <c r="R448" s="30">
        <f t="shared" si="69"/>
        <v>16067.3</v>
      </c>
      <c r="S448" s="29"/>
      <c r="T448" s="31"/>
      <c r="U448" s="34"/>
      <c r="V448" s="31" t="s">
        <v>24</v>
      </c>
      <c r="W448" s="29">
        <v>145</v>
      </c>
      <c r="X448" s="32">
        <f t="shared" si="70"/>
        <v>6562.7</v>
      </c>
      <c r="Y448" s="33">
        <v>200</v>
      </c>
      <c r="Z448" s="31">
        <f t="shared" si="71"/>
        <v>9052</v>
      </c>
      <c r="AA448" s="31">
        <f t="shared" si="72"/>
        <v>31682</v>
      </c>
    </row>
    <row r="449" spans="1:27" s="130" customFormat="1" ht="15.75" x14ac:dyDescent="0.25">
      <c r="A449" s="51">
        <v>446</v>
      </c>
      <c r="B449" s="22">
        <v>46008</v>
      </c>
      <c r="C449" s="22">
        <v>46009</v>
      </c>
      <c r="D449" s="101">
        <v>251218004</v>
      </c>
      <c r="E449" s="24" t="s">
        <v>983</v>
      </c>
      <c r="F449" s="24" t="s">
        <v>982</v>
      </c>
      <c r="G449" s="24">
        <v>37</v>
      </c>
      <c r="H449" s="25">
        <v>53</v>
      </c>
      <c r="I449" s="152" t="s">
        <v>430</v>
      </c>
      <c r="J449" s="151" t="s">
        <v>23</v>
      </c>
      <c r="K449" s="43" t="s">
        <v>32</v>
      </c>
      <c r="L449" s="104" t="s">
        <v>41</v>
      </c>
      <c r="M449" s="24" t="s">
        <v>58</v>
      </c>
      <c r="N449" s="24">
        <v>49.42</v>
      </c>
      <c r="O449" s="37">
        <v>11.92</v>
      </c>
      <c r="P449" s="28">
        <f t="shared" si="68"/>
        <v>37.5</v>
      </c>
      <c r="Q449" s="29">
        <v>255</v>
      </c>
      <c r="R449" s="30">
        <f t="shared" si="69"/>
        <v>9562.5</v>
      </c>
      <c r="S449" s="29"/>
      <c r="T449" s="31"/>
      <c r="U449" s="34"/>
      <c r="V449" s="31" t="s">
        <v>24</v>
      </c>
      <c r="W449" s="29">
        <v>145</v>
      </c>
      <c r="X449" s="32">
        <f t="shared" si="70"/>
        <v>5437.5</v>
      </c>
      <c r="Y449" s="33">
        <v>200</v>
      </c>
      <c r="Z449" s="31">
        <f t="shared" si="71"/>
        <v>7500</v>
      </c>
      <c r="AA449" s="31">
        <f t="shared" si="72"/>
        <v>22500</v>
      </c>
    </row>
    <row r="450" spans="1:27" s="135" customFormat="1" ht="15.75" x14ac:dyDescent="0.25">
      <c r="A450" s="51">
        <v>447</v>
      </c>
      <c r="B450" s="22">
        <v>46008</v>
      </c>
      <c r="C450" s="22">
        <v>46009</v>
      </c>
      <c r="D450" s="101">
        <v>251218005</v>
      </c>
      <c r="E450" s="24" t="s">
        <v>984</v>
      </c>
      <c r="F450" s="24" t="s">
        <v>985</v>
      </c>
      <c r="G450" s="24">
        <v>44</v>
      </c>
      <c r="H450" s="25">
        <v>53</v>
      </c>
      <c r="I450" s="152" t="s">
        <v>430</v>
      </c>
      <c r="J450" s="151" t="s">
        <v>23</v>
      </c>
      <c r="K450" s="43" t="s">
        <v>32</v>
      </c>
      <c r="L450" s="101" t="s">
        <v>40</v>
      </c>
      <c r="M450" s="24" t="s">
        <v>515</v>
      </c>
      <c r="N450" s="37">
        <v>59.78</v>
      </c>
      <c r="O450" s="37">
        <v>15</v>
      </c>
      <c r="P450" s="28">
        <f t="shared" si="68"/>
        <v>44.78</v>
      </c>
      <c r="Q450" s="29">
        <v>355</v>
      </c>
      <c r="R450" s="30">
        <f t="shared" si="69"/>
        <v>15896.9</v>
      </c>
      <c r="S450" s="24"/>
      <c r="T450" s="31"/>
      <c r="U450" s="38"/>
      <c r="V450" s="31" t="s">
        <v>24</v>
      </c>
      <c r="W450" s="29">
        <v>145</v>
      </c>
      <c r="X450" s="32">
        <f t="shared" si="70"/>
        <v>6493.1</v>
      </c>
      <c r="Y450" s="33">
        <v>200</v>
      </c>
      <c r="Z450" s="31">
        <f t="shared" si="71"/>
        <v>8956</v>
      </c>
      <c r="AA450" s="31">
        <f t="shared" si="72"/>
        <v>31346</v>
      </c>
    </row>
    <row r="451" spans="1:27" s="135" customFormat="1" ht="15.75" x14ac:dyDescent="0.25">
      <c r="A451" s="51">
        <v>448</v>
      </c>
      <c r="B451" s="22">
        <v>46008</v>
      </c>
      <c r="C451" s="22">
        <v>46009</v>
      </c>
      <c r="D451" s="101">
        <v>251218006</v>
      </c>
      <c r="E451" s="24" t="s">
        <v>986</v>
      </c>
      <c r="F451" s="24" t="s">
        <v>987</v>
      </c>
      <c r="G451" s="24">
        <v>37</v>
      </c>
      <c r="H451" s="25">
        <v>53</v>
      </c>
      <c r="I451" s="152" t="s">
        <v>430</v>
      </c>
      <c r="J451" s="151" t="s">
        <v>23</v>
      </c>
      <c r="K451" s="43" t="s">
        <v>32</v>
      </c>
      <c r="L451" s="104" t="s">
        <v>286</v>
      </c>
      <c r="M451" s="24" t="s">
        <v>58</v>
      </c>
      <c r="N451" s="37">
        <v>48.86</v>
      </c>
      <c r="O451" s="37">
        <v>11.48</v>
      </c>
      <c r="P451" s="28">
        <f t="shared" si="68"/>
        <v>37.379999999999995</v>
      </c>
      <c r="Q451" s="24">
        <v>255</v>
      </c>
      <c r="R451" s="30">
        <f t="shared" si="69"/>
        <v>9531.9</v>
      </c>
      <c r="S451" s="24"/>
      <c r="T451" s="31"/>
      <c r="U451" s="38"/>
      <c r="V451" s="31" t="s">
        <v>24</v>
      </c>
      <c r="W451" s="29">
        <v>145</v>
      </c>
      <c r="X451" s="32">
        <f t="shared" si="70"/>
        <v>5420.0999999999995</v>
      </c>
      <c r="Y451" s="33">
        <v>200</v>
      </c>
      <c r="Z451" s="31">
        <f t="shared" si="71"/>
        <v>7475.9999999999991</v>
      </c>
      <c r="AA451" s="31">
        <f t="shared" si="72"/>
        <v>22428</v>
      </c>
    </row>
    <row r="452" spans="1:27" s="135" customFormat="1" ht="15.75" x14ac:dyDescent="0.25">
      <c r="A452" s="51">
        <v>449</v>
      </c>
      <c r="B452" s="22">
        <v>46008</v>
      </c>
      <c r="C452" s="22">
        <v>46009</v>
      </c>
      <c r="D452" s="101">
        <v>251218007</v>
      </c>
      <c r="E452" s="24" t="s">
        <v>988</v>
      </c>
      <c r="F452" s="24" t="s">
        <v>989</v>
      </c>
      <c r="G452" s="24">
        <v>41</v>
      </c>
      <c r="H452" s="64">
        <v>129</v>
      </c>
      <c r="I452" s="43" t="s">
        <v>990</v>
      </c>
      <c r="J452" s="147" t="s">
        <v>23</v>
      </c>
      <c r="K452" s="43" t="s">
        <v>32</v>
      </c>
      <c r="L452" s="104" t="s">
        <v>482</v>
      </c>
      <c r="M452" s="24" t="s">
        <v>306</v>
      </c>
      <c r="N452" s="37">
        <v>55.64</v>
      </c>
      <c r="O452" s="37">
        <v>14.18</v>
      </c>
      <c r="P452" s="28">
        <f t="shared" si="68"/>
        <v>41.46</v>
      </c>
      <c r="Q452" s="24">
        <v>415</v>
      </c>
      <c r="R452" s="30">
        <f t="shared" si="69"/>
        <v>17205.900000000001</v>
      </c>
      <c r="S452" s="24"/>
      <c r="T452" s="31"/>
      <c r="U452" s="38"/>
      <c r="V452" s="31" t="s">
        <v>24</v>
      </c>
      <c r="W452" s="29">
        <v>145</v>
      </c>
      <c r="X452" s="32">
        <f t="shared" si="70"/>
        <v>6011.7</v>
      </c>
      <c r="Y452" s="33">
        <v>230</v>
      </c>
      <c r="Z452" s="31">
        <f t="shared" si="71"/>
        <v>9535.8000000000011</v>
      </c>
      <c r="AA452" s="31">
        <f t="shared" si="72"/>
        <v>32753.4</v>
      </c>
    </row>
    <row r="453" spans="1:27" s="135" customFormat="1" ht="15.75" x14ac:dyDescent="0.25">
      <c r="A453" s="51">
        <v>450</v>
      </c>
      <c r="B453" s="22">
        <v>46008</v>
      </c>
      <c r="C453" s="22">
        <v>46009</v>
      </c>
      <c r="D453" s="101">
        <v>251218008</v>
      </c>
      <c r="E453" s="24" t="s">
        <v>991</v>
      </c>
      <c r="F453" s="24" t="s">
        <v>992</v>
      </c>
      <c r="G453" s="24">
        <v>43</v>
      </c>
      <c r="H453" s="64">
        <v>129</v>
      </c>
      <c r="I453" s="43" t="s">
        <v>990</v>
      </c>
      <c r="J453" s="147" t="s">
        <v>23</v>
      </c>
      <c r="K453" s="43" t="s">
        <v>32</v>
      </c>
      <c r="L453" s="108" t="s">
        <v>485</v>
      </c>
      <c r="M453" s="24" t="s">
        <v>306</v>
      </c>
      <c r="N453" s="37">
        <v>59.04</v>
      </c>
      <c r="O453" s="37">
        <v>15.4</v>
      </c>
      <c r="P453" s="28">
        <f t="shared" si="68"/>
        <v>43.64</v>
      </c>
      <c r="Q453" s="24">
        <v>415</v>
      </c>
      <c r="R453" s="30">
        <f t="shared" si="69"/>
        <v>18110.599999999999</v>
      </c>
      <c r="S453" s="24"/>
      <c r="T453" s="31"/>
      <c r="U453" s="38"/>
      <c r="V453" s="31" t="s">
        <v>24</v>
      </c>
      <c r="W453" s="29">
        <v>145</v>
      </c>
      <c r="X453" s="32">
        <f t="shared" si="70"/>
        <v>6327.8</v>
      </c>
      <c r="Y453" s="33">
        <v>230</v>
      </c>
      <c r="Z453" s="31">
        <f t="shared" si="71"/>
        <v>10037.200000000001</v>
      </c>
      <c r="AA453" s="31">
        <f t="shared" si="72"/>
        <v>34475.599999999999</v>
      </c>
    </row>
    <row r="454" spans="1:27" s="135" customFormat="1" ht="15.75" x14ac:dyDescent="0.25">
      <c r="A454" s="51">
        <v>451</v>
      </c>
      <c r="B454" s="22">
        <v>46008</v>
      </c>
      <c r="C454" s="22">
        <v>46009</v>
      </c>
      <c r="D454" s="101">
        <v>251218009</v>
      </c>
      <c r="E454" s="24" t="s">
        <v>993</v>
      </c>
      <c r="F454" s="24" t="s">
        <v>994</v>
      </c>
      <c r="G454" s="24">
        <v>45</v>
      </c>
      <c r="H454" s="25">
        <v>53</v>
      </c>
      <c r="I454" s="152" t="s">
        <v>430</v>
      </c>
      <c r="J454" s="151" t="s">
        <v>23</v>
      </c>
      <c r="K454" s="43" t="s">
        <v>32</v>
      </c>
      <c r="L454" s="104" t="s">
        <v>54</v>
      </c>
      <c r="M454" s="24" t="s">
        <v>515</v>
      </c>
      <c r="N454" s="37">
        <v>60.14</v>
      </c>
      <c r="O454" s="24">
        <v>14.88</v>
      </c>
      <c r="P454" s="28">
        <f t="shared" si="68"/>
        <v>45.26</v>
      </c>
      <c r="Q454" s="24">
        <v>355</v>
      </c>
      <c r="R454" s="30">
        <f t="shared" si="69"/>
        <v>16067.3</v>
      </c>
      <c r="S454" s="24"/>
      <c r="T454" s="31"/>
      <c r="U454" s="38"/>
      <c r="V454" s="31" t="s">
        <v>24</v>
      </c>
      <c r="W454" s="29">
        <v>145</v>
      </c>
      <c r="X454" s="32">
        <f t="shared" si="70"/>
        <v>6562.7</v>
      </c>
      <c r="Y454" s="33">
        <v>200</v>
      </c>
      <c r="Z454" s="31">
        <f t="shared" si="71"/>
        <v>9052</v>
      </c>
      <c r="AA454" s="31">
        <f t="shared" si="72"/>
        <v>31682</v>
      </c>
    </row>
    <row r="455" spans="1:27" s="135" customFormat="1" ht="15.75" x14ac:dyDescent="0.25">
      <c r="A455" s="51">
        <v>452</v>
      </c>
      <c r="B455" s="22">
        <v>46008</v>
      </c>
      <c r="C455" s="22">
        <v>46009</v>
      </c>
      <c r="D455" s="101">
        <v>251218010</v>
      </c>
      <c r="E455" s="24" t="s">
        <v>995</v>
      </c>
      <c r="F455" s="24" t="s">
        <v>996</v>
      </c>
      <c r="G455" s="24">
        <v>45</v>
      </c>
      <c r="H455" s="25">
        <v>84</v>
      </c>
      <c r="I455" s="26" t="s">
        <v>50</v>
      </c>
      <c r="J455" s="151" t="s">
        <v>23</v>
      </c>
      <c r="K455" s="43" t="s">
        <v>32</v>
      </c>
      <c r="L455" s="104" t="s">
        <v>39</v>
      </c>
      <c r="M455" s="24" t="s">
        <v>36</v>
      </c>
      <c r="N455" s="37">
        <v>61.62</v>
      </c>
      <c r="O455" s="37">
        <v>15.72</v>
      </c>
      <c r="P455" s="28">
        <f t="shared" si="68"/>
        <v>45.9</v>
      </c>
      <c r="Q455" s="24">
        <v>515</v>
      </c>
      <c r="R455" s="30">
        <f t="shared" si="69"/>
        <v>23638.5</v>
      </c>
      <c r="S455" s="24"/>
      <c r="T455" s="31"/>
      <c r="U455" s="38"/>
      <c r="V455" s="31" t="s">
        <v>24</v>
      </c>
      <c r="W455" s="29">
        <v>145</v>
      </c>
      <c r="X455" s="32">
        <f t="shared" si="70"/>
        <v>6655.5</v>
      </c>
      <c r="Y455" s="33">
        <v>230</v>
      </c>
      <c r="Z455" s="31">
        <f t="shared" si="71"/>
        <v>10557</v>
      </c>
      <c r="AA455" s="31">
        <f t="shared" si="72"/>
        <v>40851</v>
      </c>
    </row>
    <row r="456" spans="1:27" s="130" customFormat="1" ht="15.75" x14ac:dyDescent="0.25">
      <c r="A456" s="51">
        <v>453</v>
      </c>
      <c r="B456" s="22">
        <v>46008</v>
      </c>
      <c r="C456" s="22">
        <v>46009</v>
      </c>
      <c r="D456" s="101">
        <v>251218011</v>
      </c>
      <c r="E456" s="24" t="s">
        <v>997</v>
      </c>
      <c r="F456" s="24" t="s">
        <v>998</v>
      </c>
      <c r="G456" s="24">
        <v>59</v>
      </c>
      <c r="H456" s="64">
        <v>126</v>
      </c>
      <c r="I456" s="43" t="s">
        <v>898</v>
      </c>
      <c r="J456" s="147" t="s">
        <v>23</v>
      </c>
      <c r="K456" s="43" t="s">
        <v>32</v>
      </c>
      <c r="L456" s="24" t="s">
        <v>46</v>
      </c>
      <c r="M456" s="24" t="s">
        <v>34</v>
      </c>
      <c r="N456" s="37">
        <v>76.62</v>
      </c>
      <c r="O456" s="37">
        <v>17.32</v>
      </c>
      <c r="P456" s="28">
        <f t="shared" si="68"/>
        <v>59.300000000000004</v>
      </c>
      <c r="Q456" s="29">
        <v>305</v>
      </c>
      <c r="R456" s="30">
        <f t="shared" si="69"/>
        <v>18086.5</v>
      </c>
      <c r="S456" s="29"/>
      <c r="T456" s="31"/>
      <c r="U456" s="34"/>
      <c r="V456" s="31" t="s">
        <v>24</v>
      </c>
      <c r="W456" s="29">
        <v>145</v>
      </c>
      <c r="X456" s="32">
        <f t="shared" si="70"/>
        <v>8598.5</v>
      </c>
      <c r="Y456" s="33">
        <v>260</v>
      </c>
      <c r="Z456" s="31">
        <f t="shared" si="71"/>
        <v>15418.000000000002</v>
      </c>
      <c r="AA456" s="31">
        <f t="shared" si="72"/>
        <v>42103</v>
      </c>
    </row>
    <row r="457" spans="1:27" s="130" customFormat="1" ht="15.75" x14ac:dyDescent="0.25">
      <c r="A457" s="51">
        <v>454</v>
      </c>
      <c r="B457" s="22">
        <v>46008</v>
      </c>
      <c r="C457" s="22">
        <v>46009</v>
      </c>
      <c r="D457" s="101">
        <v>251218012</v>
      </c>
      <c r="E457" s="24" t="s">
        <v>999</v>
      </c>
      <c r="F457" s="24" t="s">
        <v>1000</v>
      </c>
      <c r="G457" s="24">
        <v>46</v>
      </c>
      <c r="H457" s="25">
        <v>84</v>
      </c>
      <c r="I457" s="26" t="s">
        <v>50</v>
      </c>
      <c r="J457" s="151" t="s">
        <v>23</v>
      </c>
      <c r="K457" s="43" t="s">
        <v>32</v>
      </c>
      <c r="L457" s="104" t="s">
        <v>514</v>
      </c>
      <c r="M457" s="24" t="s">
        <v>36</v>
      </c>
      <c r="N457" s="37">
        <v>61.96</v>
      </c>
      <c r="O457" s="37">
        <v>15.3</v>
      </c>
      <c r="P457" s="28">
        <f t="shared" si="68"/>
        <v>46.66</v>
      </c>
      <c r="Q457" s="29">
        <v>515</v>
      </c>
      <c r="R457" s="30">
        <f t="shared" si="69"/>
        <v>24029.899999999998</v>
      </c>
      <c r="S457" s="29"/>
      <c r="T457" s="31"/>
      <c r="U457" s="34"/>
      <c r="V457" s="31" t="s">
        <v>24</v>
      </c>
      <c r="W457" s="29">
        <v>145</v>
      </c>
      <c r="X457" s="32">
        <f t="shared" si="70"/>
        <v>6765.7</v>
      </c>
      <c r="Y457" s="33">
        <v>230</v>
      </c>
      <c r="Z457" s="31">
        <f t="shared" si="71"/>
        <v>10731.8</v>
      </c>
      <c r="AA457" s="31">
        <f t="shared" si="72"/>
        <v>41527.399999999994</v>
      </c>
    </row>
    <row r="458" spans="1:27" s="34" customFormat="1" ht="15.75" x14ac:dyDescent="0.25">
      <c r="A458" s="51">
        <v>455</v>
      </c>
      <c r="B458" s="22">
        <v>46009</v>
      </c>
      <c r="C458" s="22">
        <v>46009</v>
      </c>
      <c r="D458" s="105" t="s">
        <v>1001</v>
      </c>
      <c r="E458" s="24"/>
      <c r="F458" s="24"/>
      <c r="G458" s="24"/>
      <c r="H458" s="54"/>
      <c r="I458" s="55" t="s">
        <v>48</v>
      </c>
      <c r="J458" s="154" t="s">
        <v>23</v>
      </c>
      <c r="K458" s="45" t="s">
        <v>32</v>
      </c>
      <c r="L458" s="104" t="s">
        <v>134</v>
      </c>
      <c r="M458" s="24" t="s">
        <v>49</v>
      </c>
      <c r="N458" s="24">
        <v>25.84</v>
      </c>
      <c r="O458" s="24">
        <v>13.84</v>
      </c>
      <c r="P458" s="28">
        <f t="shared" si="68"/>
        <v>12</v>
      </c>
      <c r="Q458" s="29">
        <v>0</v>
      </c>
      <c r="R458" s="30">
        <f t="shared" si="69"/>
        <v>0</v>
      </c>
      <c r="S458" s="29"/>
      <c r="T458" s="31"/>
      <c r="V458" s="31" t="s">
        <v>24</v>
      </c>
      <c r="W458" s="29"/>
      <c r="X458" s="32">
        <f t="shared" ref="X458:X464" si="73">W458*P458</f>
        <v>0</v>
      </c>
      <c r="Y458" s="33"/>
      <c r="Z458" s="31">
        <f t="shared" ref="Z458:Z464" si="74">Y458*P458</f>
        <v>0</v>
      </c>
      <c r="AA458" s="31">
        <f t="shared" ref="AA458:AA464" si="75">R458+X458+Z458</f>
        <v>0</v>
      </c>
    </row>
    <row r="459" spans="1:27" s="34" customFormat="1" ht="15.75" x14ac:dyDescent="0.25">
      <c r="A459" s="51">
        <v>456</v>
      </c>
      <c r="B459" s="22">
        <v>46009</v>
      </c>
      <c r="C459" s="22">
        <v>46009</v>
      </c>
      <c r="D459" s="105" t="s">
        <v>1002</v>
      </c>
      <c r="E459" s="24"/>
      <c r="F459" s="24"/>
      <c r="G459" s="24"/>
      <c r="H459" s="54"/>
      <c r="I459" s="55" t="s">
        <v>48</v>
      </c>
      <c r="J459" s="154" t="s">
        <v>23</v>
      </c>
      <c r="K459" s="45" t="s">
        <v>32</v>
      </c>
      <c r="L459" s="104" t="s">
        <v>127</v>
      </c>
      <c r="M459" s="24" t="s">
        <v>49</v>
      </c>
      <c r="N459" s="24">
        <v>24.74</v>
      </c>
      <c r="O459" s="24">
        <v>14.52</v>
      </c>
      <c r="P459" s="28">
        <f t="shared" si="68"/>
        <v>10.219999999999999</v>
      </c>
      <c r="Q459" s="29">
        <v>0</v>
      </c>
      <c r="R459" s="30">
        <f t="shared" si="69"/>
        <v>0</v>
      </c>
      <c r="S459" s="29"/>
      <c r="T459" s="31"/>
      <c r="V459" s="31" t="s">
        <v>24</v>
      </c>
      <c r="W459" s="29"/>
      <c r="X459" s="32">
        <f t="shared" si="73"/>
        <v>0</v>
      </c>
      <c r="Y459" s="33"/>
      <c r="Z459" s="33">
        <f t="shared" si="74"/>
        <v>0</v>
      </c>
      <c r="AA459" s="31">
        <f t="shared" si="75"/>
        <v>0</v>
      </c>
    </row>
    <row r="460" spans="1:27" s="34" customFormat="1" ht="15.75" x14ac:dyDescent="0.25">
      <c r="A460" s="51">
        <v>457</v>
      </c>
      <c r="B460" s="22">
        <v>46009</v>
      </c>
      <c r="C460" s="22">
        <v>46009</v>
      </c>
      <c r="D460" s="101" t="s">
        <v>1003</v>
      </c>
      <c r="E460" s="24"/>
      <c r="F460" s="24"/>
      <c r="G460" s="24"/>
      <c r="H460" s="45"/>
      <c r="I460" s="55" t="s">
        <v>48</v>
      </c>
      <c r="J460" s="154" t="s">
        <v>23</v>
      </c>
      <c r="K460" s="45" t="s">
        <v>32</v>
      </c>
      <c r="L460" s="104" t="s">
        <v>790</v>
      </c>
      <c r="M460" s="24" t="s">
        <v>49</v>
      </c>
      <c r="N460" s="24">
        <v>21.73</v>
      </c>
      <c r="O460" s="24">
        <v>14.37</v>
      </c>
      <c r="P460" s="28">
        <f t="shared" si="68"/>
        <v>7.3600000000000012</v>
      </c>
      <c r="Q460" s="29">
        <v>0</v>
      </c>
      <c r="R460" s="30">
        <f t="shared" si="69"/>
        <v>0</v>
      </c>
      <c r="S460" s="29"/>
      <c r="T460" s="31"/>
      <c r="V460" s="31" t="s">
        <v>24</v>
      </c>
      <c r="W460" s="29"/>
      <c r="X460" s="32">
        <f t="shared" si="73"/>
        <v>0</v>
      </c>
      <c r="Y460" s="33"/>
      <c r="Z460" s="33">
        <f t="shared" si="74"/>
        <v>0</v>
      </c>
      <c r="AA460" s="31">
        <f t="shared" si="75"/>
        <v>0</v>
      </c>
    </row>
    <row r="461" spans="1:27" s="34" customFormat="1" ht="15.75" x14ac:dyDescent="0.25">
      <c r="A461" s="51">
        <v>458</v>
      </c>
      <c r="B461" s="22">
        <v>46009</v>
      </c>
      <c r="C461" s="22">
        <v>46010</v>
      </c>
      <c r="D461" s="101" t="s">
        <v>1004</v>
      </c>
      <c r="E461" s="24"/>
      <c r="F461" s="24"/>
      <c r="G461" s="24"/>
      <c r="H461" s="54"/>
      <c r="I461" s="55" t="s">
        <v>1005</v>
      </c>
      <c r="J461" s="154" t="s">
        <v>23</v>
      </c>
      <c r="K461" s="45" t="s">
        <v>32</v>
      </c>
      <c r="L461" s="104" t="s">
        <v>1006</v>
      </c>
      <c r="M461" s="24" t="s">
        <v>49</v>
      </c>
      <c r="N461" s="24">
        <v>49.72</v>
      </c>
      <c r="O461" s="24">
        <v>17.440000000000001</v>
      </c>
      <c r="P461" s="28">
        <f t="shared" si="68"/>
        <v>32.28</v>
      </c>
      <c r="Q461" s="29">
        <v>0</v>
      </c>
      <c r="R461" s="30">
        <f t="shared" si="69"/>
        <v>0</v>
      </c>
      <c r="S461" s="29"/>
      <c r="T461" s="31"/>
      <c r="V461" s="31" t="s">
        <v>24</v>
      </c>
      <c r="W461" s="29"/>
      <c r="X461" s="32">
        <f t="shared" si="73"/>
        <v>0</v>
      </c>
      <c r="Y461" s="33"/>
      <c r="Z461" s="33">
        <f t="shared" si="74"/>
        <v>0</v>
      </c>
      <c r="AA461" s="31">
        <f t="shared" si="75"/>
        <v>0</v>
      </c>
    </row>
    <row r="462" spans="1:27" s="34" customFormat="1" ht="15.75" x14ac:dyDescent="0.25">
      <c r="A462" s="51">
        <v>459</v>
      </c>
      <c r="B462" s="22">
        <v>46009</v>
      </c>
      <c r="C462" s="22">
        <v>46010</v>
      </c>
      <c r="D462" s="101" t="s">
        <v>1007</v>
      </c>
      <c r="E462" s="24"/>
      <c r="F462" s="24"/>
      <c r="G462" s="24"/>
      <c r="H462" s="45"/>
      <c r="I462" s="45" t="s">
        <v>1005</v>
      </c>
      <c r="J462" s="154" t="s">
        <v>23</v>
      </c>
      <c r="K462" s="45" t="s">
        <v>32</v>
      </c>
      <c r="L462" s="101" t="s">
        <v>1008</v>
      </c>
      <c r="M462" s="24" t="s">
        <v>49</v>
      </c>
      <c r="N462" s="37">
        <v>49.1</v>
      </c>
      <c r="O462" s="24">
        <v>18.16</v>
      </c>
      <c r="P462" s="28">
        <f t="shared" si="68"/>
        <v>30.94</v>
      </c>
      <c r="Q462" s="29">
        <v>0</v>
      </c>
      <c r="R462" s="30">
        <f t="shared" si="69"/>
        <v>0</v>
      </c>
      <c r="S462" s="29"/>
      <c r="T462" s="31"/>
      <c r="V462" s="31" t="s">
        <v>24</v>
      </c>
      <c r="W462" s="29"/>
      <c r="X462" s="32">
        <f t="shared" si="73"/>
        <v>0</v>
      </c>
      <c r="Y462" s="33"/>
      <c r="Z462" s="33">
        <f t="shared" si="74"/>
        <v>0</v>
      </c>
      <c r="AA462" s="31">
        <f t="shared" si="75"/>
        <v>0</v>
      </c>
    </row>
    <row r="463" spans="1:27" s="34" customFormat="1" ht="15.75" x14ac:dyDescent="0.25">
      <c r="A463" s="51">
        <v>460</v>
      </c>
      <c r="B463" s="22">
        <v>46010</v>
      </c>
      <c r="C463" s="22">
        <v>46010</v>
      </c>
      <c r="D463" s="101" t="s">
        <v>1009</v>
      </c>
      <c r="E463" s="24"/>
      <c r="F463" s="24"/>
      <c r="G463" s="24"/>
      <c r="H463" s="45"/>
      <c r="I463" s="45" t="s">
        <v>48</v>
      </c>
      <c r="J463" s="154" t="s">
        <v>23</v>
      </c>
      <c r="K463" s="45" t="s">
        <v>32</v>
      </c>
      <c r="L463" s="101" t="s">
        <v>790</v>
      </c>
      <c r="M463" s="24" t="s">
        <v>31</v>
      </c>
      <c r="N463" s="37">
        <v>32.68</v>
      </c>
      <c r="O463" s="24">
        <v>14.18</v>
      </c>
      <c r="P463" s="28">
        <f t="shared" si="68"/>
        <v>18.5</v>
      </c>
      <c r="Q463" s="29">
        <v>0</v>
      </c>
      <c r="R463" s="30">
        <f t="shared" si="69"/>
        <v>0</v>
      </c>
      <c r="S463" s="29"/>
      <c r="T463" s="31"/>
      <c r="V463" s="31" t="s">
        <v>24</v>
      </c>
      <c r="W463" s="29"/>
      <c r="X463" s="32">
        <f t="shared" si="73"/>
        <v>0</v>
      </c>
      <c r="Y463" s="33"/>
      <c r="Z463" s="33">
        <f t="shared" si="74"/>
        <v>0</v>
      </c>
      <c r="AA463" s="31">
        <f t="shared" si="75"/>
        <v>0</v>
      </c>
    </row>
    <row r="464" spans="1:27" s="34" customFormat="1" ht="15.75" x14ac:dyDescent="0.25">
      <c r="A464" s="51">
        <v>461</v>
      </c>
      <c r="B464" s="22">
        <v>46010</v>
      </c>
      <c r="C464" s="22">
        <v>46010</v>
      </c>
      <c r="D464" s="101" t="s">
        <v>1010</v>
      </c>
      <c r="E464" s="24"/>
      <c r="F464" s="24"/>
      <c r="G464" s="24"/>
      <c r="H464" s="45"/>
      <c r="I464" s="45" t="s">
        <v>48</v>
      </c>
      <c r="J464" s="154" t="s">
        <v>23</v>
      </c>
      <c r="K464" s="45" t="s">
        <v>32</v>
      </c>
      <c r="L464" s="101" t="s">
        <v>60</v>
      </c>
      <c r="M464" s="24" t="s">
        <v>31</v>
      </c>
      <c r="N464" s="37">
        <v>27.5</v>
      </c>
      <c r="O464" s="24">
        <v>15.06</v>
      </c>
      <c r="P464" s="28">
        <f t="shared" si="68"/>
        <v>12.44</v>
      </c>
      <c r="Q464" s="29">
        <v>0</v>
      </c>
      <c r="R464" s="30">
        <f t="shared" si="69"/>
        <v>0</v>
      </c>
      <c r="S464" s="29"/>
      <c r="T464" s="31"/>
      <c r="V464" s="31" t="s">
        <v>24</v>
      </c>
      <c r="W464" s="29"/>
      <c r="X464" s="32">
        <f t="shared" si="73"/>
        <v>0</v>
      </c>
      <c r="Y464" s="33"/>
      <c r="Z464" s="33">
        <f t="shared" si="74"/>
        <v>0</v>
      </c>
      <c r="AA464" s="31">
        <f t="shared" si="75"/>
        <v>0</v>
      </c>
    </row>
    <row r="465" spans="1:27" s="34" customFormat="1" ht="15.75" x14ac:dyDescent="0.25">
      <c r="A465" s="51">
        <v>462</v>
      </c>
      <c r="B465" s="22">
        <v>46011</v>
      </c>
      <c r="C465" s="22">
        <v>46011</v>
      </c>
      <c r="D465" s="105" t="s">
        <v>1011</v>
      </c>
      <c r="E465" s="24"/>
      <c r="F465" s="24"/>
      <c r="G465" s="24"/>
      <c r="H465" s="54"/>
      <c r="I465" s="55" t="s">
        <v>48</v>
      </c>
      <c r="J465" s="154" t="s">
        <v>23</v>
      </c>
      <c r="K465" s="45" t="s">
        <v>32</v>
      </c>
      <c r="L465" s="104" t="s">
        <v>127</v>
      </c>
      <c r="M465" s="24" t="s">
        <v>49</v>
      </c>
      <c r="N465" s="24">
        <v>23.8</v>
      </c>
      <c r="O465" s="24">
        <v>14.04</v>
      </c>
      <c r="P465" s="28">
        <f t="shared" si="68"/>
        <v>9.7600000000000016</v>
      </c>
      <c r="Q465" s="29">
        <v>0</v>
      </c>
      <c r="R465" s="30">
        <f t="shared" si="69"/>
        <v>0</v>
      </c>
      <c r="S465" s="29"/>
      <c r="T465" s="31"/>
      <c r="V465" s="31" t="s">
        <v>24</v>
      </c>
      <c r="W465" s="29"/>
      <c r="X465" s="32">
        <f t="shared" ref="X465:X474" si="76">W465*P465</f>
        <v>0</v>
      </c>
      <c r="Y465" s="33"/>
      <c r="Z465" s="31">
        <f t="shared" ref="Z465:Z474" si="77">Y465*P465</f>
        <v>0</v>
      </c>
      <c r="AA465" s="31">
        <f t="shared" ref="AA465:AA474" si="78">R465+X465+Z465</f>
        <v>0</v>
      </c>
    </row>
    <row r="466" spans="1:27" s="34" customFormat="1" ht="15.75" x14ac:dyDescent="0.25">
      <c r="A466" s="51">
        <v>463</v>
      </c>
      <c r="B466" s="22">
        <v>46011</v>
      </c>
      <c r="C466" s="22">
        <v>46011</v>
      </c>
      <c r="D466" s="105" t="s">
        <v>1012</v>
      </c>
      <c r="E466" s="24"/>
      <c r="F466" s="24"/>
      <c r="G466" s="24"/>
      <c r="H466" s="54"/>
      <c r="I466" s="55" t="s">
        <v>48</v>
      </c>
      <c r="J466" s="154" t="s">
        <v>23</v>
      </c>
      <c r="K466" s="45" t="s">
        <v>32</v>
      </c>
      <c r="L466" s="104" t="s">
        <v>134</v>
      </c>
      <c r="M466" s="24" t="s">
        <v>49</v>
      </c>
      <c r="N466" s="24">
        <v>23.98</v>
      </c>
      <c r="O466" s="24">
        <v>13.8</v>
      </c>
      <c r="P466" s="28">
        <f t="shared" si="68"/>
        <v>10.18</v>
      </c>
      <c r="Q466" s="29">
        <v>0</v>
      </c>
      <c r="R466" s="30">
        <f t="shared" si="69"/>
        <v>0</v>
      </c>
      <c r="S466" s="29"/>
      <c r="T466" s="31"/>
      <c r="V466" s="31" t="s">
        <v>24</v>
      </c>
      <c r="W466" s="29"/>
      <c r="X466" s="32">
        <f t="shared" si="76"/>
        <v>0</v>
      </c>
      <c r="Y466" s="33"/>
      <c r="Z466" s="33">
        <f t="shared" si="77"/>
        <v>0</v>
      </c>
      <c r="AA466" s="31">
        <f t="shared" si="78"/>
        <v>0</v>
      </c>
    </row>
    <row r="467" spans="1:27" s="34" customFormat="1" ht="15.75" x14ac:dyDescent="0.25">
      <c r="A467" s="51">
        <v>464</v>
      </c>
      <c r="B467" s="22">
        <v>46011</v>
      </c>
      <c r="C467" s="22">
        <v>46011</v>
      </c>
      <c r="D467" s="105" t="s">
        <v>1013</v>
      </c>
      <c r="E467" s="24"/>
      <c r="F467" s="24"/>
      <c r="G467" s="24"/>
      <c r="H467" s="45"/>
      <c r="I467" s="55" t="s">
        <v>48</v>
      </c>
      <c r="J467" s="154" t="s">
        <v>23</v>
      </c>
      <c r="K467" s="45" t="s">
        <v>32</v>
      </c>
      <c r="L467" s="104" t="s">
        <v>651</v>
      </c>
      <c r="M467" s="24" t="s">
        <v>49</v>
      </c>
      <c r="N467" s="24">
        <v>25.64</v>
      </c>
      <c r="O467" s="24">
        <v>14.02</v>
      </c>
      <c r="P467" s="28">
        <f t="shared" si="68"/>
        <v>11.620000000000001</v>
      </c>
      <c r="Q467" s="29">
        <v>0</v>
      </c>
      <c r="R467" s="30">
        <f t="shared" si="69"/>
        <v>0</v>
      </c>
      <c r="S467" s="29"/>
      <c r="T467" s="31"/>
      <c r="V467" s="31" t="s">
        <v>24</v>
      </c>
      <c r="W467" s="29"/>
      <c r="X467" s="32">
        <f t="shared" si="76"/>
        <v>0</v>
      </c>
      <c r="Y467" s="33"/>
      <c r="Z467" s="33">
        <f t="shared" si="77"/>
        <v>0</v>
      </c>
      <c r="AA467" s="31">
        <f t="shared" si="78"/>
        <v>0</v>
      </c>
    </row>
    <row r="468" spans="1:27" s="34" customFormat="1" ht="15.75" x14ac:dyDescent="0.25">
      <c r="A468" s="51">
        <v>465</v>
      </c>
      <c r="B468" s="22">
        <v>46011</v>
      </c>
      <c r="C468" s="22">
        <v>46011</v>
      </c>
      <c r="D468" s="105" t="s">
        <v>1014</v>
      </c>
      <c r="E468" s="24"/>
      <c r="F468" s="24"/>
      <c r="G468" s="24"/>
      <c r="H468" s="54"/>
      <c r="I468" s="55" t="s">
        <v>48</v>
      </c>
      <c r="J468" s="154" t="s">
        <v>23</v>
      </c>
      <c r="K468" s="45" t="s">
        <v>32</v>
      </c>
      <c r="L468" s="104" t="s">
        <v>51</v>
      </c>
      <c r="M468" s="24" t="s">
        <v>49</v>
      </c>
      <c r="N468" s="24">
        <v>24.52</v>
      </c>
      <c r="O468" s="24">
        <v>14.82</v>
      </c>
      <c r="P468" s="28">
        <f t="shared" si="68"/>
        <v>9.6999999999999993</v>
      </c>
      <c r="Q468" s="29">
        <v>0</v>
      </c>
      <c r="R468" s="30">
        <f t="shared" si="69"/>
        <v>0</v>
      </c>
      <c r="S468" s="29"/>
      <c r="T468" s="31"/>
      <c r="V468" s="31" t="s">
        <v>24</v>
      </c>
      <c r="W468" s="29"/>
      <c r="X468" s="32">
        <f t="shared" si="76"/>
        <v>0</v>
      </c>
      <c r="Y468" s="33"/>
      <c r="Z468" s="33">
        <f t="shared" si="77"/>
        <v>0</v>
      </c>
      <c r="AA468" s="31">
        <f t="shared" si="78"/>
        <v>0</v>
      </c>
    </row>
    <row r="469" spans="1:27" s="130" customFormat="1" ht="15.75" x14ac:dyDescent="0.25">
      <c r="A469" s="51">
        <v>466</v>
      </c>
      <c r="B469" s="118">
        <v>46012</v>
      </c>
      <c r="C469" s="118">
        <v>46012</v>
      </c>
      <c r="D469" s="155" t="s">
        <v>1015</v>
      </c>
      <c r="E469" s="120"/>
      <c r="F469" s="120"/>
      <c r="G469" s="120"/>
      <c r="H469" s="156"/>
      <c r="I469" s="120" t="s">
        <v>48</v>
      </c>
      <c r="J469" s="157" t="s">
        <v>23</v>
      </c>
      <c r="K469" s="158" t="s">
        <v>32</v>
      </c>
      <c r="L469" s="119" t="s">
        <v>93</v>
      </c>
      <c r="M469" s="120" t="s">
        <v>49</v>
      </c>
      <c r="N469" s="120">
        <v>26.04</v>
      </c>
      <c r="O469" s="120">
        <v>14.86</v>
      </c>
      <c r="P469" s="124">
        <f t="shared" si="68"/>
        <v>11.18</v>
      </c>
      <c r="Q469" s="125">
        <v>0</v>
      </c>
      <c r="R469" s="126">
        <f t="shared" si="69"/>
        <v>0</v>
      </c>
      <c r="S469" s="125"/>
      <c r="T469" s="127"/>
      <c r="V469" s="127" t="s">
        <v>24</v>
      </c>
      <c r="W469" s="125"/>
      <c r="X469" s="128">
        <f t="shared" si="76"/>
        <v>0</v>
      </c>
      <c r="Y469" s="129"/>
      <c r="Z469" s="127">
        <f t="shared" si="77"/>
        <v>0</v>
      </c>
      <c r="AA469" s="127">
        <f t="shared" si="78"/>
        <v>0</v>
      </c>
    </row>
    <row r="470" spans="1:27" s="130" customFormat="1" ht="15.75" x14ac:dyDescent="0.25">
      <c r="A470" s="51">
        <v>467</v>
      </c>
      <c r="B470" s="118">
        <v>46012</v>
      </c>
      <c r="C470" s="118">
        <v>46012</v>
      </c>
      <c r="D470" s="155" t="s">
        <v>1016</v>
      </c>
      <c r="E470" s="120"/>
      <c r="F470" s="120"/>
      <c r="G470" s="120"/>
      <c r="H470" s="156"/>
      <c r="I470" s="120" t="s">
        <v>48</v>
      </c>
      <c r="J470" s="157" t="s">
        <v>23</v>
      </c>
      <c r="K470" s="158" t="s">
        <v>32</v>
      </c>
      <c r="L470" s="119" t="s">
        <v>134</v>
      </c>
      <c r="M470" s="120" t="s">
        <v>49</v>
      </c>
      <c r="N470" s="120">
        <v>26.46</v>
      </c>
      <c r="O470" s="120">
        <v>13.88</v>
      </c>
      <c r="P470" s="124">
        <f t="shared" si="68"/>
        <v>12.58</v>
      </c>
      <c r="Q470" s="125">
        <v>0</v>
      </c>
      <c r="R470" s="126">
        <f t="shared" si="69"/>
        <v>0</v>
      </c>
      <c r="S470" s="125"/>
      <c r="T470" s="127"/>
      <c r="V470" s="127" t="s">
        <v>24</v>
      </c>
      <c r="W470" s="125"/>
      <c r="X470" s="128">
        <f t="shared" si="76"/>
        <v>0</v>
      </c>
      <c r="Y470" s="129"/>
      <c r="Z470" s="129">
        <f t="shared" si="77"/>
        <v>0</v>
      </c>
      <c r="AA470" s="127">
        <f t="shared" si="78"/>
        <v>0</v>
      </c>
    </row>
    <row r="471" spans="1:27" s="130" customFormat="1" ht="15.75" x14ac:dyDescent="0.25">
      <c r="A471" s="51">
        <v>468</v>
      </c>
      <c r="B471" s="118">
        <v>46012</v>
      </c>
      <c r="C471" s="118">
        <v>46012</v>
      </c>
      <c r="D471" s="155" t="s">
        <v>1017</v>
      </c>
      <c r="E471" s="120"/>
      <c r="F471" s="120"/>
      <c r="G471" s="120"/>
      <c r="H471" s="158"/>
      <c r="I471" s="120" t="s">
        <v>48</v>
      </c>
      <c r="J471" s="157" t="s">
        <v>23</v>
      </c>
      <c r="K471" s="158" t="s">
        <v>32</v>
      </c>
      <c r="L471" s="119" t="s">
        <v>134</v>
      </c>
      <c r="M471" s="120" t="s">
        <v>49</v>
      </c>
      <c r="N471" s="120">
        <v>25.68</v>
      </c>
      <c r="O471" s="120">
        <v>13.92</v>
      </c>
      <c r="P471" s="124">
        <f t="shared" si="68"/>
        <v>11.76</v>
      </c>
      <c r="Q471" s="125">
        <v>0</v>
      </c>
      <c r="R471" s="126">
        <f t="shared" si="69"/>
        <v>0</v>
      </c>
      <c r="S471" s="125"/>
      <c r="T471" s="127"/>
      <c r="V471" s="127" t="s">
        <v>24</v>
      </c>
      <c r="W471" s="125"/>
      <c r="X471" s="128">
        <f t="shared" si="76"/>
        <v>0</v>
      </c>
      <c r="Y471" s="129"/>
      <c r="Z471" s="129">
        <f t="shared" si="77"/>
        <v>0</v>
      </c>
      <c r="AA471" s="127">
        <f t="shared" si="78"/>
        <v>0</v>
      </c>
    </row>
    <row r="472" spans="1:27" s="130" customFormat="1" ht="15.75" x14ac:dyDescent="0.25">
      <c r="A472" s="51">
        <v>469</v>
      </c>
      <c r="B472" s="118">
        <v>46012</v>
      </c>
      <c r="C472" s="118">
        <v>46012</v>
      </c>
      <c r="D472" s="155" t="s">
        <v>1018</v>
      </c>
      <c r="E472" s="120"/>
      <c r="F472" s="120"/>
      <c r="G472" s="120"/>
      <c r="H472" s="156"/>
      <c r="I472" s="120" t="s">
        <v>48</v>
      </c>
      <c r="J472" s="157" t="s">
        <v>23</v>
      </c>
      <c r="K472" s="158" t="s">
        <v>32</v>
      </c>
      <c r="L472" s="119" t="s">
        <v>651</v>
      </c>
      <c r="M472" s="120" t="s">
        <v>49</v>
      </c>
      <c r="N472" s="120">
        <v>29.94</v>
      </c>
      <c r="O472" s="120">
        <v>14.06</v>
      </c>
      <c r="P472" s="124">
        <f t="shared" si="68"/>
        <v>15.88</v>
      </c>
      <c r="Q472" s="125">
        <v>0</v>
      </c>
      <c r="R472" s="126">
        <f t="shared" si="69"/>
        <v>0</v>
      </c>
      <c r="S472" s="125"/>
      <c r="T472" s="127"/>
      <c r="V472" s="127" t="s">
        <v>24</v>
      </c>
      <c r="W472" s="125"/>
      <c r="X472" s="128">
        <f t="shared" si="76"/>
        <v>0</v>
      </c>
      <c r="Y472" s="129"/>
      <c r="Z472" s="129">
        <f t="shared" si="77"/>
        <v>0</v>
      </c>
      <c r="AA472" s="127">
        <f t="shared" si="78"/>
        <v>0</v>
      </c>
    </row>
    <row r="473" spans="1:27" s="130" customFormat="1" ht="15.75" x14ac:dyDescent="0.25">
      <c r="A473" s="51">
        <v>470</v>
      </c>
      <c r="B473" s="118">
        <v>46012</v>
      </c>
      <c r="C473" s="118">
        <v>46012</v>
      </c>
      <c r="D473" s="155" t="s">
        <v>1019</v>
      </c>
      <c r="E473" s="120"/>
      <c r="F473" s="120"/>
      <c r="G473" s="120"/>
      <c r="H473" s="158"/>
      <c r="I473" s="120" t="s">
        <v>48</v>
      </c>
      <c r="J473" s="157" t="s">
        <v>23</v>
      </c>
      <c r="K473" s="158" t="s">
        <v>32</v>
      </c>
      <c r="L473" s="119" t="s">
        <v>1020</v>
      </c>
      <c r="M473" s="120" t="s">
        <v>49</v>
      </c>
      <c r="N473" s="134">
        <v>29.26</v>
      </c>
      <c r="O473" s="120">
        <v>14.02</v>
      </c>
      <c r="P473" s="124">
        <f t="shared" si="68"/>
        <v>15.240000000000002</v>
      </c>
      <c r="Q473" s="125">
        <v>0</v>
      </c>
      <c r="R473" s="126">
        <f t="shared" si="69"/>
        <v>0</v>
      </c>
      <c r="S473" s="125"/>
      <c r="T473" s="127"/>
      <c r="V473" s="127" t="s">
        <v>24</v>
      </c>
      <c r="W473" s="125"/>
      <c r="X473" s="128">
        <f t="shared" si="76"/>
        <v>0</v>
      </c>
      <c r="Y473" s="129"/>
      <c r="Z473" s="129">
        <f t="shared" si="77"/>
        <v>0</v>
      </c>
      <c r="AA473" s="127">
        <f t="shared" si="78"/>
        <v>0</v>
      </c>
    </row>
    <row r="474" spans="1:27" s="135" customFormat="1" ht="15.75" x14ac:dyDescent="0.25">
      <c r="A474" s="51">
        <v>471</v>
      </c>
      <c r="B474" s="118">
        <v>46012</v>
      </c>
      <c r="C474" s="118">
        <v>46012</v>
      </c>
      <c r="D474" s="155" t="s">
        <v>1021</v>
      </c>
      <c r="E474" s="120"/>
      <c r="F474" s="120"/>
      <c r="G474" s="120"/>
      <c r="H474" s="159"/>
      <c r="I474" s="120" t="s">
        <v>48</v>
      </c>
      <c r="J474" s="157" t="s">
        <v>23</v>
      </c>
      <c r="K474" s="158" t="s">
        <v>32</v>
      </c>
      <c r="L474" s="119" t="s">
        <v>51</v>
      </c>
      <c r="M474" s="120" t="s">
        <v>49</v>
      </c>
      <c r="N474" s="134">
        <v>24.58</v>
      </c>
      <c r="O474" s="120">
        <v>14.92</v>
      </c>
      <c r="P474" s="124">
        <f t="shared" si="68"/>
        <v>9.6599999999999984</v>
      </c>
      <c r="Q474" s="125"/>
      <c r="R474" s="126">
        <f t="shared" si="69"/>
        <v>0</v>
      </c>
      <c r="S474" s="125"/>
      <c r="T474" s="127"/>
      <c r="V474" s="127" t="s">
        <v>24</v>
      </c>
      <c r="W474" s="125"/>
      <c r="X474" s="128">
        <f t="shared" si="76"/>
        <v>0</v>
      </c>
      <c r="Y474" s="129"/>
      <c r="Z474" s="129">
        <f t="shared" si="77"/>
        <v>0</v>
      </c>
      <c r="AA474" s="127">
        <f t="shared" si="78"/>
        <v>0</v>
      </c>
    </row>
    <row r="475" spans="1:27" s="130" customFormat="1" ht="15.75" x14ac:dyDescent="0.25">
      <c r="A475" s="51">
        <v>472</v>
      </c>
      <c r="B475" s="118">
        <v>46013</v>
      </c>
      <c r="C475" s="118">
        <v>46013</v>
      </c>
      <c r="D475" s="155" t="s">
        <v>1022</v>
      </c>
      <c r="E475" s="120"/>
      <c r="F475" s="120"/>
      <c r="G475" s="120"/>
      <c r="H475" s="156"/>
      <c r="I475" s="120" t="s">
        <v>48</v>
      </c>
      <c r="J475" s="157" t="s">
        <v>23</v>
      </c>
      <c r="K475" s="158" t="s">
        <v>32</v>
      </c>
      <c r="L475" s="119" t="s">
        <v>790</v>
      </c>
      <c r="M475" s="120" t="s">
        <v>49</v>
      </c>
      <c r="N475" s="120">
        <v>26.68</v>
      </c>
      <c r="O475" s="120">
        <v>14.32</v>
      </c>
      <c r="P475" s="124">
        <f t="shared" si="68"/>
        <v>12.36</v>
      </c>
      <c r="Q475" s="125">
        <v>0</v>
      </c>
      <c r="R475" s="126">
        <f t="shared" si="69"/>
        <v>0</v>
      </c>
      <c r="S475" s="125"/>
      <c r="T475" s="127"/>
      <c r="V475" s="127" t="s">
        <v>24</v>
      </c>
      <c r="W475" s="125"/>
      <c r="X475" s="128">
        <f t="shared" ref="X475:X494" si="79">W475*P475</f>
        <v>0</v>
      </c>
      <c r="Y475" s="129"/>
      <c r="Z475" s="127">
        <f t="shared" ref="Z475:Z494" si="80">Y475*P475</f>
        <v>0</v>
      </c>
      <c r="AA475" s="127">
        <f t="shared" ref="AA475:AA494" si="81">R475+X475+Z475</f>
        <v>0</v>
      </c>
    </row>
    <row r="476" spans="1:27" s="34" customFormat="1" ht="15.75" x14ac:dyDescent="0.25">
      <c r="A476" s="51">
        <v>473</v>
      </c>
      <c r="B476" s="22">
        <v>46014</v>
      </c>
      <c r="C476" s="22">
        <v>46014</v>
      </c>
      <c r="D476" s="105" t="s">
        <v>1023</v>
      </c>
      <c r="E476" s="24"/>
      <c r="F476" s="24"/>
      <c r="G476" s="24"/>
      <c r="H476" s="160"/>
      <c r="I476" s="24" t="s">
        <v>48</v>
      </c>
      <c r="J476" s="161" t="s">
        <v>23</v>
      </c>
      <c r="K476" s="150" t="s">
        <v>32</v>
      </c>
      <c r="L476" s="101" t="s">
        <v>1020</v>
      </c>
      <c r="M476" s="24" t="s">
        <v>49</v>
      </c>
      <c r="N476" s="24">
        <v>31.94</v>
      </c>
      <c r="O476" s="24">
        <v>14.44</v>
      </c>
      <c r="P476" s="28">
        <f t="shared" si="68"/>
        <v>17.5</v>
      </c>
      <c r="Q476" s="29">
        <v>0</v>
      </c>
      <c r="R476" s="30">
        <f t="shared" si="69"/>
        <v>0</v>
      </c>
      <c r="S476" s="29"/>
      <c r="T476" s="31"/>
      <c r="V476" s="31" t="s">
        <v>24</v>
      </c>
      <c r="W476" s="29"/>
      <c r="X476" s="32">
        <f t="shared" si="79"/>
        <v>0</v>
      </c>
      <c r="Y476" s="33"/>
      <c r="Z476" s="31">
        <f t="shared" si="80"/>
        <v>0</v>
      </c>
      <c r="AA476" s="31">
        <f t="shared" si="81"/>
        <v>0</v>
      </c>
    </row>
    <row r="477" spans="1:27" s="34" customFormat="1" ht="15.75" x14ac:dyDescent="0.25">
      <c r="A477" s="51">
        <v>474</v>
      </c>
      <c r="B477" s="22">
        <v>46015</v>
      </c>
      <c r="C477" s="22">
        <v>46015</v>
      </c>
      <c r="D477" s="105" t="s">
        <v>1024</v>
      </c>
      <c r="E477" s="24"/>
      <c r="F477" s="24"/>
      <c r="G477" s="24"/>
      <c r="H477" s="160"/>
      <c r="I477" s="24" t="s">
        <v>48</v>
      </c>
      <c r="J477" s="161" t="s">
        <v>23</v>
      </c>
      <c r="K477" s="150" t="s">
        <v>32</v>
      </c>
      <c r="L477" s="101" t="s">
        <v>127</v>
      </c>
      <c r="M477" s="24" t="s">
        <v>49</v>
      </c>
      <c r="N477" s="24">
        <v>24.96</v>
      </c>
      <c r="O477" s="24">
        <v>14.06</v>
      </c>
      <c r="P477" s="28">
        <f t="shared" si="68"/>
        <v>10.9</v>
      </c>
      <c r="Q477" s="29">
        <v>0</v>
      </c>
      <c r="R477" s="30">
        <f t="shared" si="69"/>
        <v>0</v>
      </c>
      <c r="S477" s="29"/>
      <c r="T477" s="31"/>
      <c r="V477" s="31" t="s">
        <v>24</v>
      </c>
      <c r="W477" s="29"/>
      <c r="X477" s="32">
        <f t="shared" si="79"/>
        <v>0</v>
      </c>
      <c r="Y477" s="33"/>
      <c r="Z477" s="31">
        <f t="shared" si="80"/>
        <v>0</v>
      </c>
      <c r="AA477" s="31">
        <f t="shared" si="81"/>
        <v>0</v>
      </c>
    </row>
    <row r="478" spans="1:27" s="34" customFormat="1" ht="15.75" x14ac:dyDescent="0.25">
      <c r="A478" s="51">
        <v>475</v>
      </c>
      <c r="B478" s="22">
        <v>46015</v>
      </c>
      <c r="C478" s="22">
        <v>46015</v>
      </c>
      <c r="D478" s="105" t="s">
        <v>1025</v>
      </c>
      <c r="E478" s="24"/>
      <c r="F478" s="24"/>
      <c r="G478" s="24"/>
      <c r="H478" s="160"/>
      <c r="I478" s="24" t="s">
        <v>48</v>
      </c>
      <c r="J478" s="161" t="s">
        <v>23</v>
      </c>
      <c r="K478" s="150" t="s">
        <v>32</v>
      </c>
      <c r="L478" s="101" t="s">
        <v>134</v>
      </c>
      <c r="M478" s="24" t="s">
        <v>49</v>
      </c>
      <c r="N478" s="24">
        <v>24.62</v>
      </c>
      <c r="O478" s="24">
        <v>13.86</v>
      </c>
      <c r="P478" s="28">
        <f t="shared" si="68"/>
        <v>10.760000000000002</v>
      </c>
      <c r="Q478" s="29">
        <v>0</v>
      </c>
      <c r="R478" s="30">
        <f t="shared" si="69"/>
        <v>0</v>
      </c>
      <c r="S478" s="29"/>
      <c r="T478" s="31"/>
      <c r="V478" s="31" t="s">
        <v>24</v>
      </c>
      <c r="W478" s="29"/>
      <c r="X478" s="32">
        <f t="shared" si="79"/>
        <v>0</v>
      </c>
      <c r="Y478" s="33"/>
      <c r="Z478" s="33">
        <f t="shared" si="80"/>
        <v>0</v>
      </c>
      <c r="AA478" s="31">
        <f t="shared" si="81"/>
        <v>0</v>
      </c>
    </row>
    <row r="479" spans="1:27" s="34" customFormat="1" ht="15.75" x14ac:dyDescent="0.25">
      <c r="A479" s="51">
        <v>476</v>
      </c>
      <c r="B479" s="22">
        <v>46016</v>
      </c>
      <c r="C479" s="22">
        <v>46016</v>
      </c>
      <c r="D479" s="148">
        <v>251225001</v>
      </c>
      <c r="E479" s="24" t="s">
        <v>1026</v>
      </c>
      <c r="F479" s="24" t="s">
        <v>1027</v>
      </c>
      <c r="G479" s="24">
        <v>34</v>
      </c>
      <c r="H479" s="64">
        <v>125</v>
      </c>
      <c r="I479" s="162" t="s">
        <v>584</v>
      </c>
      <c r="J479" s="163" t="s">
        <v>23</v>
      </c>
      <c r="K479" s="162" t="s">
        <v>32</v>
      </c>
      <c r="L479" s="101" t="s">
        <v>44</v>
      </c>
      <c r="M479" s="24" t="s">
        <v>36</v>
      </c>
      <c r="N479" s="24">
        <v>45.98</v>
      </c>
      <c r="O479" s="24">
        <v>11.74</v>
      </c>
      <c r="P479" s="28">
        <f t="shared" si="68"/>
        <v>34.239999999999995</v>
      </c>
      <c r="Q479" s="29">
        <v>575</v>
      </c>
      <c r="R479" s="30">
        <f t="shared" si="69"/>
        <v>19687.999999999996</v>
      </c>
      <c r="S479" s="29"/>
      <c r="T479" s="31"/>
      <c r="V479" s="31" t="s">
        <v>152</v>
      </c>
      <c r="W479" s="29">
        <v>145</v>
      </c>
      <c r="X479" s="32">
        <f t="shared" si="79"/>
        <v>4964.7999999999993</v>
      </c>
      <c r="Y479" s="33">
        <v>150</v>
      </c>
      <c r="Z479" s="33">
        <f t="shared" si="80"/>
        <v>5135.9999999999991</v>
      </c>
      <c r="AA479" s="31">
        <f t="shared" si="81"/>
        <v>29788.799999999996</v>
      </c>
    </row>
    <row r="480" spans="1:27" s="34" customFormat="1" ht="15.75" x14ac:dyDescent="0.25">
      <c r="A480" s="51">
        <v>477</v>
      </c>
      <c r="B480" s="22">
        <v>46016</v>
      </c>
      <c r="C480" s="22">
        <v>46016</v>
      </c>
      <c r="D480" s="148">
        <v>251225002</v>
      </c>
      <c r="E480" s="24" t="s">
        <v>1028</v>
      </c>
      <c r="F480" s="24" t="s">
        <v>1029</v>
      </c>
      <c r="G480" s="24">
        <v>39</v>
      </c>
      <c r="H480" s="64">
        <v>125</v>
      </c>
      <c r="I480" s="162" t="s">
        <v>584</v>
      </c>
      <c r="J480" s="163" t="s">
        <v>23</v>
      </c>
      <c r="K480" s="162" t="s">
        <v>32</v>
      </c>
      <c r="L480" s="101" t="s">
        <v>423</v>
      </c>
      <c r="M480" s="24" t="s">
        <v>36</v>
      </c>
      <c r="N480" s="24">
        <v>52.14</v>
      </c>
      <c r="O480" s="24">
        <v>12.8</v>
      </c>
      <c r="P480" s="28">
        <f t="shared" si="68"/>
        <v>39.340000000000003</v>
      </c>
      <c r="Q480" s="29">
        <v>575</v>
      </c>
      <c r="R480" s="30">
        <f t="shared" si="69"/>
        <v>22620.500000000004</v>
      </c>
      <c r="S480" s="29"/>
      <c r="T480" s="31"/>
      <c r="V480" s="31" t="s">
        <v>152</v>
      </c>
      <c r="W480" s="29">
        <v>145</v>
      </c>
      <c r="X480" s="32">
        <f t="shared" si="79"/>
        <v>5704.3</v>
      </c>
      <c r="Y480" s="33">
        <v>150</v>
      </c>
      <c r="Z480" s="33">
        <f t="shared" si="80"/>
        <v>5901.0000000000009</v>
      </c>
      <c r="AA480" s="31">
        <f t="shared" si="81"/>
        <v>34225.800000000003</v>
      </c>
    </row>
    <row r="481" spans="1:38" s="34" customFormat="1" ht="15.75" x14ac:dyDescent="0.25">
      <c r="A481" s="51">
        <v>478</v>
      </c>
      <c r="B481" s="22">
        <v>46016</v>
      </c>
      <c r="C481" s="22">
        <v>46016</v>
      </c>
      <c r="D481" s="148">
        <v>251225003</v>
      </c>
      <c r="E481" s="24" t="s">
        <v>1030</v>
      </c>
      <c r="F481" s="24" t="s">
        <v>1031</v>
      </c>
      <c r="G481" s="24">
        <v>34</v>
      </c>
      <c r="H481" s="64">
        <v>125</v>
      </c>
      <c r="I481" s="162" t="s">
        <v>584</v>
      </c>
      <c r="J481" s="163" t="s">
        <v>23</v>
      </c>
      <c r="K481" s="162" t="s">
        <v>32</v>
      </c>
      <c r="L481" s="101" t="s">
        <v>286</v>
      </c>
      <c r="M481" s="24" t="s">
        <v>36</v>
      </c>
      <c r="N481" s="37">
        <v>46.12</v>
      </c>
      <c r="O481" s="24">
        <v>11.42</v>
      </c>
      <c r="P481" s="28">
        <f t="shared" si="68"/>
        <v>34.699999999999996</v>
      </c>
      <c r="Q481" s="29">
        <v>575</v>
      </c>
      <c r="R481" s="30">
        <f t="shared" si="69"/>
        <v>19952.499999999996</v>
      </c>
      <c r="S481" s="29"/>
      <c r="T481" s="31"/>
      <c r="V481" s="31" t="s">
        <v>152</v>
      </c>
      <c r="W481" s="29">
        <v>145</v>
      </c>
      <c r="X481" s="32">
        <f t="shared" si="79"/>
        <v>5031.4999999999991</v>
      </c>
      <c r="Y481" s="33">
        <v>150</v>
      </c>
      <c r="Z481" s="33">
        <f t="shared" si="80"/>
        <v>5204.9999999999991</v>
      </c>
      <c r="AA481" s="31">
        <f t="shared" si="81"/>
        <v>30188.999999999996</v>
      </c>
    </row>
    <row r="482" spans="1:38" s="38" customFormat="1" ht="15.75" x14ac:dyDescent="0.25">
      <c r="A482" s="51">
        <v>479</v>
      </c>
      <c r="B482" s="22">
        <v>46016</v>
      </c>
      <c r="C482" s="22">
        <v>46017</v>
      </c>
      <c r="D482" s="105">
        <v>251226001</v>
      </c>
      <c r="E482" s="24" t="s">
        <v>1032</v>
      </c>
      <c r="F482" s="24" t="s">
        <v>1033</v>
      </c>
      <c r="G482" s="24">
        <v>44</v>
      </c>
      <c r="H482" s="64">
        <v>125</v>
      </c>
      <c r="I482" s="162" t="s">
        <v>584</v>
      </c>
      <c r="J482" s="163" t="s">
        <v>23</v>
      </c>
      <c r="K482" s="162" t="s">
        <v>32</v>
      </c>
      <c r="L482" s="101" t="s">
        <v>38</v>
      </c>
      <c r="M482" s="24" t="s">
        <v>36</v>
      </c>
      <c r="N482" s="37">
        <v>60.28</v>
      </c>
      <c r="O482" s="24">
        <v>15.86</v>
      </c>
      <c r="P482" s="28">
        <f t="shared" si="68"/>
        <v>44.42</v>
      </c>
      <c r="Q482" s="29">
        <v>575</v>
      </c>
      <c r="R482" s="30">
        <f t="shared" si="69"/>
        <v>25541.5</v>
      </c>
      <c r="S482" s="29"/>
      <c r="T482" s="31"/>
      <c r="V482" s="31" t="s">
        <v>152</v>
      </c>
      <c r="W482" s="29">
        <v>145</v>
      </c>
      <c r="X482" s="32">
        <f t="shared" si="79"/>
        <v>6440.9000000000005</v>
      </c>
      <c r="Y482" s="33">
        <v>150</v>
      </c>
      <c r="Z482" s="33">
        <f t="shared" si="80"/>
        <v>6663</v>
      </c>
      <c r="AA482" s="31">
        <f t="shared" si="81"/>
        <v>38645.4</v>
      </c>
    </row>
    <row r="483" spans="1:38" s="34" customFormat="1" ht="15.75" x14ac:dyDescent="0.25">
      <c r="A483" s="51">
        <v>480</v>
      </c>
      <c r="B483" s="22">
        <v>46016</v>
      </c>
      <c r="C483" s="22">
        <v>46017</v>
      </c>
      <c r="D483" s="101">
        <v>251226002</v>
      </c>
      <c r="E483" s="24" t="s">
        <v>1034</v>
      </c>
      <c r="F483" s="24" t="s">
        <v>1035</v>
      </c>
      <c r="G483" s="24">
        <v>34</v>
      </c>
      <c r="H483" s="64">
        <v>125</v>
      </c>
      <c r="I483" s="162" t="s">
        <v>584</v>
      </c>
      <c r="J483" s="163" t="s">
        <v>23</v>
      </c>
      <c r="K483" s="162" t="s">
        <v>32</v>
      </c>
      <c r="L483" s="101" t="s">
        <v>42</v>
      </c>
      <c r="M483" s="24" t="s">
        <v>36</v>
      </c>
      <c r="N483" s="37">
        <v>45.82</v>
      </c>
      <c r="O483" s="37">
        <v>11.5</v>
      </c>
      <c r="P483" s="28">
        <f t="shared" si="68"/>
        <v>34.32</v>
      </c>
      <c r="Q483" s="29">
        <v>575</v>
      </c>
      <c r="R483" s="30">
        <f t="shared" si="69"/>
        <v>19734</v>
      </c>
      <c r="S483" s="29"/>
      <c r="T483" s="31"/>
      <c r="V483" s="31" t="s">
        <v>152</v>
      </c>
      <c r="W483" s="29">
        <v>145</v>
      </c>
      <c r="X483" s="32">
        <f t="shared" si="79"/>
        <v>4976.3999999999996</v>
      </c>
      <c r="Y483" s="33">
        <v>150</v>
      </c>
      <c r="Z483" s="33">
        <f t="shared" si="80"/>
        <v>5148</v>
      </c>
      <c r="AA483" s="31">
        <f t="shared" si="81"/>
        <v>29858.400000000001</v>
      </c>
    </row>
    <row r="484" spans="1:38" s="34" customFormat="1" ht="15.75" x14ac:dyDescent="0.25">
      <c r="A484" s="51">
        <v>481</v>
      </c>
      <c r="B484" s="22">
        <v>46016</v>
      </c>
      <c r="C484" s="22">
        <v>46017</v>
      </c>
      <c r="D484" s="105">
        <v>251226003</v>
      </c>
      <c r="E484" s="24" t="s">
        <v>1036</v>
      </c>
      <c r="F484" s="24" t="s">
        <v>1037</v>
      </c>
      <c r="G484" s="24">
        <v>42</v>
      </c>
      <c r="H484" s="164">
        <v>119</v>
      </c>
      <c r="I484" s="162" t="s">
        <v>870</v>
      </c>
      <c r="J484" s="163" t="s">
        <v>23</v>
      </c>
      <c r="K484" s="162" t="s">
        <v>32</v>
      </c>
      <c r="L484" s="101" t="s">
        <v>379</v>
      </c>
      <c r="M484" s="24" t="s">
        <v>306</v>
      </c>
      <c r="N484" s="37">
        <v>58.52</v>
      </c>
      <c r="O484" s="37">
        <v>15.96</v>
      </c>
      <c r="P484" s="28">
        <f t="shared" si="68"/>
        <v>42.56</v>
      </c>
      <c r="Q484" s="29">
        <v>425</v>
      </c>
      <c r="R484" s="30">
        <f t="shared" si="69"/>
        <v>18088</v>
      </c>
      <c r="S484" s="29"/>
      <c r="T484" s="31"/>
      <c r="V484" s="31" t="s">
        <v>24</v>
      </c>
      <c r="W484" s="29">
        <v>145</v>
      </c>
      <c r="X484" s="32">
        <f t="shared" si="79"/>
        <v>6171.2000000000007</v>
      </c>
      <c r="Y484" s="33">
        <v>150</v>
      </c>
      <c r="Z484" s="33">
        <f t="shared" si="80"/>
        <v>6384</v>
      </c>
      <c r="AA484" s="31">
        <f t="shared" si="81"/>
        <v>30643.200000000001</v>
      </c>
    </row>
    <row r="485" spans="1:38" s="34" customFormat="1" ht="15.75" x14ac:dyDescent="0.25">
      <c r="A485" s="51">
        <v>482</v>
      </c>
      <c r="B485" s="22">
        <v>46016</v>
      </c>
      <c r="C485" s="22">
        <v>46017</v>
      </c>
      <c r="D485" s="101">
        <v>251226004</v>
      </c>
      <c r="E485" s="24" t="s">
        <v>1038</v>
      </c>
      <c r="F485" s="24" t="s">
        <v>1039</v>
      </c>
      <c r="G485" s="24">
        <v>39</v>
      </c>
      <c r="H485" s="64">
        <v>125</v>
      </c>
      <c r="I485" s="162" t="s">
        <v>584</v>
      </c>
      <c r="J485" s="163" t="s">
        <v>23</v>
      </c>
      <c r="K485" s="162" t="s">
        <v>32</v>
      </c>
      <c r="L485" s="101" t="s">
        <v>423</v>
      </c>
      <c r="M485" s="24" t="s">
        <v>36</v>
      </c>
      <c r="N485" s="37">
        <v>52.56</v>
      </c>
      <c r="O485" s="37">
        <v>12.74</v>
      </c>
      <c r="P485" s="28">
        <f t="shared" si="68"/>
        <v>39.82</v>
      </c>
      <c r="Q485" s="29">
        <v>575</v>
      </c>
      <c r="R485" s="30">
        <f t="shared" si="69"/>
        <v>22896.5</v>
      </c>
      <c r="S485" s="29"/>
      <c r="T485" s="31"/>
      <c r="V485" s="31" t="s">
        <v>152</v>
      </c>
      <c r="W485" s="29">
        <v>145</v>
      </c>
      <c r="X485" s="32">
        <f t="shared" si="79"/>
        <v>5773.9</v>
      </c>
      <c r="Y485" s="33">
        <v>150</v>
      </c>
      <c r="Z485" s="33">
        <f t="shared" si="80"/>
        <v>5973</v>
      </c>
      <c r="AA485" s="31">
        <f t="shared" si="81"/>
        <v>34643.4</v>
      </c>
    </row>
    <row r="486" spans="1:38" s="34" customFormat="1" ht="20.100000000000001" customHeight="1" x14ac:dyDescent="0.25">
      <c r="A486" s="51">
        <v>483</v>
      </c>
      <c r="B486" s="22">
        <v>46016</v>
      </c>
      <c r="C486" s="22">
        <v>46017</v>
      </c>
      <c r="D486" s="105">
        <v>251226005</v>
      </c>
      <c r="E486" s="24" t="s">
        <v>1040</v>
      </c>
      <c r="F486" s="24" t="s">
        <v>1041</v>
      </c>
      <c r="G486" s="24">
        <v>35</v>
      </c>
      <c r="H486" s="64">
        <v>125</v>
      </c>
      <c r="I486" s="162" t="s">
        <v>584</v>
      </c>
      <c r="J486" s="163" t="s">
        <v>23</v>
      </c>
      <c r="K486" s="162" t="s">
        <v>32</v>
      </c>
      <c r="L486" s="101" t="s">
        <v>286</v>
      </c>
      <c r="M486" s="24" t="s">
        <v>36</v>
      </c>
      <c r="N486" s="37">
        <v>46.6</v>
      </c>
      <c r="O486" s="37">
        <v>11.48</v>
      </c>
      <c r="P486" s="28">
        <f t="shared" si="68"/>
        <v>35.120000000000005</v>
      </c>
      <c r="Q486" s="29">
        <v>575</v>
      </c>
      <c r="R486" s="30">
        <f t="shared" si="69"/>
        <v>20194.000000000004</v>
      </c>
      <c r="S486" s="29"/>
      <c r="T486" s="31"/>
      <c r="V486" s="31" t="s">
        <v>152</v>
      </c>
      <c r="W486" s="29">
        <v>145</v>
      </c>
      <c r="X486" s="32">
        <f t="shared" si="79"/>
        <v>5092.4000000000005</v>
      </c>
      <c r="Y486" s="33">
        <v>150</v>
      </c>
      <c r="Z486" s="33">
        <f t="shared" si="80"/>
        <v>5268.0000000000009</v>
      </c>
      <c r="AA486" s="31">
        <f t="shared" si="81"/>
        <v>30554.400000000005</v>
      </c>
      <c r="AB486" s="40"/>
      <c r="AC486" s="39"/>
      <c r="AD486" s="41"/>
      <c r="AE486" s="42"/>
      <c r="AF486" s="39"/>
      <c r="AG486" s="42"/>
      <c r="AH486" s="39"/>
      <c r="AI486" s="41"/>
      <c r="AJ486" s="39"/>
      <c r="AK486" s="41"/>
      <c r="AL486" s="41"/>
    </row>
    <row r="487" spans="1:38" s="34" customFormat="1" ht="15.75" x14ac:dyDescent="0.25">
      <c r="A487" s="51">
        <v>484</v>
      </c>
      <c r="B487" s="22">
        <v>46016</v>
      </c>
      <c r="C487" s="22">
        <v>46017</v>
      </c>
      <c r="D487" s="101">
        <v>251226006</v>
      </c>
      <c r="E487" s="24" t="s">
        <v>1042</v>
      </c>
      <c r="F487" s="24" t="s">
        <v>1043</v>
      </c>
      <c r="G487" s="24">
        <v>34</v>
      </c>
      <c r="H487" s="64">
        <v>125</v>
      </c>
      <c r="I487" s="162" t="s">
        <v>584</v>
      </c>
      <c r="J487" s="163" t="s">
        <v>23</v>
      </c>
      <c r="K487" s="162" t="s">
        <v>32</v>
      </c>
      <c r="L487" s="101" t="s">
        <v>44</v>
      </c>
      <c r="M487" s="24" t="s">
        <v>36</v>
      </c>
      <c r="N487" s="37">
        <v>46.2</v>
      </c>
      <c r="O487" s="37">
        <v>11.72</v>
      </c>
      <c r="P487" s="28">
        <f t="shared" ref="P487:P494" si="82">N487-O487</f>
        <v>34.480000000000004</v>
      </c>
      <c r="Q487" s="29">
        <v>575</v>
      </c>
      <c r="R487" s="30">
        <f t="shared" ref="R487:R494" si="83">Q487*P487</f>
        <v>19826.000000000004</v>
      </c>
      <c r="S487" s="29"/>
      <c r="T487" s="31"/>
      <c r="V487" s="31" t="s">
        <v>152</v>
      </c>
      <c r="W487" s="29">
        <v>145</v>
      </c>
      <c r="X487" s="32">
        <f t="shared" si="79"/>
        <v>4999.6000000000004</v>
      </c>
      <c r="Y487" s="33">
        <v>150</v>
      </c>
      <c r="Z487" s="33">
        <f t="shared" si="80"/>
        <v>5172.0000000000009</v>
      </c>
      <c r="AA487" s="31">
        <f t="shared" si="81"/>
        <v>29997.600000000006</v>
      </c>
    </row>
    <row r="488" spans="1:38" s="34" customFormat="1" ht="15.75" x14ac:dyDescent="0.25">
      <c r="A488" s="51">
        <v>485</v>
      </c>
      <c r="B488" s="22">
        <v>46016</v>
      </c>
      <c r="C488" s="22">
        <v>46017</v>
      </c>
      <c r="D488" s="105">
        <v>251226007</v>
      </c>
      <c r="E488" s="24" t="s">
        <v>1044</v>
      </c>
      <c r="F488" s="24" t="s">
        <v>1045</v>
      </c>
      <c r="G488" s="24">
        <v>57</v>
      </c>
      <c r="H488" s="164">
        <v>126</v>
      </c>
      <c r="I488" s="162" t="s">
        <v>898</v>
      </c>
      <c r="J488" s="163" t="s">
        <v>23</v>
      </c>
      <c r="K488" s="162" t="s">
        <v>32</v>
      </c>
      <c r="L488" s="101" t="s">
        <v>46</v>
      </c>
      <c r="M488" s="24" t="s">
        <v>1046</v>
      </c>
      <c r="N488" s="37">
        <v>75.040000000000006</v>
      </c>
      <c r="O488" s="37">
        <v>17.18</v>
      </c>
      <c r="P488" s="28">
        <f t="shared" si="82"/>
        <v>57.860000000000007</v>
      </c>
      <c r="Q488" s="29">
        <v>375</v>
      </c>
      <c r="R488" s="30">
        <f t="shared" si="83"/>
        <v>21697.500000000004</v>
      </c>
      <c r="S488" s="29"/>
      <c r="T488" s="31"/>
      <c r="V488" s="31" t="s">
        <v>24</v>
      </c>
      <c r="W488" s="29">
        <v>145</v>
      </c>
      <c r="X488" s="32">
        <f t="shared" si="79"/>
        <v>8389.7000000000007</v>
      </c>
      <c r="Y488" s="33">
        <v>260</v>
      </c>
      <c r="Z488" s="33">
        <f t="shared" si="80"/>
        <v>15043.600000000002</v>
      </c>
      <c r="AA488" s="31">
        <f t="shared" si="81"/>
        <v>45130.8</v>
      </c>
    </row>
    <row r="489" spans="1:38" s="34" customFormat="1" ht="15.75" x14ac:dyDescent="0.25">
      <c r="A489" s="51">
        <v>486</v>
      </c>
      <c r="B489" s="22">
        <v>46016</v>
      </c>
      <c r="C489" s="22">
        <v>46017</v>
      </c>
      <c r="D489" s="101">
        <v>251226008</v>
      </c>
      <c r="E489" s="24" t="s">
        <v>1047</v>
      </c>
      <c r="F489" s="24" t="s">
        <v>1048</v>
      </c>
      <c r="G489" s="24">
        <v>48</v>
      </c>
      <c r="H489" s="164">
        <v>126</v>
      </c>
      <c r="I489" s="162" t="s">
        <v>898</v>
      </c>
      <c r="J489" s="163" t="s">
        <v>23</v>
      </c>
      <c r="K489" s="162" t="s">
        <v>32</v>
      </c>
      <c r="L489" s="101" t="s">
        <v>40</v>
      </c>
      <c r="M489" s="24" t="s">
        <v>1046</v>
      </c>
      <c r="N489" s="37">
        <v>63.12</v>
      </c>
      <c r="O489" s="37">
        <v>14.96</v>
      </c>
      <c r="P489" s="28">
        <f t="shared" si="82"/>
        <v>48.16</v>
      </c>
      <c r="Q489" s="29">
        <v>375</v>
      </c>
      <c r="R489" s="30">
        <f t="shared" si="83"/>
        <v>18060</v>
      </c>
      <c r="S489" s="29"/>
      <c r="T489" s="31"/>
      <c r="V489" s="31" t="s">
        <v>24</v>
      </c>
      <c r="W489" s="29">
        <v>145</v>
      </c>
      <c r="X489" s="32">
        <f t="shared" si="79"/>
        <v>6983.2</v>
      </c>
      <c r="Y489" s="33">
        <v>260</v>
      </c>
      <c r="Z489" s="33">
        <f t="shared" si="80"/>
        <v>12521.599999999999</v>
      </c>
      <c r="AA489" s="31">
        <f t="shared" si="81"/>
        <v>37564.800000000003</v>
      </c>
    </row>
    <row r="490" spans="1:38" s="34" customFormat="1" ht="15.75" x14ac:dyDescent="0.25">
      <c r="A490" s="51">
        <v>487</v>
      </c>
      <c r="B490" s="22">
        <v>46016</v>
      </c>
      <c r="C490" s="22">
        <v>46017</v>
      </c>
      <c r="D490" s="105">
        <v>251226009</v>
      </c>
      <c r="E490" s="24" t="s">
        <v>1049</v>
      </c>
      <c r="F490" s="24" t="s">
        <v>1050</v>
      </c>
      <c r="G490" s="24">
        <v>36</v>
      </c>
      <c r="H490" s="164">
        <v>126</v>
      </c>
      <c r="I490" s="162" t="s">
        <v>898</v>
      </c>
      <c r="J490" s="163" t="s">
        <v>23</v>
      </c>
      <c r="K490" s="162" t="s">
        <v>32</v>
      </c>
      <c r="L490" s="101" t="s">
        <v>41</v>
      </c>
      <c r="M490" s="24" t="s">
        <v>1046</v>
      </c>
      <c r="N490" s="37">
        <v>48.42</v>
      </c>
      <c r="O490" s="37">
        <v>11.84</v>
      </c>
      <c r="P490" s="28">
        <f t="shared" si="82"/>
        <v>36.58</v>
      </c>
      <c r="Q490" s="29">
        <v>375</v>
      </c>
      <c r="R490" s="30">
        <f t="shared" si="83"/>
        <v>13717.5</v>
      </c>
      <c r="S490" s="29"/>
      <c r="T490" s="31"/>
      <c r="V490" s="31" t="s">
        <v>24</v>
      </c>
      <c r="W490" s="29">
        <v>145</v>
      </c>
      <c r="X490" s="32">
        <f t="shared" si="79"/>
        <v>5304.0999999999995</v>
      </c>
      <c r="Y490" s="33">
        <v>260</v>
      </c>
      <c r="Z490" s="33">
        <f t="shared" si="80"/>
        <v>9510.7999999999993</v>
      </c>
      <c r="AA490" s="31">
        <f t="shared" si="81"/>
        <v>28532.399999999998</v>
      </c>
    </row>
    <row r="491" spans="1:38" s="38" customFormat="1" ht="15.75" x14ac:dyDescent="0.25">
      <c r="A491" s="51">
        <v>488</v>
      </c>
      <c r="B491" s="22">
        <v>46016</v>
      </c>
      <c r="C491" s="22">
        <v>46017</v>
      </c>
      <c r="D491" s="101">
        <v>251226010</v>
      </c>
      <c r="E491" s="24" t="s">
        <v>1051</v>
      </c>
      <c r="F491" s="24" t="s">
        <v>1052</v>
      </c>
      <c r="G491" s="24">
        <v>48</v>
      </c>
      <c r="H491" s="25">
        <v>84</v>
      </c>
      <c r="I491" s="165" t="s">
        <v>50</v>
      </c>
      <c r="J491" s="147" t="s">
        <v>23</v>
      </c>
      <c r="K491" s="43" t="s">
        <v>32</v>
      </c>
      <c r="L491" s="101" t="s">
        <v>467</v>
      </c>
      <c r="M491" s="24" t="s">
        <v>34</v>
      </c>
      <c r="N491" s="37">
        <v>64.78</v>
      </c>
      <c r="O491" s="37">
        <v>16.399999999999999</v>
      </c>
      <c r="P491" s="28">
        <f t="shared" si="82"/>
        <v>48.38</v>
      </c>
      <c r="Q491" s="29">
        <v>315</v>
      </c>
      <c r="R491" s="30">
        <f t="shared" si="83"/>
        <v>15239.7</v>
      </c>
      <c r="S491" s="29"/>
      <c r="T491" s="31"/>
      <c r="V491" s="31" t="s">
        <v>24</v>
      </c>
      <c r="W491" s="29">
        <v>145</v>
      </c>
      <c r="X491" s="32">
        <f t="shared" si="79"/>
        <v>7015.1</v>
      </c>
      <c r="Y491" s="33">
        <v>210</v>
      </c>
      <c r="Z491" s="31">
        <f t="shared" si="80"/>
        <v>10159.800000000001</v>
      </c>
      <c r="AA491" s="31">
        <f t="shared" si="81"/>
        <v>32414.600000000006</v>
      </c>
    </row>
    <row r="492" spans="1:38" s="38" customFormat="1" ht="15.75" x14ac:dyDescent="0.25">
      <c r="A492" s="51">
        <v>489</v>
      </c>
      <c r="B492" s="22">
        <v>46016</v>
      </c>
      <c r="C492" s="22">
        <v>46017</v>
      </c>
      <c r="D492" s="105">
        <v>251226011</v>
      </c>
      <c r="E492" s="24" t="s">
        <v>1053</v>
      </c>
      <c r="F492" s="24" t="s">
        <v>1054</v>
      </c>
      <c r="G492" s="24">
        <v>36</v>
      </c>
      <c r="H492" s="164">
        <v>126</v>
      </c>
      <c r="I492" s="162" t="s">
        <v>898</v>
      </c>
      <c r="J492" s="163" t="s">
        <v>23</v>
      </c>
      <c r="K492" s="162" t="s">
        <v>32</v>
      </c>
      <c r="L492" s="101" t="s">
        <v>286</v>
      </c>
      <c r="M492" s="24" t="s">
        <v>1046</v>
      </c>
      <c r="N492" s="37">
        <v>48.3</v>
      </c>
      <c r="O492" s="37">
        <v>11.44</v>
      </c>
      <c r="P492" s="28">
        <f t="shared" si="82"/>
        <v>36.86</v>
      </c>
      <c r="Q492" s="29">
        <v>375</v>
      </c>
      <c r="R492" s="30">
        <f t="shared" si="83"/>
        <v>13822.5</v>
      </c>
      <c r="S492" s="29"/>
      <c r="T492" s="31"/>
      <c r="V492" s="31" t="s">
        <v>24</v>
      </c>
      <c r="W492" s="29">
        <v>145</v>
      </c>
      <c r="X492" s="32">
        <f t="shared" si="79"/>
        <v>5344.7</v>
      </c>
      <c r="Y492" s="33">
        <v>260</v>
      </c>
      <c r="Z492" s="31">
        <f t="shared" si="80"/>
        <v>9583.6</v>
      </c>
      <c r="AA492" s="31">
        <f t="shared" si="81"/>
        <v>28750.800000000003</v>
      </c>
    </row>
    <row r="493" spans="1:38" s="34" customFormat="1" ht="15.75" x14ac:dyDescent="0.25">
      <c r="A493" s="51">
        <v>490</v>
      </c>
      <c r="B493" s="22">
        <v>46016</v>
      </c>
      <c r="C493" s="22">
        <v>46017</v>
      </c>
      <c r="D493" s="101">
        <v>251226012</v>
      </c>
      <c r="E493" s="24" t="s">
        <v>1055</v>
      </c>
      <c r="F493" s="24" t="s">
        <v>1056</v>
      </c>
      <c r="G493" s="24">
        <v>36</v>
      </c>
      <c r="H493" s="164">
        <v>126</v>
      </c>
      <c r="I493" s="162" t="s">
        <v>898</v>
      </c>
      <c r="J493" s="163" t="s">
        <v>23</v>
      </c>
      <c r="K493" s="162" t="s">
        <v>32</v>
      </c>
      <c r="L493" s="101" t="s">
        <v>423</v>
      </c>
      <c r="M493" s="24" t="s">
        <v>1046</v>
      </c>
      <c r="N493" s="37">
        <v>49.26</v>
      </c>
      <c r="O493" s="37">
        <v>12.72</v>
      </c>
      <c r="P493" s="28">
        <f t="shared" si="82"/>
        <v>36.54</v>
      </c>
      <c r="Q493" s="29">
        <v>375</v>
      </c>
      <c r="R493" s="30">
        <f t="shared" si="83"/>
        <v>13702.5</v>
      </c>
      <c r="S493" s="29"/>
      <c r="T493" s="31"/>
      <c r="V493" s="31" t="s">
        <v>24</v>
      </c>
      <c r="W493" s="29">
        <v>145</v>
      </c>
      <c r="X493" s="32">
        <f t="shared" si="79"/>
        <v>5298.3</v>
      </c>
      <c r="Y493" s="33">
        <v>260</v>
      </c>
      <c r="Z493" s="31">
        <f t="shared" si="80"/>
        <v>9500.4</v>
      </c>
      <c r="AA493" s="31">
        <f t="shared" si="81"/>
        <v>28501.199999999997</v>
      </c>
    </row>
    <row r="494" spans="1:38" s="34" customFormat="1" ht="15.75" x14ac:dyDescent="0.25">
      <c r="A494" s="51">
        <v>491</v>
      </c>
      <c r="B494" s="22">
        <v>46016</v>
      </c>
      <c r="C494" s="22">
        <v>46017</v>
      </c>
      <c r="D494" s="105">
        <v>251226013</v>
      </c>
      <c r="E494" s="24" t="s">
        <v>1057</v>
      </c>
      <c r="F494" s="24" t="s">
        <v>1058</v>
      </c>
      <c r="G494" s="24">
        <v>47</v>
      </c>
      <c r="H494" s="164">
        <v>126</v>
      </c>
      <c r="I494" s="162" t="s">
        <v>898</v>
      </c>
      <c r="J494" s="163" t="s">
        <v>23</v>
      </c>
      <c r="K494" s="162" t="s">
        <v>32</v>
      </c>
      <c r="L494" s="101" t="s">
        <v>38</v>
      </c>
      <c r="M494" s="24" t="s">
        <v>1046</v>
      </c>
      <c r="N494" s="37">
        <v>63.58</v>
      </c>
      <c r="O494" s="37">
        <v>15.78</v>
      </c>
      <c r="P494" s="28">
        <f t="shared" si="82"/>
        <v>47.8</v>
      </c>
      <c r="Q494" s="29">
        <v>375</v>
      </c>
      <c r="R494" s="30">
        <f t="shared" si="83"/>
        <v>17925</v>
      </c>
      <c r="S494" s="29"/>
      <c r="T494" s="31"/>
      <c r="V494" s="31" t="s">
        <v>24</v>
      </c>
      <c r="W494" s="29">
        <v>145</v>
      </c>
      <c r="X494" s="32">
        <f t="shared" si="79"/>
        <v>6931</v>
      </c>
      <c r="Y494" s="33">
        <v>260</v>
      </c>
      <c r="Z494" s="31">
        <f t="shared" si="80"/>
        <v>12428</v>
      </c>
      <c r="AA494" s="31">
        <f t="shared" si="81"/>
        <v>37284</v>
      </c>
    </row>
    <row r="495" spans="1:38" s="34" customFormat="1" ht="15.75" x14ac:dyDescent="0.25">
      <c r="A495" s="51">
        <v>492</v>
      </c>
      <c r="B495" s="22">
        <v>46017</v>
      </c>
      <c r="C495" s="22">
        <v>46017</v>
      </c>
      <c r="D495" s="104">
        <v>251226014</v>
      </c>
      <c r="E495" s="24" t="s">
        <v>1059</v>
      </c>
      <c r="F495" s="24" t="s">
        <v>1060</v>
      </c>
      <c r="G495" s="24">
        <v>51</v>
      </c>
      <c r="H495" s="25">
        <v>84</v>
      </c>
      <c r="I495" s="26" t="s">
        <v>50</v>
      </c>
      <c r="J495" s="151" t="s">
        <v>23</v>
      </c>
      <c r="K495" s="43" t="s">
        <v>32</v>
      </c>
      <c r="L495" s="101" t="s">
        <v>418</v>
      </c>
      <c r="M495" s="24" t="s">
        <v>36</v>
      </c>
      <c r="N495" s="24">
        <v>69.239999999999995</v>
      </c>
      <c r="O495" s="24">
        <v>18.02</v>
      </c>
      <c r="P495" s="28">
        <f>N495-O495</f>
        <v>51.22</v>
      </c>
      <c r="Q495" s="29">
        <v>515</v>
      </c>
      <c r="R495" s="30">
        <f>Q495*P495</f>
        <v>26378.3</v>
      </c>
      <c r="S495" s="29"/>
      <c r="T495" s="31"/>
      <c r="V495" s="31" t="s">
        <v>24</v>
      </c>
      <c r="W495" s="29">
        <v>145</v>
      </c>
      <c r="X495" s="32">
        <f t="shared" ref="X495:X524" si="84">W495*P495</f>
        <v>7426.9</v>
      </c>
      <c r="Y495" s="33">
        <v>200</v>
      </c>
      <c r="Z495" s="33">
        <f t="shared" ref="Z495:Z524" si="85">Y495*P495</f>
        <v>10244</v>
      </c>
      <c r="AA495" s="31">
        <f t="shared" ref="AA495:AA524" si="86">R495+X495+Z495</f>
        <v>44049.2</v>
      </c>
    </row>
    <row r="496" spans="1:38" s="34" customFormat="1" ht="15.75" x14ac:dyDescent="0.25">
      <c r="A496" s="51">
        <v>493</v>
      </c>
      <c r="B496" s="22">
        <v>46017</v>
      </c>
      <c r="C496" s="22">
        <v>46017</v>
      </c>
      <c r="D496" s="104">
        <v>251226015</v>
      </c>
      <c r="E496" s="24" t="s">
        <v>1061</v>
      </c>
      <c r="F496" s="24" t="s">
        <v>1062</v>
      </c>
      <c r="G496" s="24">
        <v>42</v>
      </c>
      <c r="H496" s="64">
        <v>119</v>
      </c>
      <c r="I496" s="43" t="s">
        <v>870</v>
      </c>
      <c r="J496" s="147" t="s">
        <v>23</v>
      </c>
      <c r="K496" s="43" t="s">
        <v>32</v>
      </c>
      <c r="L496" s="101" t="s">
        <v>379</v>
      </c>
      <c r="M496" s="24" t="s">
        <v>306</v>
      </c>
      <c r="N496" s="24">
        <v>58.12</v>
      </c>
      <c r="O496" s="24">
        <v>15.82</v>
      </c>
      <c r="P496" s="28">
        <f>N496-O496</f>
        <v>42.3</v>
      </c>
      <c r="Q496" s="29">
        <v>425</v>
      </c>
      <c r="R496" s="30">
        <f>Q496*P496</f>
        <v>17977.5</v>
      </c>
      <c r="S496" s="29"/>
      <c r="T496" s="31"/>
      <c r="V496" s="31" t="s">
        <v>24</v>
      </c>
      <c r="W496" s="29">
        <v>145</v>
      </c>
      <c r="X496" s="32">
        <f t="shared" si="84"/>
        <v>6133.5</v>
      </c>
      <c r="Y496" s="33">
        <v>150</v>
      </c>
      <c r="Z496" s="33">
        <f t="shared" si="85"/>
        <v>6345</v>
      </c>
      <c r="AA496" s="31">
        <f t="shared" si="86"/>
        <v>30456</v>
      </c>
    </row>
    <row r="497" spans="1:38" s="34" customFormat="1" ht="15.75" x14ac:dyDescent="0.25">
      <c r="A497" s="51">
        <v>494</v>
      </c>
      <c r="B497" s="22">
        <v>46017</v>
      </c>
      <c r="C497" s="22">
        <v>46017</v>
      </c>
      <c r="D497" s="104">
        <v>251226016</v>
      </c>
      <c r="E497" s="24" t="s">
        <v>1063</v>
      </c>
      <c r="F497" s="24" t="s">
        <v>1064</v>
      </c>
      <c r="G497" s="24">
        <v>34</v>
      </c>
      <c r="H497" s="64">
        <v>119</v>
      </c>
      <c r="I497" s="43" t="s">
        <v>870</v>
      </c>
      <c r="J497" s="147" t="s">
        <v>23</v>
      </c>
      <c r="K497" s="43" t="s">
        <v>32</v>
      </c>
      <c r="L497" s="101" t="s">
        <v>240</v>
      </c>
      <c r="M497" s="24" t="s">
        <v>306</v>
      </c>
      <c r="N497" s="37">
        <v>45.76</v>
      </c>
      <c r="O497" s="24">
        <v>11.44</v>
      </c>
      <c r="P497" s="28">
        <f>N497-O497</f>
        <v>34.32</v>
      </c>
      <c r="Q497" s="29">
        <v>425</v>
      </c>
      <c r="R497" s="30">
        <f>Q497*P497</f>
        <v>14586</v>
      </c>
      <c r="S497" s="29"/>
      <c r="T497" s="31"/>
      <c r="V497" s="31" t="s">
        <v>24</v>
      </c>
      <c r="W497" s="29">
        <v>145</v>
      </c>
      <c r="X497" s="32">
        <f t="shared" si="84"/>
        <v>4976.3999999999996</v>
      </c>
      <c r="Y497" s="33">
        <v>150</v>
      </c>
      <c r="Z497" s="33">
        <f t="shared" si="85"/>
        <v>5148</v>
      </c>
      <c r="AA497" s="31">
        <f t="shared" si="86"/>
        <v>24710.400000000001</v>
      </c>
    </row>
    <row r="498" spans="1:38" s="38" customFormat="1" ht="15.75" x14ac:dyDescent="0.25">
      <c r="A498" s="51">
        <v>495</v>
      </c>
      <c r="B498" s="22">
        <v>46017</v>
      </c>
      <c r="C498" s="22">
        <v>46017</v>
      </c>
      <c r="D498" s="104">
        <v>251226017</v>
      </c>
      <c r="E498" s="24" t="s">
        <v>1065</v>
      </c>
      <c r="F498" s="24" t="s">
        <v>1066</v>
      </c>
      <c r="G498" s="24">
        <v>32</v>
      </c>
      <c r="H498" s="64">
        <v>119</v>
      </c>
      <c r="I498" s="43" t="s">
        <v>870</v>
      </c>
      <c r="J498" s="147" t="s">
        <v>23</v>
      </c>
      <c r="K498" s="43" t="s">
        <v>32</v>
      </c>
      <c r="L498" s="101" t="s">
        <v>246</v>
      </c>
      <c r="M498" s="24" t="s">
        <v>306</v>
      </c>
      <c r="N498" s="37">
        <v>44.52</v>
      </c>
      <c r="O498" s="24">
        <v>11.56</v>
      </c>
      <c r="P498" s="28">
        <f t="shared" ref="P498:P508" si="87">N498-O498</f>
        <v>32.96</v>
      </c>
      <c r="Q498" s="29">
        <v>425</v>
      </c>
      <c r="R498" s="30">
        <f t="shared" ref="R498:R524" si="88">Q498*P498</f>
        <v>14008</v>
      </c>
      <c r="S498" s="29"/>
      <c r="T498" s="31"/>
      <c r="V498" s="31" t="s">
        <v>24</v>
      </c>
      <c r="W498" s="29">
        <v>145</v>
      </c>
      <c r="X498" s="32">
        <f t="shared" si="84"/>
        <v>4779.2</v>
      </c>
      <c r="Y498" s="33">
        <v>150</v>
      </c>
      <c r="Z498" s="33">
        <f t="shared" si="85"/>
        <v>4944</v>
      </c>
      <c r="AA498" s="31">
        <f t="shared" si="86"/>
        <v>23731.200000000001</v>
      </c>
    </row>
    <row r="499" spans="1:38" s="34" customFormat="1" ht="15.75" x14ac:dyDescent="0.25">
      <c r="A499" s="51">
        <v>496</v>
      </c>
      <c r="B499" s="22">
        <v>46017</v>
      </c>
      <c r="C499" s="22">
        <v>46017</v>
      </c>
      <c r="D499" s="104">
        <v>251226018</v>
      </c>
      <c r="E499" s="24" t="s">
        <v>1067</v>
      </c>
      <c r="F499" s="24" t="s">
        <v>1068</v>
      </c>
      <c r="G499" s="24">
        <v>44</v>
      </c>
      <c r="H499" s="25">
        <v>84</v>
      </c>
      <c r="I499" s="26" t="s">
        <v>50</v>
      </c>
      <c r="J499" s="151" t="s">
        <v>23</v>
      </c>
      <c r="K499" s="43" t="s">
        <v>32</v>
      </c>
      <c r="L499" s="101" t="s">
        <v>54</v>
      </c>
      <c r="M499" s="24" t="s">
        <v>34</v>
      </c>
      <c r="N499" s="37">
        <v>59.76</v>
      </c>
      <c r="O499" s="37">
        <v>14.92</v>
      </c>
      <c r="P499" s="28">
        <f t="shared" si="87"/>
        <v>44.839999999999996</v>
      </c>
      <c r="Q499" s="29">
        <v>305</v>
      </c>
      <c r="R499" s="30">
        <f t="shared" si="88"/>
        <v>13676.199999999999</v>
      </c>
      <c r="S499" s="29"/>
      <c r="T499" s="31"/>
      <c r="V499" s="31" t="s">
        <v>24</v>
      </c>
      <c r="W499" s="29">
        <v>145</v>
      </c>
      <c r="X499" s="32">
        <f t="shared" si="84"/>
        <v>6501.7999999999993</v>
      </c>
      <c r="Y499" s="33">
        <v>200</v>
      </c>
      <c r="Z499" s="33">
        <f t="shared" si="85"/>
        <v>8968</v>
      </c>
      <c r="AA499" s="31">
        <f t="shared" si="86"/>
        <v>29146</v>
      </c>
    </row>
    <row r="500" spans="1:38" s="34" customFormat="1" ht="15.75" x14ac:dyDescent="0.25">
      <c r="A500" s="51">
        <v>497</v>
      </c>
      <c r="B500" s="22">
        <v>46017</v>
      </c>
      <c r="C500" s="22">
        <v>46017</v>
      </c>
      <c r="D500" s="104" t="s">
        <v>1069</v>
      </c>
      <c r="E500" s="24"/>
      <c r="F500" s="24"/>
      <c r="G500" s="24"/>
      <c r="H500" s="48">
        <v>16</v>
      </c>
      <c r="I500" s="43" t="s">
        <v>1070</v>
      </c>
      <c r="J500" s="161" t="s">
        <v>23</v>
      </c>
      <c r="K500" s="150" t="s">
        <v>30</v>
      </c>
      <c r="L500" s="101" t="s">
        <v>1071</v>
      </c>
      <c r="M500" s="24" t="s">
        <v>31</v>
      </c>
      <c r="N500" s="37">
        <v>8.7799999999999994</v>
      </c>
      <c r="O500" s="37">
        <v>3.52</v>
      </c>
      <c r="P500" s="28">
        <f t="shared" si="87"/>
        <v>5.26</v>
      </c>
      <c r="Q500" s="29">
        <v>150</v>
      </c>
      <c r="R500" s="30">
        <f t="shared" si="88"/>
        <v>789</v>
      </c>
      <c r="S500" s="29">
        <v>789</v>
      </c>
      <c r="T500" s="31"/>
      <c r="V500" s="31" t="s">
        <v>24</v>
      </c>
      <c r="W500" s="29"/>
      <c r="X500" s="32">
        <f t="shared" si="84"/>
        <v>0</v>
      </c>
      <c r="Y500" s="33"/>
      <c r="Z500" s="33">
        <f t="shared" si="85"/>
        <v>0</v>
      </c>
      <c r="AA500" s="31">
        <f t="shared" si="86"/>
        <v>789</v>
      </c>
    </row>
    <row r="501" spans="1:38" s="34" customFormat="1" ht="15.75" x14ac:dyDescent="0.25">
      <c r="A501" s="51">
        <v>498</v>
      </c>
      <c r="B501" s="22">
        <v>46017</v>
      </c>
      <c r="C501" s="22">
        <v>46017</v>
      </c>
      <c r="D501" s="104">
        <v>251226019</v>
      </c>
      <c r="E501" s="24" t="s">
        <v>1072</v>
      </c>
      <c r="F501" s="24" t="s">
        <v>1073</v>
      </c>
      <c r="G501" s="24">
        <v>38</v>
      </c>
      <c r="H501" s="64">
        <v>119</v>
      </c>
      <c r="I501" s="43" t="s">
        <v>870</v>
      </c>
      <c r="J501" s="147" t="s">
        <v>23</v>
      </c>
      <c r="K501" s="43" t="s">
        <v>32</v>
      </c>
      <c r="L501" s="101" t="s">
        <v>1074</v>
      </c>
      <c r="M501" s="24" t="s">
        <v>306</v>
      </c>
      <c r="N501" s="37">
        <v>52.9</v>
      </c>
      <c r="O501" s="37">
        <v>13.84</v>
      </c>
      <c r="P501" s="28">
        <f t="shared" si="87"/>
        <v>39.06</v>
      </c>
      <c r="Q501" s="29">
        <v>425</v>
      </c>
      <c r="R501" s="30">
        <f t="shared" si="88"/>
        <v>16600.5</v>
      </c>
      <c r="S501" s="29"/>
      <c r="T501" s="31"/>
      <c r="V501" s="31" t="s">
        <v>24</v>
      </c>
      <c r="W501" s="29">
        <v>145</v>
      </c>
      <c r="X501" s="32">
        <f t="shared" si="84"/>
        <v>5663.7000000000007</v>
      </c>
      <c r="Y501" s="33">
        <v>150</v>
      </c>
      <c r="Z501" s="33">
        <f t="shared" si="85"/>
        <v>5859</v>
      </c>
      <c r="AA501" s="31">
        <f t="shared" si="86"/>
        <v>28123.200000000001</v>
      </c>
    </row>
    <row r="502" spans="1:38" s="34" customFormat="1" ht="20.100000000000001" customHeight="1" x14ac:dyDescent="0.25">
      <c r="A502" s="51">
        <v>499</v>
      </c>
      <c r="B502" s="22">
        <v>46017</v>
      </c>
      <c r="C502" s="22">
        <v>46017</v>
      </c>
      <c r="D502" s="104">
        <v>251226020</v>
      </c>
      <c r="E502" s="24" t="s">
        <v>1075</v>
      </c>
      <c r="F502" s="24" t="s">
        <v>1076</v>
      </c>
      <c r="G502" s="24">
        <v>46</v>
      </c>
      <c r="H502" s="25">
        <v>84</v>
      </c>
      <c r="I502" s="26" t="s">
        <v>50</v>
      </c>
      <c r="J502" s="151" t="s">
        <v>23</v>
      </c>
      <c r="K502" s="43" t="s">
        <v>32</v>
      </c>
      <c r="L502" s="101" t="s">
        <v>40</v>
      </c>
      <c r="M502" s="24" t="s">
        <v>36</v>
      </c>
      <c r="N502" s="37">
        <v>61.36</v>
      </c>
      <c r="O502" s="37">
        <v>15</v>
      </c>
      <c r="P502" s="28">
        <f t="shared" si="87"/>
        <v>46.36</v>
      </c>
      <c r="Q502" s="29">
        <v>515</v>
      </c>
      <c r="R502" s="30">
        <f t="shared" si="88"/>
        <v>23875.4</v>
      </c>
      <c r="S502" s="29"/>
      <c r="T502" s="31"/>
      <c r="V502" s="31" t="s">
        <v>24</v>
      </c>
      <c r="W502" s="29">
        <v>145</v>
      </c>
      <c r="X502" s="32">
        <f t="shared" si="84"/>
        <v>6722.2</v>
      </c>
      <c r="Y502" s="33">
        <v>200</v>
      </c>
      <c r="Z502" s="33">
        <f t="shared" si="85"/>
        <v>9272</v>
      </c>
      <c r="AA502" s="31">
        <f t="shared" si="86"/>
        <v>39869.600000000006</v>
      </c>
      <c r="AB502" s="40"/>
      <c r="AC502" s="39"/>
      <c r="AD502" s="41"/>
      <c r="AE502" s="42"/>
      <c r="AF502" s="39"/>
      <c r="AG502" s="42"/>
      <c r="AH502" s="39"/>
      <c r="AI502" s="41"/>
      <c r="AJ502" s="39"/>
      <c r="AK502" s="41"/>
      <c r="AL502" s="41"/>
    </row>
    <row r="503" spans="1:38" s="34" customFormat="1" ht="15.75" x14ac:dyDescent="0.25">
      <c r="A503" s="51">
        <v>500</v>
      </c>
      <c r="B503" s="22">
        <v>46017</v>
      </c>
      <c r="C503" s="22">
        <v>46017</v>
      </c>
      <c r="D503" s="104">
        <v>251226021</v>
      </c>
      <c r="E503" s="24" t="s">
        <v>1077</v>
      </c>
      <c r="F503" s="24" t="s">
        <v>1078</v>
      </c>
      <c r="G503" s="24">
        <v>58</v>
      </c>
      <c r="H503" s="64">
        <v>126</v>
      </c>
      <c r="I503" s="43" t="s">
        <v>898</v>
      </c>
      <c r="J503" s="147" t="s">
        <v>23</v>
      </c>
      <c r="K503" s="43" t="s">
        <v>32</v>
      </c>
      <c r="L503" s="101" t="s">
        <v>46</v>
      </c>
      <c r="M503" s="24" t="s">
        <v>1079</v>
      </c>
      <c r="N503" s="37">
        <v>75.599999999999994</v>
      </c>
      <c r="O503" s="37">
        <v>17.32</v>
      </c>
      <c r="P503" s="28">
        <f t="shared" si="87"/>
        <v>58.279999999999994</v>
      </c>
      <c r="Q503" s="29">
        <v>375</v>
      </c>
      <c r="R503" s="30">
        <f t="shared" si="88"/>
        <v>21854.999999999996</v>
      </c>
      <c r="S503" s="29"/>
      <c r="T503" s="31"/>
      <c r="V503" s="31" t="s">
        <v>24</v>
      </c>
      <c r="W503" s="29">
        <v>145</v>
      </c>
      <c r="X503" s="32">
        <f t="shared" si="84"/>
        <v>8450.5999999999985</v>
      </c>
      <c r="Y503" s="33">
        <v>260</v>
      </c>
      <c r="Z503" s="33">
        <f t="shared" si="85"/>
        <v>15152.8</v>
      </c>
      <c r="AA503" s="31">
        <f t="shared" si="86"/>
        <v>45458.399999999994</v>
      </c>
    </row>
    <row r="504" spans="1:38" s="34" customFormat="1" ht="15.75" x14ac:dyDescent="0.25">
      <c r="A504" s="51">
        <v>501</v>
      </c>
      <c r="B504" s="22">
        <v>46017</v>
      </c>
      <c r="C504" s="22">
        <v>46017</v>
      </c>
      <c r="D504" s="104">
        <v>251226022</v>
      </c>
      <c r="E504" s="24" t="s">
        <v>1080</v>
      </c>
      <c r="F504" s="24" t="s">
        <v>1081</v>
      </c>
      <c r="G504" s="24">
        <v>34</v>
      </c>
      <c r="H504" s="64">
        <v>131</v>
      </c>
      <c r="I504" s="43" t="s">
        <v>700</v>
      </c>
      <c r="J504" s="147" t="s">
        <v>23</v>
      </c>
      <c r="K504" s="43" t="s">
        <v>32</v>
      </c>
      <c r="L504" s="101" t="s">
        <v>286</v>
      </c>
      <c r="M504" s="24" t="s">
        <v>36</v>
      </c>
      <c r="N504" s="37">
        <v>46.12</v>
      </c>
      <c r="O504" s="37">
        <v>11.36</v>
      </c>
      <c r="P504" s="28">
        <f t="shared" si="87"/>
        <v>34.76</v>
      </c>
      <c r="Q504" s="29">
        <v>535</v>
      </c>
      <c r="R504" s="30">
        <f t="shared" si="88"/>
        <v>18596.599999999999</v>
      </c>
      <c r="S504" s="29"/>
      <c r="T504" s="31"/>
      <c r="V504" s="31" t="s">
        <v>24</v>
      </c>
      <c r="W504" s="29">
        <v>145</v>
      </c>
      <c r="X504" s="32">
        <f t="shared" si="84"/>
        <v>5040.2</v>
      </c>
      <c r="Y504" s="33">
        <v>200</v>
      </c>
      <c r="Z504" s="33">
        <f t="shared" si="85"/>
        <v>6952</v>
      </c>
      <c r="AA504" s="31">
        <f t="shared" si="86"/>
        <v>30588.799999999999</v>
      </c>
    </row>
    <row r="505" spans="1:38" s="34" customFormat="1" ht="15.75" x14ac:dyDescent="0.25">
      <c r="A505" s="51">
        <v>502</v>
      </c>
      <c r="B505" s="22">
        <v>46017</v>
      </c>
      <c r="C505" s="22">
        <v>46017</v>
      </c>
      <c r="D505" s="104">
        <v>251226023</v>
      </c>
      <c r="E505" s="24" t="s">
        <v>1082</v>
      </c>
      <c r="F505" s="24" t="s">
        <v>1083</v>
      </c>
      <c r="G505" s="24">
        <v>33</v>
      </c>
      <c r="H505" s="64">
        <v>131</v>
      </c>
      <c r="I505" s="43" t="s">
        <v>700</v>
      </c>
      <c r="J505" s="147" t="s">
        <v>23</v>
      </c>
      <c r="K505" s="43" t="s">
        <v>32</v>
      </c>
      <c r="L505" s="101" t="s">
        <v>41</v>
      </c>
      <c r="M505" s="24" t="s">
        <v>36</v>
      </c>
      <c r="N505" s="37">
        <v>45.74</v>
      </c>
      <c r="O505" s="37">
        <v>11.76</v>
      </c>
      <c r="P505" s="28">
        <f t="shared" si="87"/>
        <v>33.980000000000004</v>
      </c>
      <c r="Q505" s="29">
        <v>535</v>
      </c>
      <c r="R505" s="30">
        <f t="shared" si="88"/>
        <v>18179.300000000003</v>
      </c>
      <c r="S505" s="29"/>
      <c r="T505" s="31"/>
      <c r="V505" s="31" t="s">
        <v>24</v>
      </c>
      <c r="W505" s="29">
        <v>145</v>
      </c>
      <c r="X505" s="32">
        <f t="shared" si="84"/>
        <v>4927.1000000000004</v>
      </c>
      <c r="Y505" s="33">
        <v>200</v>
      </c>
      <c r="Z505" s="33">
        <f t="shared" si="85"/>
        <v>6796.0000000000009</v>
      </c>
      <c r="AA505" s="31">
        <f t="shared" si="86"/>
        <v>29902.400000000001</v>
      </c>
    </row>
    <row r="506" spans="1:38" s="34" customFormat="1" ht="15.75" x14ac:dyDescent="0.25">
      <c r="A506" s="51">
        <v>503</v>
      </c>
      <c r="B506" s="22">
        <v>46017</v>
      </c>
      <c r="C506" s="22">
        <v>46017</v>
      </c>
      <c r="D506" s="104">
        <v>251226024</v>
      </c>
      <c r="E506" s="24" t="s">
        <v>1084</v>
      </c>
      <c r="F506" s="24" t="s">
        <v>1085</v>
      </c>
      <c r="G506" s="24">
        <v>31</v>
      </c>
      <c r="H506" s="64">
        <v>119</v>
      </c>
      <c r="I506" s="43" t="s">
        <v>870</v>
      </c>
      <c r="J506" s="147" t="s">
        <v>23</v>
      </c>
      <c r="K506" s="43" t="s">
        <v>32</v>
      </c>
      <c r="L506" s="101" t="s">
        <v>246</v>
      </c>
      <c r="M506" s="24" t="s">
        <v>306</v>
      </c>
      <c r="N506" s="37">
        <v>43.06</v>
      </c>
      <c r="O506" s="37">
        <v>11.48</v>
      </c>
      <c r="P506" s="28">
        <f t="shared" si="87"/>
        <v>31.580000000000002</v>
      </c>
      <c r="Q506" s="29">
        <v>425</v>
      </c>
      <c r="R506" s="30">
        <f t="shared" si="88"/>
        <v>13421.5</v>
      </c>
      <c r="S506" s="29"/>
      <c r="T506" s="31"/>
      <c r="V506" s="31" t="s">
        <v>24</v>
      </c>
      <c r="W506" s="29">
        <v>145</v>
      </c>
      <c r="X506" s="32">
        <f t="shared" si="84"/>
        <v>4579.1000000000004</v>
      </c>
      <c r="Y506" s="33">
        <v>150</v>
      </c>
      <c r="Z506" s="33">
        <f t="shared" si="85"/>
        <v>4737</v>
      </c>
      <c r="AA506" s="31">
        <f t="shared" si="86"/>
        <v>22737.599999999999</v>
      </c>
    </row>
    <row r="507" spans="1:38" s="38" customFormat="1" ht="15.75" x14ac:dyDescent="0.25">
      <c r="A507" s="51">
        <v>504</v>
      </c>
      <c r="B507" s="22">
        <v>46017</v>
      </c>
      <c r="C507" s="22">
        <v>46017</v>
      </c>
      <c r="D507" s="104">
        <v>251226025</v>
      </c>
      <c r="E507" s="24" t="s">
        <v>1086</v>
      </c>
      <c r="F507" s="24" t="s">
        <v>1087</v>
      </c>
      <c r="G507" s="24">
        <v>43</v>
      </c>
      <c r="H507" s="64">
        <v>131</v>
      </c>
      <c r="I507" s="43" t="s">
        <v>700</v>
      </c>
      <c r="J507" s="147" t="s">
        <v>23</v>
      </c>
      <c r="K507" s="43" t="s">
        <v>32</v>
      </c>
      <c r="L507" s="101" t="s">
        <v>39</v>
      </c>
      <c r="M507" s="24" t="s">
        <v>34</v>
      </c>
      <c r="N507" s="37">
        <v>59.6</v>
      </c>
      <c r="O507" s="37">
        <v>15.68</v>
      </c>
      <c r="P507" s="28">
        <f t="shared" si="87"/>
        <v>43.92</v>
      </c>
      <c r="Q507" s="29">
        <v>285</v>
      </c>
      <c r="R507" s="30">
        <f t="shared" si="88"/>
        <v>12517.2</v>
      </c>
      <c r="S507" s="29"/>
      <c r="T507" s="31"/>
      <c r="V507" s="31" t="s">
        <v>24</v>
      </c>
      <c r="W507" s="29">
        <v>145</v>
      </c>
      <c r="X507" s="32">
        <f t="shared" si="84"/>
        <v>6368.4000000000005</v>
      </c>
      <c r="Y507" s="33">
        <v>200</v>
      </c>
      <c r="Z507" s="31">
        <f t="shared" si="85"/>
        <v>8784</v>
      </c>
      <c r="AA507" s="31">
        <f t="shared" si="86"/>
        <v>27669.600000000002</v>
      </c>
    </row>
    <row r="508" spans="1:38" s="38" customFormat="1" ht="15.75" x14ac:dyDescent="0.25">
      <c r="A508" s="51">
        <v>505</v>
      </c>
      <c r="B508" s="22">
        <v>46017</v>
      </c>
      <c r="C508" s="22">
        <v>46017</v>
      </c>
      <c r="D508" s="104">
        <v>251226026</v>
      </c>
      <c r="E508" s="24" t="s">
        <v>1088</v>
      </c>
      <c r="F508" s="24" t="s">
        <v>1089</v>
      </c>
      <c r="G508" s="24">
        <v>42</v>
      </c>
      <c r="H508" s="64">
        <v>119</v>
      </c>
      <c r="I508" s="43" t="s">
        <v>870</v>
      </c>
      <c r="J508" s="147" t="s">
        <v>23</v>
      </c>
      <c r="K508" s="43" t="s">
        <v>32</v>
      </c>
      <c r="L508" s="101" t="s">
        <v>243</v>
      </c>
      <c r="M508" s="24" t="s">
        <v>306</v>
      </c>
      <c r="N508" s="37">
        <v>58.4</v>
      </c>
      <c r="O508" s="37">
        <v>15.88</v>
      </c>
      <c r="P508" s="28">
        <f t="shared" si="87"/>
        <v>42.519999999999996</v>
      </c>
      <c r="Q508" s="29">
        <v>425</v>
      </c>
      <c r="R508" s="30">
        <f t="shared" si="88"/>
        <v>18071</v>
      </c>
      <c r="S508" s="29"/>
      <c r="T508" s="31"/>
      <c r="V508" s="31" t="s">
        <v>24</v>
      </c>
      <c r="W508" s="29">
        <v>145</v>
      </c>
      <c r="X508" s="32">
        <f t="shared" si="84"/>
        <v>6165.4</v>
      </c>
      <c r="Y508" s="33">
        <v>150</v>
      </c>
      <c r="Z508" s="31">
        <f t="shared" si="85"/>
        <v>6377.9999999999991</v>
      </c>
      <c r="AA508" s="31">
        <f t="shared" si="86"/>
        <v>30614.400000000001</v>
      </c>
    </row>
    <row r="509" spans="1:38" s="34" customFormat="1" ht="15.75" x14ac:dyDescent="0.25">
      <c r="A509" s="51">
        <v>506</v>
      </c>
      <c r="B509" s="22">
        <v>46017</v>
      </c>
      <c r="C509" s="22">
        <v>46017</v>
      </c>
      <c r="D509" s="104">
        <v>251226027</v>
      </c>
      <c r="E509" s="24" t="s">
        <v>1090</v>
      </c>
      <c r="F509" s="24" t="s">
        <v>1091</v>
      </c>
      <c r="G509" s="24">
        <v>42</v>
      </c>
      <c r="H509" s="64">
        <v>119</v>
      </c>
      <c r="I509" s="43" t="s">
        <v>870</v>
      </c>
      <c r="J509" s="147" t="s">
        <v>23</v>
      </c>
      <c r="K509" s="43" t="s">
        <v>32</v>
      </c>
      <c r="L509" s="101" t="s">
        <v>379</v>
      </c>
      <c r="M509" s="24" t="s">
        <v>306</v>
      </c>
      <c r="N509" s="37">
        <v>58.5</v>
      </c>
      <c r="O509" s="37">
        <v>15.8</v>
      </c>
      <c r="P509" s="28">
        <f>N509-O509</f>
        <v>42.7</v>
      </c>
      <c r="Q509" s="29">
        <v>425</v>
      </c>
      <c r="R509" s="30">
        <f t="shared" si="88"/>
        <v>18147.5</v>
      </c>
      <c r="S509" s="29"/>
      <c r="T509" s="31"/>
      <c r="V509" s="31" t="s">
        <v>24</v>
      </c>
      <c r="W509" s="29">
        <v>145</v>
      </c>
      <c r="X509" s="32">
        <f t="shared" si="84"/>
        <v>6191.5</v>
      </c>
      <c r="Y509" s="33">
        <v>150</v>
      </c>
      <c r="Z509" s="31">
        <f t="shared" si="85"/>
        <v>6405</v>
      </c>
      <c r="AA509" s="31">
        <f t="shared" si="86"/>
        <v>30744</v>
      </c>
    </row>
    <row r="510" spans="1:38" s="34" customFormat="1" ht="15.75" x14ac:dyDescent="0.25">
      <c r="A510" s="51">
        <v>507</v>
      </c>
      <c r="B510" s="22">
        <v>46017</v>
      </c>
      <c r="C510" s="22">
        <v>46017</v>
      </c>
      <c r="D510" s="104">
        <v>251226028</v>
      </c>
      <c r="E510" s="24" t="s">
        <v>1092</v>
      </c>
      <c r="F510" s="24" t="s">
        <v>1093</v>
      </c>
      <c r="G510" s="24">
        <v>39</v>
      </c>
      <c r="H510" s="64">
        <v>119</v>
      </c>
      <c r="I510" s="43" t="s">
        <v>870</v>
      </c>
      <c r="J510" s="147" t="s">
        <v>23</v>
      </c>
      <c r="K510" s="43" t="s">
        <v>32</v>
      </c>
      <c r="L510" s="101" t="s">
        <v>1074</v>
      </c>
      <c r="M510" s="24" t="s">
        <v>306</v>
      </c>
      <c r="N510" s="37">
        <v>53.18</v>
      </c>
      <c r="O510" s="37">
        <v>13.8</v>
      </c>
      <c r="P510" s="28">
        <f>N510-O510</f>
        <v>39.379999999999995</v>
      </c>
      <c r="Q510" s="29">
        <v>425</v>
      </c>
      <c r="R510" s="30">
        <f t="shared" si="88"/>
        <v>16736.499999999996</v>
      </c>
      <c r="S510" s="29"/>
      <c r="T510" s="31"/>
      <c r="V510" s="31" t="s">
        <v>24</v>
      </c>
      <c r="W510" s="29">
        <v>145</v>
      </c>
      <c r="X510" s="32">
        <f t="shared" si="84"/>
        <v>5710.0999999999995</v>
      </c>
      <c r="Y510" s="33">
        <v>150</v>
      </c>
      <c r="Z510" s="31">
        <f t="shared" si="85"/>
        <v>5906.9999999999991</v>
      </c>
      <c r="AA510" s="31">
        <f t="shared" si="86"/>
        <v>28353.599999999995</v>
      </c>
    </row>
    <row r="511" spans="1:38" s="34" customFormat="1" ht="15.75" x14ac:dyDescent="0.25">
      <c r="A511" s="51">
        <v>508</v>
      </c>
      <c r="B511" s="22">
        <v>46017</v>
      </c>
      <c r="C511" s="22">
        <v>46017</v>
      </c>
      <c r="D511" s="104" t="s">
        <v>1094</v>
      </c>
      <c r="E511" s="24"/>
      <c r="F511" s="24"/>
      <c r="G511" s="24"/>
      <c r="H511" s="150"/>
      <c r="I511" s="150" t="s">
        <v>48</v>
      </c>
      <c r="J511" s="147" t="s">
        <v>23</v>
      </c>
      <c r="K511" s="43" t="s">
        <v>32</v>
      </c>
      <c r="L511" s="101" t="s">
        <v>253</v>
      </c>
      <c r="M511" s="24" t="s">
        <v>49</v>
      </c>
      <c r="N511" s="37">
        <v>26.46</v>
      </c>
      <c r="O511" s="37">
        <v>14.1</v>
      </c>
      <c r="P511" s="28">
        <f>N511-O511</f>
        <v>12.360000000000001</v>
      </c>
      <c r="Q511" s="29">
        <v>0</v>
      </c>
      <c r="R511" s="30">
        <f t="shared" si="88"/>
        <v>0</v>
      </c>
      <c r="S511" s="29"/>
      <c r="T511" s="31"/>
      <c r="V511" s="31" t="s">
        <v>24</v>
      </c>
      <c r="W511" s="29"/>
      <c r="X511" s="32">
        <f t="shared" si="84"/>
        <v>0</v>
      </c>
      <c r="Y511" s="33"/>
      <c r="Z511" s="31">
        <f t="shared" si="85"/>
        <v>0</v>
      </c>
      <c r="AA511" s="31">
        <f t="shared" si="86"/>
        <v>0</v>
      </c>
    </row>
    <row r="512" spans="1:38" s="38" customFormat="1" ht="15.75" x14ac:dyDescent="0.25">
      <c r="A512" s="51">
        <v>509</v>
      </c>
      <c r="B512" s="22">
        <v>46017</v>
      </c>
      <c r="C512" s="22">
        <v>46017</v>
      </c>
      <c r="D512" s="104" t="s">
        <v>1095</v>
      </c>
      <c r="E512" s="24"/>
      <c r="F512" s="24"/>
      <c r="G512" s="24"/>
      <c r="H512" s="150"/>
      <c r="I512" s="150" t="s">
        <v>48</v>
      </c>
      <c r="J512" s="147" t="s">
        <v>23</v>
      </c>
      <c r="K512" s="43" t="s">
        <v>32</v>
      </c>
      <c r="L512" s="101" t="s">
        <v>1096</v>
      </c>
      <c r="M512" s="24" t="s">
        <v>49</v>
      </c>
      <c r="N512" s="37">
        <v>27.98</v>
      </c>
      <c r="O512" s="37">
        <v>14.16</v>
      </c>
      <c r="P512" s="28">
        <f>N512-O512</f>
        <v>13.82</v>
      </c>
      <c r="Q512" s="29">
        <v>0</v>
      </c>
      <c r="R512" s="30">
        <f t="shared" si="88"/>
        <v>0</v>
      </c>
      <c r="S512" s="29"/>
      <c r="T512" s="31"/>
      <c r="V512" s="31" t="s">
        <v>24</v>
      </c>
      <c r="W512" s="29"/>
      <c r="X512" s="32">
        <f t="shared" si="84"/>
        <v>0</v>
      </c>
      <c r="Y512" s="33"/>
      <c r="Z512" s="31">
        <f t="shared" si="85"/>
        <v>0</v>
      </c>
      <c r="AA512" s="31">
        <f t="shared" si="86"/>
        <v>0</v>
      </c>
    </row>
    <row r="513" spans="1:27" s="38" customFormat="1" ht="15.75" x14ac:dyDescent="0.25">
      <c r="A513" s="51">
        <v>510</v>
      </c>
      <c r="B513" s="22">
        <v>46017</v>
      </c>
      <c r="C513" s="22">
        <v>46017</v>
      </c>
      <c r="D513" s="166">
        <v>251226029</v>
      </c>
      <c r="E513" s="24" t="s">
        <v>1097</v>
      </c>
      <c r="F513" s="24" t="s">
        <v>1098</v>
      </c>
      <c r="G513" s="24">
        <v>62</v>
      </c>
      <c r="H513" s="167">
        <v>115</v>
      </c>
      <c r="I513" s="162" t="s">
        <v>35</v>
      </c>
      <c r="J513" s="163" t="s">
        <v>23</v>
      </c>
      <c r="K513" s="168" t="s">
        <v>32</v>
      </c>
      <c r="L513" s="101" t="s">
        <v>46</v>
      </c>
      <c r="M513" s="24" t="s">
        <v>34</v>
      </c>
      <c r="N513" s="37">
        <v>79.66</v>
      </c>
      <c r="O513" s="37">
        <v>17.3</v>
      </c>
      <c r="P513" s="28">
        <f t="shared" ref="P513:P524" si="89">N513-O513</f>
        <v>62.36</v>
      </c>
      <c r="Q513" s="29">
        <v>315</v>
      </c>
      <c r="R513" s="30">
        <f t="shared" si="88"/>
        <v>19643.400000000001</v>
      </c>
      <c r="S513" s="29"/>
      <c r="T513" s="31"/>
      <c r="V513" s="31" t="s">
        <v>24</v>
      </c>
      <c r="W513" s="29">
        <v>145</v>
      </c>
      <c r="X513" s="32">
        <f t="shared" si="84"/>
        <v>9042.2000000000007</v>
      </c>
      <c r="Y513" s="33">
        <v>260</v>
      </c>
      <c r="Z513" s="31">
        <f t="shared" si="85"/>
        <v>16213.6</v>
      </c>
      <c r="AA513" s="31">
        <f t="shared" si="86"/>
        <v>44899.200000000004</v>
      </c>
    </row>
    <row r="514" spans="1:27" s="34" customFormat="1" ht="15.75" x14ac:dyDescent="0.25">
      <c r="A514" s="51">
        <v>511</v>
      </c>
      <c r="B514" s="22">
        <v>46017</v>
      </c>
      <c r="C514" s="22">
        <v>46017</v>
      </c>
      <c r="D514" s="101">
        <v>251226030</v>
      </c>
      <c r="E514" s="24" t="s">
        <v>1099</v>
      </c>
      <c r="F514" s="24" t="s">
        <v>1100</v>
      </c>
      <c r="G514" s="24">
        <v>32</v>
      </c>
      <c r="H514" s="167">
        <v>115</v>
      </c>
      <c r="I514" s="162" t="s">
        <v>35</v>
      </c>
      <c r="J514" s="163" t="s">
        <v>23</v>
      </c>
      <c r="K514" s="168" t="s">
        <v>32</v>
      </c>
      <c r="L514" s="101" t="s">
        <v>41</v>
      </c>
      <c r="M514" s="24" t="s">
        <v>34</v>
      </c>
      <c r="N514" s="37">
        <v>44.46</v>
      </c>
      <c r="O514" s="37">
        <v>11.86</v>
      </c>
      <c r="P514" s="28">
        <f t="shared" si="89"/>
        <v>32.6</v>
      </c>
      <c r="Q514" s="29">
        <v>315</v>
      </c>
      <c r="R514" s="30">
        <f t="shared" si="88"/>
        <v>10269</v>
      </c>
      <c r="S514" s="29"/>
      <c r="T514" s="31"/>
      <c r="V514" s="31" t="s">
        <v>24</v>
      </c>
      <c r="W514" s="29">
        <v>145</v>
      </c>
      <c r="X514" s="32">
        <f t="shared" si="84"/>
        <v>4727</v>
      </c>
      <c r="Y514" s="33">
        <v>260</v>
      </c>
      <c r="Z514" s="31">
        <f t="shared" si="85"/>
        <v>8476</v>
      </c>
      <c r="AA514" s="31">
        <f t="shared" si="86"/>
        <v>23472</v>
      </c>
    </row>
    <row r="515" spans="1:27" s="34" customFormat="1" ht="15.75" x14ac:dyDescent="0.25">
      <c r="A515" s="51">
        <v>512</v>
      </c>
      <c r="B515" s="22">
        <v>46017</v>
      </c>
      <c r="C515" s="22">
        <v>46017</v>
      </c>
      <c r="D515" s="101">
        <v>251226031</v>
      </c>
      <c r="E515" s="24" t="s">
        <v>1101</v>
      </c>
      <c r="F515" s="24" t="s">
        <v>1102</v>
      </c>
      <c r="G515" s="24">
        <v>32</v>
      </c>
      <c r="H515" s="167">
        <v>115</v>
      </c>
      <c r="I515" s="162" t="s">
        <v>35</v>
      </c>
      <c r="J515" s="163" t="s">
        <v>23</v>
      </c>
      <c r="K515" s="168" t="s">
        <v>32</v>
      </c>
      <c r="L515" s="101" t="s">
        <v>286</v>
      </c>
      <c r="M515" s="24" t="s">
        <v>34</v>
      </c>
      <c r="N515" s="37">
        <v>44.1</v>
      </c>
      <c r="O515" s="37">
        <v>11.5</v>
      </c>
      <c r="P515" s="28">
        <f t="shared" si="89"/>
        <v>32.6</v>
      </c>
      <c r="Q515" s="29">
        <v>315</v>
      </c>
      <c r="R515" s="30">
        <f t="shared" si="88"/>
        <v>10269</v>
      </c>
      <c r="S515" s="29"/>
      <c r="T515" s="31"/>
      <c r="V515" s="31" t="s">
        <v>24</v>
      </c>
      <c r="W515" s="29">
        <v>145</v>
      </c>
      <c r="X515" s="32">
        <f t="shared" si="84"/>
        <v>4727</v>
      </c>
      <c r="Y515" s="33">
        <v>260</v>
      </c>
      <c r="Z515" s="31">
        <f t="shared" si="85"/>
        <v>8476</v>
      </c>
      <c r="AA515" s="31">
        <f t="shared" si="86"/>
        <v>23472</v>
      </c>
    </row>
    <row r="516" spans="1:27" s="34" customFormat="1" ht="15.75" x14ac:dyDescent="0.25">
      <c r="A516" s="51">
        <v>513</v>
      </c>
      <c r="B516" s="22">
        <v>46017</v>
      </c>
      <c r="C516" s="22">
        <v>46017</v>
      </c>
      <c r="D516" s="101">
        <v>251226032</v>
      </c>
      <c r="E516" s="24" t="s">
        <v>1103</v>
      </c>
      <c r="F516" s="24" t="s">
        <v>1104</v>
      </c>
      <c r="G516" s="24">
        <v>48</v>
      </c>
      <c r="H516" s="169">
        <v>1</v>
      </c>
      <c r="I516" s="162" t="s">
        <v>1105</v>
      </c>
      <c r="J516" s="170" t="s">
        <v>23</v>
      </c>
      <c r="K516" s="162" t="s">
        <v>32</v>
      </c>
      <c r="L516" s="101" t="s">
        <v>1106</v>
      </c>
      <c r="M516" s="24" t="s">
        <v>37</v>
      </c>
      <c r="N516" s="37">
        <v>63.8</v>
      </c>
      <c r="O516" s="37">
        <v>14.82</v>
      </c>
      <c r="P516" s="28">
        <f t="shared" si="89"/>
        <v>48.98</v>
      </c>
      <c r="Q516" s="29">
        <v>450</v>
      </c>
      <c r="R516" s="30">
        <f t="shared" si="88"/>
        <v>22041</v>
      </c>
      <c r="S516" s="29"/>
      <c r="T516" s="31"/>
      <c r="V516" s="31" t="s">
        <v>24</v>
      </c>
      <c r="W516" s="29">
        <v>145</v>
      </c>
      <c r="X516" s="32">
        <f t="shared" si="84"/>
        <v>7102.0999999999995</v>
      </c>
      <c r="Y516" s="33"/>
      <c r="Z516" s="31">
        <f t="shared" si="85"/>
        <v>0</v>
      </c>
      <c r="AA516" s="31">
        <f t="shared" si="86"/>
        <v>29143.1</v>
      </c>
    </row>
    <row r="517" spans="1:27" s="34" customFormat="1" ht="15.75" x14ac:dyDescent="0.25">
      <c r="A517" s="51">
        <v>514</v>
      </c>
      <c r="B517" s="22">
        <v>46017</v>
      </c>
      <c r="C517" s="22">
        <v>46017</v>
      </c>
      <c r="D517" s="101">
        <v>251226033</v>
      </c>
      <c r="E517" s="24" t="s">
        <v>1107</v>
      </c>
      <c r="F517" s="24" t="s">
        <v>1108</v>
      </c>
      <c r="G517" s="24">
        <v>42</v>
      </c>
      <c r="H517" s="167">
        <v>115</v>
      </c>
      <c r="I517" s="162" t="s">
        <v>35</v>
      </c>
      <c r="J517" s="163" t="s">
        <v>23</v>
      </c>
      <c r="K517" s="168" t="s">
        <v>32</v>
      </c>
      <c r="L517" s="101" t="s">
        <v>585</v>
      </c>
      <c r="M517" s="24" t="s">
        <v>34</v>
      </c>
      <c r="N517" s="37">
        <v>58.74</v>
      </c>
      <c r="O517" s="37">
        <v>14.96</v>
      </c>
      <c r="P517" s="28">
        <f t="shared" si="89"/>
        <v>43.78</v>
      </c>
      <c r="Q517" s="29">
        <v>315</v>
      </c>
      <c r="R517" s="30">
        <f t="shared" si="88"/>
        <v>13790.7</v>
      </c>
      <c r="S517" s="29"/>
      <c r="T517" s="31"/>
      <c r="V517" s="31" t="s">
        <v>24</v>
      </c>
      <c r="W517" s="29">
        <v>145</v>
      </c>
      <c r="X517" s="32">
        <f t="shared" si="84"/>
        <v>6348.1</v>
      </c>
      <c r="Y517" s="33">
        <v>260</v>
      </c>
      <c r="Z517" s="31">
        <f t="shared" si="85"/>
        <v>11382.800000000001</v>
      </c>
      <c r="AA517" s="31">
        <f t="shared" si="86"/>
        <v>31521.600000000006</v>
      </c>
    </row>
    <row r="518" spans="1:27" s="38" customFormat="1" ht="15.75" x14ac:dyDescent="0.25">
      <c r="A518" s="51">
        <v>515</v>
      </c>
      <c r="B518" s="22">
        <v>46017</v>
      </c>
      <c r="C518" s="22">
        <v>46018</v>
      </c>
      <c r="D518" s="101">
        <v>251227001</v>
      </c>
      <c r="E518" s="24" t="s">
        <v>1109</v>
      </c>
      <c r="F518" s="24" t="s">
        <v>1110</v>
      </c>
      <c r="G518" s="24">
        <v>42</v>
      </c>
      <c r="H518" s="64">
        <v>119</v>
      </c>
      <c r="I518" s="43" t="s">
        <v>870</v>
      </c>
      <c r="J518" s="147" t="s">
        <v>23</v>
      </c>
      <c r="K518" s="43" t="s">
        <v>32</v>
      </c>
      <c r="L518" s="24" t="s">
        <v>38</v>
      </c>
      <c r="M518" s="24" t="s">
        <v>306</v>
      </c>
      <c r="N518" s="37">
        <v>59.68</v>
      </c>
      <c r="O518" s="37">
        <v>15.86</v>
      </c>
      <c r="P518" s="28">
        <f t="shared" si="89"/>
        <v>43.82</v>
      </c>
      <c r="Q518" s="29">
        <v>425</v>
      </c>
      <c r="R518" s="30">
        <f t="shared" si="88"/>
        <v>18623.5</v>
      </c>
      <c r="S518" s="29"/>
      <c r="T518" s="31"/>
      <c r="V518" s="31" t="s">
        <v>24</v>
      </c>
      <c r="W518" s="29">
        <v>145</v>
      </c>
      <c r="X518" s="32">
        <f t="shared" si="84"/>
        <v>6353.9</v>
      </c>
      <c r="Y518" s="33">
        <v>150</v>
      </c>
      <c r="Z518" s="31">
        <f t="shared" si="85"/>
        <v>6573</v>
      </c>
      <c r="AA518" s="31">
        <f t="shared" si="86"/>
        <v>31550.400000000001</v>
      </c>
    </row>
    <row r="519" spans="1:27" s="34" customFormat="1" ht="15.75" x14ac:dyDescent="0.25">
      <c r="A519" s="51">
        <v>516</v>
      </c>
      <c r="B519" s="22">
        <v>46017</v>
      </c>
      <c r="C519" s="22">
        <v>46018</v>
      </c>
      <c r="D519" s="101">
        <v>25127002</v>
      </c>
      <c r="E519" s="24" t="s">
        <v>1111</v>
      </c>
      <c r="F519" s="24" t="s">
        <v>1112</v>
      </c>
      <c r="G519" s="24">
        <v>43</v>
      </c>
      <c r="H519" s="25">
        <v>84</v>
      </c>
      <c r="I519" s="26" t="s">
        <v>50</v>
      </c>
      <c r="J519" s="151" t="s">
        <v>23</v>
      </c>
      <c r="K519" s="43" t="s">
        <v>32</v>
      </c>
      <c r="L519" s="101" t="s">
        <v>40</v>
      </c>
      <c r="M519" s="24" t="s">
        <v>34</v>
      </c>
      <c r="N519" s="37">
        <v>58.84</v>
      </c>
      <c r="O519" s="37">
        <v>15.12</v>
      </c>
      <c r="P519" s="28">
        <f t="shared" si="89"/>
        <v>43.720000000000006</v>
      </c>
      <c r="Q519" s="29">
        <v>305</v>
      </c>
      <c r="R519" s="30">
        <f t="shared" si="88"/>
        <v>13334.600000000002</v>
      </c>
      <c r="S519" s="29"/>
      <c r="T519" s="31"/>
      <c r="V519" s="31" t="s">
        <v>24</v>
      </c>
      <c r="W519" s="29">
        <v>145</v>
      </c>
      <c r="X519" s="32">
        <f t="shared" si="84"/>
        <v>6339.4000000000005</v>
      </c>
      <c r="Y519" s="33">
        <v>200</v>
      </c>
      <c r="Z519" s="31">
        <f t="shared" si="85"/>
        <v>8744.0000000000018</v>
      </c>
      <c r="AA519" s="31">
        <f t="shared" si="86"/>
        <v>28418.000000000007</v>
      </c>
    </row>
    <row r="520" spans="1:27" s="34" customFormat="1" ht="15.75" x14ac:dyDescent="0.25">
      <c r="A520" s="51">
        <v>517</v>
      </c>
      <c r="B520" s="22">
        <v>46017</v>
      </c>
      <c r="C520" s="22">
        <v>46018</v>
      </c>
      <c r="D520" s="101">
        <v>251227003</v>
      </c>
      <c r="E520" s="24" t="s">
        <v>1113</v>
      </c>
      <c r="F520" s="24" t="s">
        <v>1114</v>
      </c>
      <c r="G520" s="24">
        <v>43</v>
      </c>
      <c r="H520" s="25">
        <v>84</v>
      </c>
      <c r="I520" s="26" t="s">
        <v>50</v>
      </c>
      <c r="J520" s="151" t="s">
        <v>23</v>
      </c>
      <c r="K520" s="43" t="s">
        <v>32</v>
      </c>
      <c r="L520" s="101" t="s">
        <v>39</v>
      </c>
      <c r="M520" s="24" t="s">
        <v>34</v>
      </c>
      <c r="N520" s="37">
        <v>59.1</v>
      </c>
      <c r="O520" s="37">
        <v>15.88</v>
      </c>
      <c r="P520" s="28">
        <f t="shared" si="89"/>
        <v>43.22</v>
      </c>
      <c r="Q520" s="29">
        <v>305</v>
      </c>
      <c r="R520" s="30">
        <f t="shared" si="88"/>
        <v>13182.1</v>
      </c>
      <c r="S520" s="29"/>
      <c r="T520" s="31"/>
      <c r="V520" s="31" t="s">
        <v>24</v>
      </c>
      <c r="W520" s="29">
        <v>145</v>
      </c>
      <c r="X520" s="32">
        <f t="shared" si="84"/>
        <v>6266.9</v>
      </c>
      <c r="Y520" s="33">
        <v>200</v>
      </c>
      <c r="Z520" s="31">
        <f t="shared" si="85"/>
        <v>8644</v>
      </c>
      <c r="AA520" s="31">
        <f t="shared" si="86"/>
        <v>28093</v>
      </c>
    </row>
    <row r="521" spans="1:27" s="38" customFormat="1" ht="15.75" x14ac:dyDescent="0.25">
      <c r="A521" s="51">
        <v>518</v>
      </c>
      <c r="B521" s="22">
        <v>46017</v>
      </c>
      <c r="C521" s="22">
        <v>46018</v>
      </c>
      <c r="D521" s="101">
        <v>251227004</v>
      </c>
      <c r="E521" s="24" t="s">
        <v>1115</v>
      </c>
      <c r="F521" s="24" t="s">
        <v>1116</v>
      </c>
      <c r="G521" s="24">
        <v>45</v>
      </c>
      <c r="H521" s="25">
        <v>84</v>
      </c>
      <c r="I521" s="26" t="s">
        <v>50</v>
      </c>
      <c r="J521" s="151" t="s">
        <v>23</v>
      </c>
      <c r="K521" s="43" t="s">
        <v>32</v>
      </c>
      <c r="L521" s="101" t="s">
        <v>467</v>
      </c>
      <c r="M521" s="24" t="s">
        <v>36</v>
      </c>
      <c r="N521" s="37">
        <v>65.28</v>
      </c>
      <c r="O521" s="37">
        <v>16.3</v>
      </c>
      <c r="P521" s="28">
        <f t="shared" si="89"/>
        <v>48.980000000000004</v>
      </c>
      <c r="Q521" s="29">
        <v>515</v>
      </c>
      <c r="R521" s="30">
        <f t="shared" si="88"/>
        <v>25224.7</v>
      </c>
      <c r="S521" s="24"/>
      <c r="T521" s="31"/>
      <c r="V521" s="31" t="s">
        <v>24</v>
      </c>
      <c r="W521" s="29">
        <v>145</v>
      </c>
      <c r="X521" s="32">
        <f t="shared" si="84"/>
        <v>7102.1</v>
      </c>
      <c r="Y521" s="33">
        <v>200</v>
      </c>
      <c r="Z521" s="31">
        <f t="shared" si="85"/>
        <v>9796</v>
      </c>
      <c r="AA521" s="31">
        <f t="shared" si="86"/>
        <v>42122.8</v>
      </c>
    </row>
    <row r="522" spans="1:27" s="38" customFormat="1" ht="15.75" x14ac:dyDescent="0.25">
      <c r="A522" s="51">
        <v>519</v>
      </c>
      <c r="B522" s="22">
        <v>46017</v>
      </c>
      <c r="C522" s="22">
        <v>46018</v>
      </c>
      <c r="D522" s="101">
        <v>251227006</v>
      </c>
      <c r="E522" s="24" t="s">
        <v>1117</v>
      </c>
      <c r="F522" s="24" t="s">
        <v>1118</v>
      </c>
      <c r="G522" s="24">
        <v>42</v>
      </c>
      <c r="H522" s="167">
        <v>115</v>
      </c>
      <c r="I522" s="162" t="s">
        <v>35</v>
      </c>
      <c r="J522" s="163" t="s">
        <v>23</v>
      </c>
      <c r="K522" s="168" t="s">
        <v>32</v>
      </c>
      <c r="L522" s="101" t="s">
        <v>127</v>
      </c>
      <c r="M522" s="24" t="s">
        <v>34</v>
      </c>
      <c r="N522" s="37">
        <v>58.7</v>
      </c>
      <c r="O522" s="37">
        <v>15.78</v>
      </c>
      <c r="P522" s="28">
        <f t="shared" si="89"/>
        <v>42.92</v>
      </c>
      <c r="Q522" s="24">
        <v>315</v>
      </c>
      <c r="R522" s="30">
        <f t="shared" si="88"/>
        <v>13519.800000000001</v>
      </c>
      <c r="S522" s="24"/>
      <c r="T522" s="31"/>
      <c r="V522" s="31" t="s">
        <v>24</v>
      </c>
      <c r="W522" s="29">
        <v>145</v>
      </c>
      <c r="X522" s="32">
        <f t="shared" si="84"/>
        <v>6223.4000000000005</v>
      </c>
      <c r="Y522" s="33">
        <v>260</v>
      </c>
      <c r="Z522" s="31">
        <f t="shared" si="85"/>
        <v>11159.2</v>
      </c>
      <c r="AA522" s="31">
        <f t="shared" si="86"/>
        <v>30902.400000000001</v>
      </c>
    </row>
    <row r="523" spans="1:27" s="38" customFormat="1" ht="15.75" x14ac:dyDescent="0.25">
      <c r="A523" s="51">
        <v>520</v>
      </c>
      <c r="B523" s="22">
        <v>46017</v>
      </c>
      <c r="C523" s="22">
        <v>46018</v>
      </c>
      <c r="D523" s="101">
        <v>251227007</v>
      </c>
      <c r="E523" s="24" t="s">
        <v>1119</v>
      </c>
      <c r="F523" s="24" t="s">
        <v>1120</v>
      </c>
      <c r="G523" s="24">
        <v>33</v>
      </c>
      <c r="H523" s="64">
        <v>119</v>
      </c>
      <c r="I523" s="43" t="s">
        <v>870</v>
      </c>
      <c r="J523" s="147" t="s">
        <v>23</v>
      </c>
      <c r="K523" s="43" t="s">
        <v>32</v>
      </c>
      <c r="L523" s="101" t="s">
        <v>682</v>
      </c>
      <c r="M523" s="24" t="s">
        <v>306</v>
      </c>
      <c r="N523" s="37">
        <v>46.8</v>
      </c>
      <c r="O523" s="37">
        <v>11.58</v>
      </c>
      <c r="P523" s="28">
        <f t="shared" si="89"/>
        <v>35.22</v>
      </c>
      <c r="Q523" s="24">
        <v>425</v>
      </c>
      <c r="R523" s="30">
        <f t="shared" si="88"/>
        <v>14968.5</v>
      </c>
      <c r="S523" s="24"/>
      <c r="T523" s="31"/>
      <c r="V523" s="31" t="s">
        <v>24</v>
      </c>
      <c r="W523" s="29">
        <v>145</v>
      </c>
      <c r="X523" s="32">
        <f t="shared" si="84"/>
        <v>5106.8999999999996</v>
      </c>
      <c r="Y523" s="33">
        <v>200</v>
      </c>
      <c r="Z523" s="31">
        <f t="shared" si="85"/>
        <v>7044</v>
      </c>
      <c r="AA523" s="31">
        <f t="shared" si="86"/>
        <v>27119.4</v>
      </c>
    </row>
    <row r="524" spans="1:27" s="38" customFormat="1" ht="15.75" x14ac:dyDescent="0.25">
      <c r="A524" s="51">
        <v>521</v>
      </c>
      <c r="B524" s="22">
        <v>46017</v>
      </c>
      <c r="C524" s="22">
        <v>46018</v>
      </c>
      <c r="D524" s="101">
        <v>251227005</v>
      </c>
      <c r="E524" s="24" t="s">
        <v>1121</v>
      </c>
      <c r="F524" s="24" t="s">
        <v>1122</v>
      </c>
      <c r="G524" s="24">
        <v>45</v>
      </c>
      <c r="H524" s="25">
        <v>53</v>
      </c>
      <c r="I524" s="152" t="s">
        <v>430</v>
      </c>
      <c r="J524" s="151" t="s">
        <v>23</v>
      </c>
      <c r="K524" s="43" t="s">
        <v>32</v>
      </c>
      <c r="L524" s="108" t="s">
        <v>514</v>
      </c>
      <c r="M524" s="24" t="s">
        <v>515</v>
      </c>
      <c r="N524" s="37">
        <v>58.68</v>
      </c>
      <c r="O524" s="37">
        <v>15.3</v>
      </c>
      <c r="P524" s="28">
        <f t="shared" si="89"/>
        <v>43.379999999999995</v>
      </c>
      <c r="Q524" s="24">
        <v>355</v>
      </c>
      <c r="R524" s="30">
        <f t="shared" si="88"/>
        <v>15399.899999999998</v>
      </c>
      <c r="S524" s="24"/>
      <c r="T524" s="31"/>
      <c r="V524" s="31" t="s">
        <v>24</v>
      </c>
      <c r="W524" s="29">
        <v>145</v>
      </c>
      <c r="X524" s="32">
        <f t="shared" si="84"/>
        <v>6290.0999999999995</v>
      </c>
      <c r="Y524" s="33">
        <v>200</v>
      </c>
      <c r="Z524" s="31">
        <f t="shared" si="85"/>
        <v>8676</v>
      </c>
      <c r="AA524" s="31">
        <f t="shared" si="86"/>
        <v>30365.999999999996</v>
      </c>
    </row>
    <row r="525" spans="1:27" s="34" customFormat="1" ht="15.75" x14ac:dyDescent="0.25">
      <c r="A525" s="51">
        <v>522</v>
      </c>
      <c r="B525" s="22">
        <v>46018</v>
      </c>
      <c r="C525" s="22">
        <v>46018</v>
      </c>
      <c r="D525" s="104">
        <v>251227008</v>
      </c>
      <c r="E525" s="24" t="s">
        <v>1123</v>
      </c>
      <c r="F525" s="24" t="s">
        <v>1124</v>
      </c>
      <c r="G525" s="24">
        <v>42</v>
      </c>
      <c r="H525" s="35">
        <v>115</v>
      </c>
      <c r="I525" s="43" t="s">
        <v>35</v>
      </c>
      <c r="J525" s="147" t="s">
        <v>23</v>
      </c>
      <c r="K525" s="171" t="s">
        <v>32</v>
      </c>
      <c r="L525" s="101" t="s">
        <v>286</v>
      </c>
      <c r="M525" s="24" t="s">
        <v>34</v>
      </c>
      <c r="N525" s="24">
        <v>45.46</v>
      </c>
      <c r="O525" s="24">
        <v>11.52</v>
      </c>
      <c r="P525" s="28">
        <f>N525-O525</f>
        <v>33.94</v>
      </c>
      <c r="Q525" s="29">
        <v>315</v>
      </c>
      <c r="R525" s="30">
        <f>Q525*P525</f>
        <v>10691.099999999999</v>
      </c>
      <c r="S525" s="29"/>
      <c r="T525" s="31"/>
      <c r="V525" s="31" t="s">
        <v>24</v>
      </c>
      <c r="W525" s="29">
        <v>145</v>
      </c>
      <c r="X525" s="32">
        <f t="shared" ref="X525:X556" si="90">W525*P525</f>
        <v>4921.2999999999993</v>
      </c>
      <c r="Y525" s="33">
        <v>260</v>
      </c>
      <c r="Z525" s="33">
        <f t="shared" ref="Z525:Z556" si="91">Y525*P525</f>
        <v>8824.4</v>
      </c>
      <c r="AA525" s="31">
        <f t="shared" ref="AA525:AA556" si="92">R525+X525+Z525</f>
        <v>24436.799999999996</v>
      </c>
    </row>
    <row r="526" spans="1:27" s="34" customFormat="1" ht="15.75" x14ac:dyDescent="0.25">
      <c r="A526" s="51">
        <v>523</v>
      </c>
      <c r="B526" s="22">
        <v>46018</v>
      </c>
      <c r="C526" s="22">
        <v>46018</v>
      </c>
      <c r="D526" s="104">
        <v>251227009</v>
      </c>
      <c r="E526" s="24" t="s">
        <v>1125</v>
      </c>
      <c r="F526" s="24" t="s">
        <v>1126</v>
      </c>
      <c r="G526" s="24">
        <v>42</v>
      </c>
      <c r="H526" s="35">
        <v>115</v>
      </c>
      <c r="I526" s="43" t="s">
        <v>35</v>
      </c>
      <c r="J526" s="147" t="s">
        <v>23</v>
      </c>
      <c r="K526" s="171" t="s">
        <v>32</v>
      </c>
      <c r="L526" s="101" t="s">
        <v>41</v>
      </c>
      <c r="M526" s="24" t="s">
        <v>34</v>
      </c>
      <c r="N526" s="24">
        <v>45.42</v>
      </c>
      <c r="O526" s="24">
        <v>11.74</v>
      </c>
      <c r="P526" s="28">
        <f>N526-O526</f>
        <v>33.68</v>
      </c>
      <c r="Q526" s="29">
        <v>315</v>
      </c>
      <c r="R526" s="30">
        <f>Q526*P526</f>
        <v>10609.2</v>
      </c>
      <c r="S526" s="29"/>
      <c r="T526" s="31"/>
      <c r="V526" s="31" t="s">
        <v>24</v>
      </c>
      <c r="W526" s="29">
        <v>145</v>
      </c>
      <c r="X526" s="32">
        <f t="shared" si="90"/>
        <v>4883.6000000000004</v>
      </c>
      <c r="Y526" s="33">
        <v>260</v>
      </c>
      <c r="Z526" s="33">
        <f t="shared" si="91"/>
        <v>8756.7999999999993</v>
      </c>
      <c r="AA526" s="31">
        <f t="shared" si="92"/>
        <v>24249.599999999999</v>
      </c>
    </row>
    <row r="527" spans="1:27" s="34" customFormat="1" ht="15.75" x14ac:dyDescent="0.25">
      <c r="A527" s="51">
        <v>524</v>
      </c>
      <c r="B527" s="22">
        <v>46018</v>
      </c>
      <c r="C527" s="22">
        <v>46018</v>
      </c>
      <c r="D527" s="104">
        <v>251227010</v>
      </c>
      <c r="E527" s="24" t="s">
        <v>1127</v>
      </c>
      <c r="F527" s="24" t="s">
        <v>1128</v>
      </c>
      <c r="G527" s="24">
        <v>42</v>
      </c>
      <c r="H527" s="35">
        <v>115</v>
      </c>
      <c r="I527" s="43" t="s">
        <v>35</v>
      </c>
      <c r="J527" s="147" t="s">
        <v>23</v>
      </c>
      <c r="K527" s="171" t="s">
        <v>32</v>
      </c>
      <c r="L527" s="101" t="s">
        <v>418</v>
      </c>
      <c r="M527" s="24" t="s">
        <v>34</v>
      </c>
      <c r="N527" s="24">
        <v>62</v>
      </c>
      <c r="O527" s="24">
        <v>18.22</v>
      </c>
      <c r="P527" s="28">
        <f>N527-O527</f>
        <v>43.78</v>
      </c>
      <c r="Q527" s="29">
        <v>315</v>
      </c>
      <c r="R527" s="30">
        <f>Q527*P527</f>
        <v>13790.7</v>
      </c>
      <c r="S527" s="29"/>
      <c r="T527" s="31"/>
      <c r="V527" s="31" t="s">
        <v>24</v>
      </c>
      <c r="W527" s="29">
        <v>145</v>
      </c>
      <c r="X527" s="32">
        <f t="shared" si="90"/>
        <v>6348.1</v>
      </c>
      <c r="Y527" s="33">
        <v>260</v>
      </c>
      <c r="Z527" s="33">
        <f t="shared" si="91"/>
        <v>11382.800000000001</v>
      </c>
      <c r="AA527" s="31">
        <f t="shared" si="92"/>
        <v>31521.600000000006</v>
      </c>
    </row>
    <row r="528" spans="1:27" s="38" customFormat="1" ht="15.75" x14ac:dyDescent="0.25">
      <c r="A528" s="51">
        <v>525</v>
      </c>
      <c r="B528" s="22">
        <v>46018</v>
      </c>
      <c r="C528" s="22">
        <v>46018</v>
      </c>
      <c r="D528" s="104">
        <v>251227011</v>
      </c>
      <c r="E528" s="24" t="s">
        <v>1129</v>
      </c>
      <c r="F528" s="24" t="s">
        <v>1130</v>
      </c>
      <c r="G528" s="24">
        <v>42</v>
      </c>
      <c r="H528" s="35">
        <v>115</v>
      </c>
      <c r="I528" s="43" t="s">
        <v>35</v>
      </c>
      <c r="J528" s="147" t="s">
        <v>23</v>
      </c>
      <c r="K528" s="171" t="s">
        <v>32</v>
      </c>
      <c r="L528" s="101" t="s">
        <v>426</v>
      </c>
      <c r="M528" s="24" t="s">
        <v>34</v>
      </c>
      <c r="N528" s="37">
        <v>61.94</v>
      </c>
      <c r="O528" s="24">
        <v>19.059999999999999</v>
      </c>
      <c r="P528" s="28">
        <f t="shared" ref="P528:P550" si="93">N528-O528</f>
        <v>42.879999999999995</v>
      </c>
      <c r="Q528" s="29">
        <v>315</v>
      </c>
      <c r="R528" s="30">
        <f t="shared" ref="R528:R550" si="94">Q528*P528</f>
        <v>13507.199999999999</v>
      </c>
      <c r="S528" s="29"/>
      <c r="T528" s="31"/>
      <c r="V528" s="31" t="s">
        <v>24</v>
      </c>
      <c r="W528" s="29">
        <v>145</v>
      </c>
      <c r="X528" s="32">
        <f t="shared" si="90"/>
        <v>6217.5999999999995</v>
      </c>
      <c r="Y528" s="33">
        <v>260</v>
      </c>
      <c r="Z528" s="33">
        <f t="shared" si="91"/>
        <v>11148.8</v>
      </c>
      <c r="AA528" s="31">
        <f t="shared" si="92"/>
        <v>30873.599999999999</v>
      </c>
    </row>
    <row r="529" spans="1:38" s="34" customFormat="1" ht="15.75" x14ac:dyDescent="0.25">
      <c r="A529" s="51">
        <v>526</v>
      </c>
      <c r="B529" s="22">
        <v>46018</v>
      </c>
      <c r="C529" s="22">
        <v>46018</v>
      </c>
      <c r="D529" s="104">
        <v>251227012</v>
      </c>
      <c r="E529" s="24" t="s">
        <v>1131</v>
      </c>
      <c r="F529" s="24" t="s">
        <v>1132</v>
      </c>
      <c r="G529" s="24">
        <v>42</v>
      </c>
      <c r="H529" s="35">
        <v>115</v>
      </c>
      <c r="I529" s="43" t="s">
        <v>35</v>
      </c>
      <c r="J529" s="147" t="s">
        <v>23</v>
      </c>
      <c r="K529" s="171" t="s">
        <v>32</v>
      </c>
      <c r="L529" s="101" t="s">
        <v>1133</v>
      </c>
      <c r="M529" s="24" t="s">
        <v>34</v>
      </c>
      <c r="N529" s="37">
        <v>58.06</v>
      </c>
      <c r="O529" s="24">
        <v>15.38</v>
      </c>
      <c r="P529" s="28">
        <f t="shared" si="93"/>
        <v>42.68</v>
      </c>
      <c r="Q529" s="29">
        <v>315</v>
      </c>
      <c r="R529" s="30">
        <f t="shared" si="94"/>
        <v>13444.2</v>
      </c>
      <c r="S529" s="29"/>
      <c r="T529" s="31"/>
      <c r="V529" s="31" t="s">
        <v>24</v>
      </c>
      <c r="W529" s="29">
        <v>145</v>
      </c>
      <c r="X529" s="32">
        <f t="shared" si="90"/>
        <v>6188.6</v>
      </c>
      <c r="Y529" s="33">
        <v>260</v>
      </c>
      <c r="Z529" s="33">
        <f t="shared" si="91"/>
        <v>11096.8</v>
      </c>
      <c r="AA529" s="31">
        <f t="shared" si="92"/>
        <v>30729.600000000002</v>
      </c>
    </row>
    <row r="530" spans="1:38" s="34" customFormat="1" ht="15.75" x14ac:dyDescent="0.25">
      <c r="A530" s="51">
        <v>527</v>
      </c>
      <c r="B530" s="22">
        <v>46018</v>
      </c>
      <c r="C530" s="22">
        <v>46018</v>
      </c>
      <c r="D530" s="104">
        <v>251227013</v>
      </c>
      <c r="E530" s="24" t="s">
        <v>1134</v>
      </c>
      <c r="F530" s="24" t="s">
        <v>1135</v>
      </c>
      <c r="G530" s="24">
        <v>42</v>
      </c>
      <c r="H530" s="35">
        <v>115</v>
      </c>
      <c r="I530" s="43" t="s">
        <v>35</v>
      </c>
      <c r="J530" s="147" t="s">
        <v>23</v>
      </c>
      <c r="K530" s="171" t="s">
        <v>32</v>
      </c>
      <c r="L530" s="101" t="s">
        <v>734</v>
      </c>
      <c r="M530" s="24" t="s">
        <v>34</v>
      </c>
      <c r="N530" s="37">
        <v>60.26</v>
      </c>
      <c r="O530" s="37">
        <v>17.84</v>
      </c>
      <c r="P530" s="28">
        <f t="shared" si="93"/>
        <v>42.42</v>
      </c>
      <c r="Q530" s="29">
        <v>315</v>
      </c>
      <c r="R530" s="30">
        <f t="shared" si="94"/>
        <v>13362.300000000001</v>
      </c>
      <c r="S530" s="29"/>
      <c r="T530" s="31"/>
      <c r="V530" s="31" t="s">
        <v>24</v>
      </c>
      <c r="W530" s="29">
        <v>145</v>
      </c>
      <c r="X530" s="32">
        <f t="shared" si="90"/>
        <v>6150.9000000000005</v>
      </c>
      <c r="Y530" s="33">
        <v>260</v>
      </c>
      <c r="Z530" s="33">
        <f t="shared" si="91"/>
        <v>11029.2</v>
      </c>
      <c r="AA530" s="31">
        <f t="shared" si="92"/>
        <v>30542.400000000001</v>
      </c>
    </row>
    <row r="531" spans="1:38" s="34" customFormat="1" ht="15.75" x14ac:dyDescent="0.25">
      <c r="A531" s="51">
        <v>528</v>
      </c>
      <c r="B531" s="22">
        <v>46018</v>
      </c>
      <c r="C531" s="22">
        <v>46018</v>
      </c>
      <c r="D531" s="104">
        <v>251227014</v>
      </c>
      <c r="E531" s="24" t="s">
        <v>1136</v>
      </c>
      <c r="F531" s="24" t="s">
        <v>1137</v>
      </c>
      <c r="G531" s="24">
        <v>42</v>
      </c>
      <c r="H531" s="35">
        <v>115</v>
      </c>
      <c r="I531" s="43" t="s">
        <v>35</v>
      </c>
      <c r="J531" s="147" t="s">
        <v>23</v>
      </c>
      <c r="K531" s="171" t="s">
        <v>32</v>
      </c>
      <c r="L531" s="101" t="s">
        <v>575</v>
      </c>
      <c r="M531" s="24" t="s">
        <v>34</v>
      </c>
      <c r="N531" s="37">
        <v>60.64</v>
      </c>
      <c r="O531" s="37">
        <v>17.899999999999999</v>
      </c>
      <c r="P531" s="28">
        <f t="shared" si="93"/>
        <v>42.74</v>
      </c>
      <c r="Q531" s="29">
        <v>315</v>
      </c>
      <c r="R531" s="30">
        <f t="shared" si="94"/>
        <v>13463.1</v>
      </c>
      <c r="S531" s="29"/>
      <c r="T531" s="31"/>
      <c r="V531" s="31" t="s">
        <v>24</v>
      </c>
      <c r="W531" s="29">
        <v>145</v>
      </c>
      <c r="X531" s="32">
        <f t="shared" si="90"/>
        <v>6197.3</v>
      </c>
      <c r="Y531" s="33">
        <v>260</v>
      </c>
      <c r="Z531" s="33">
        <f t="shared" si="91"/>
        <v>11112.4</v>
      </c>
      <c r="AA531" s="31">
        <f t="shared" si="92"/>
        <v>30772.800000000003</v>
      </c>
    </row>
    <row r="532" spans="1:38" s="34" customFormat="1" ht="20.100000000000001" customHeight="1" x14ac:dyDescent="0.25">
      <c r="A532" s="51">
        <v>529</v>
      </c>
      <c r="B532" s="22">
        <v>46018</v>
      </c>
      <c r="C532" s="22">
        <v>46018</v>
      </c>
      <c r="D532" s="104">
        <v>251227015</v>
      </c>
      <c r="E532" s="24" t="s">
        <v>1138</v>
      </c>
      <c r="F532" s="24" t="s">
        <v>1139</v>
      </c>
      <c r="G532" s="24">
        <v>42</v>
      </c>
      <c r="H532" s="35">
        <v>115</v>
      </c>
      <c r="I532" s="43" t="s">
        <v>35</v>
      </c>
      <c r="J532" s="147" t="s">
        <v>23</v>
      </c>
      <c r="K532" s="171" t="s">
        <v>32</v>
      </c>
      <c r="L532" s="101" t="s">
        <v>1106</v>
      </c>
      <c r="M532" s="24" t="s">
        <v>34</v>
      </c>
      <c r="N532" s="37">
        <v>58.38</v>
      </c>
      <c r="O532" s="37">
        <v>14.76</v>
      </c>
      <c r="P532" s="28">
        <f t="shared" si="93"/>
        <v>43.620000000000005</v>
      </c>
      <c r="Q532" s="29">
        <v>315</v>
      </c>
      <c r="R532" s="30">
        <f t="shared" si="94"/>
        <v>13740.300000000001</v>
      </c>
      <c r="S532" s="29"/>
      <c r="T532" s="31"/>
      <c r="V532" s="31" t="s">
        <v>24</v>
      </c>
      <c r="W532" s="29">
        <v>145</v>
      </c>
      <c r="X532" s="32">
        <f t="shared" si="90"/>
        <v>6324.9000000000005</v>
      </c>
      <c r="Y532" s="33">
        <v>260</v>
      </c>
      <c r="Z532" s="33">
        <f t="shared" si="91"/>
        <v>11341.2</v>
      </c>
      <c r="AA532" s="31">
        <f t="shared" si="92"/>
        <v>31406.400000000001</v>
      </c>
      <c r="AB532" s="40"/>
      <c r="AC532" s="39"/>
      <c r="AD532" s="41"/>
      <c r="AE532" s="42"/>
      <c r="AF532" s="39"/>
      <c r="AG532" s="42"/>
      <c r="AH532" s="39"/>
      <c r="AI532" s="41"/>
      <c r="AJ532" s="39"/>
      <c r="AK532" s="41"/>
      <c r="AL532" s="41"/>
    </row>
    <row r="533" spans="1:38" s="34" customFormat="1" ht="15.75" x14ac:dyDescent="0.25">
      <c r="A533" s="51">
        <v>530</v>
      </c>
      <c r="B533" s="22">
        <v>46018</v>
      </c>
      <c r="C533" s="22">
        <v>46018</v>
      </c>
      <c r="D533" s="104" t="s">
        <v>1140</v>
      </c>
      <c r="E533" s="24"/>
      <c r="F533" s="24"/>
      <c r="G533" s="24"/>
      <c r="H533" s="46">
        <v>458</v>
      </c>
      <c r="I533" s="165" t="s">
        <v>1141</v>
      </c>
      <c r="J533" s="147" t="s">
        <v>23</v>
      </c>
      <c r="K533" s="43" t="s">
        <v>32</v>
      </c>
      <c r="L533" s="101" t="s">
        <v>844</v>
      </c>
      <c r="M533" s="24" t="s">
        <v>58</v>
      </c>
      <c r="N533" s="37">
        <v>8.2200000000000006</v>
      </c>
      <c r="O533" s="37">
        <v>3.54</v>
      </c>
      <c r="P533" s="28">
        <f t="shared" si="93"/>
        <v>4.6800000000000006</v>
      </c>
      <c r="Q533" s="29">
        <v>250</v>
      </c>
      <c r="R533" s="30">
        <f t="shared" si="94"/>
        <v>1170.0000000000002</v>
      </c>
      <c r="S533" s="29"/>
      <c r="T533" s="31"/>
      <c r="V533" s="31" t="s">
        <v>53</v>
      </c>
      <c r="W533" s="29"/>
      <c r="X533" s="32">
        <f t="shared" si="90"/>
        <v>0</v>
      </c>
      <c r="Y533" s="33"/>
      <c r="Z533" s="33">
        <f t="shared" si="91"/>
        <v>0</v>
      </c>
      <c r="AA533" s="31">
        <f t="shared" si="92"/>
        <v>1170.0000000000002</v>
      </c>
    </row>
    <row r="534" spans="1:38" s="34" customFormat="1" ht="15.75" x14ac:dyDescent="0.25">
      <c r="A534" s="51">
        <v>531</v>
      </c>
      <c r="B534" s="22">
        <v>46018</v>
      </c>
      <c r="C534" s="22">
        <v>46018</v>
      </c>
      <c r="D534" s="104">
        <v>251227016</v>
      </c>
      <c r="E534" s="24" t="s">
        <v>1142</v>
      </c>
      <c r="F534" s="24" t="s">
        <v>1143</v>
      </c>
      <c r="G534" s="24">
        <v>45</v>
      </c>
      <c r="H534" s="25">
        <v>84</v>
      </c>
      <c r="I534" s="26" t="s">
        <v>50</v>
      </c>
      <c r="J534" s="151" t="s">
        <v>23</v>
      </c>
      <c r="K534" s="43" t="s">
        <v>32</v>
      </c>
      <c r="L534" s="101" t="s">
        <v>1144</v>
      </c>
      <c r="M534" s="24" t="s">
        <v>36</v>
      </c>
      <c r="N534" s="37">
        <v>55.6</v>
      </c>
      <c r="O534" s="37">
        <v>13.28</v>
      </c>
      <c r="P534" s="28">
        <f t="shared" si="93"/>
        <v>42.32</v>
      </c>
      <c r="Q534" s="29">
        <v>515</v>
      </c>
      <c r="R534" s="30">
        <f t="shared" si="94"/>
        <v>21794.799999999999</v>
      </c>
      <c r="S534" s="29"/>
      <c r="T534" s="31"/>
      <c r="V534" s="31" t="s">
        <v>24</v>
      </c>
      <c r="W534" s="29">
        <v>145</v>
      </c>
      <c r="X534" s="32">
        <f t="shared" si="90"/>
        <v>6136.4</v>
      </c>
      <c r="Y534" s="33">
        <v>200</v>
      </c>
      <c r="Z534" s="33">
        <f t="shared" si="91"/>
        <v>8464</v>
      </c>
      <c r="AA534" s="31">
        <f t="shared" si="92"/>
        <v>36395.199999999997</v>
      </c>
    </row>
    <row r="535" spans="1:38" s="34" customFormat="1" ht="15.75" x14ac:dyDescent="0.25">
      <c r="A535" s="51">
        <v>532</v>
      </c>
      <c r="B535" s="22">
        <v>46018</v>
      </c>
      <c r="C535" s="22">
        <v>46018</v>
      </c>
      <c r="D535" s="104" t="s">
        <v>1145</v>
      </c>
      <c r="E535" s="24"/>
      <c r="F535" s="24"/>
      <c r="G535" s="24"/>
      <c r="H535" s="46">
        <v>270</v>
      </c>
      <c r="I535" s="172" t="s">
        <v>578</v>
      </c>
      <c r="J535" s="147" t="s">
        <v>23</v>
      </c>
      <c r="K535" s="43" t="s">
        <v>30</v>
      </c>
      <c r="L535" s="101" t="s">
        <v>579</v>
      </c>
      <c r="M535" s="24" t="s">
        <v>31</v>
      </c>
      <c r="N535" s="37">
        <v>7.5</v>
      </c>
      <c r="O535" s="37">
        <v>3.22</v>
      </c>
      <c r="P535" s="28">
        <f t="shared" si="93"/>
        <v>4.2799999999999994</v>
      </c>
      <c r="Q535" s="29">
        <v>150</v>
      </c>
      <c r="R535" s="30">
        <f t="shared" si="94"/>
        <v>641.99999999999989</v>
      </c>
      <c r="S535" s="29">
        <v>642</v>
      </c>
      <c r="T535" s="31"/>
      <c r="V535" s="31" t="s">
        <v>24</v>
      </c>
      <c r="W535" s="29"/>
      <c r="X535" s="32">
        <f t="shared" si="90"/>
        <v>0</v>
      </c>
      <c r="Y535" s="33"/>
      <c r="Z535" s="33">
        <f t="shared" si="91"/>
        <v>0</v>
      </c>
      <c r="AA535" s="31">
        <f t="shared" si="92"/>
        <v>641.99999999999989</v>
      </c>
    </row>
    <row r="536" spans="1:38" s="34" customFormat="1" ht="15.75" x14ac:dyDescent="0.25">
      <c r="A536" s="51">
        <v>533</v>
      </c>
      <c r="B536" s="22">
        <v>46018</v>
      </c>
      <c r="C536" s="22">
        <v>46018</v>
      </c>
      <c r="D536" s="104" t="s">
        <v>1146</v>
      </c>
      <c r="E536" s="24"/>
      <c r="F536" s="24"/>
      <c r="G536" s="24"/>
      <c r="H536" s="45"/>
      <c r="I536" s="45" t="s">
        <v>930</v>
      </c>
      <c r="J536" s="154" t="s">
        <v>23</v>
      </c>
      <c r="K536" s="45" t="s">
        <v>30</v>
      </c>
      <c r="L536" s="101" t="s">
        <v>937</v>
      </c>
      <c r="M536" s="24" t="s">
        <v>31</v>
      </c>
      <c r="N536" s="37">
        <v>7.86</v>
      </c>
      <c r="O536" s="37">
        <v>3.48</v>
      </c>
      <c r="P536" s="28">
        <f t="shared" si="93"/>
        <v>4.3800000000000008</v>
      </c>
      <c r="Q536" s="29">
        <v>150</v>
      </c>
      <c r="R536" s="30">
        <f t="shared" si="94"/>
        <v>657.00000000000011</v>
      </c>
      <c r="S536" s="29">
        <v>657</v>
      </c>
      <c r="T536" s="31"/>
      <c r="V536" s="31" t="s">
        <v>24</v>
      </c>
      <c r="W536" s="29"/>
      <c r="X536" s="32">
        <f t="shared" si="90"/>
        <v>0</v>
      </c>
      <c r="Y536" s="33"/>
      <c r="Z536" s="33">
        <f t="shared" si="91"/>
        <v>0</v>
      </c>
      <c r="AA536" s="31">
        <f t="shared" si="92"/>
        <v>657.00000000000011</v>
      </c>
    </row>
    <row r="537" spans="1:38" s="38" customFormat="1" ht="15.75" x14ac:dyDescent="0.25">
      <c r="A537" s="51">
        <v>534</v>
      </c>
      <c r="B537" s="22">
        <v>46018</v>
      </c>
      <c r="C537" s="22">
        <v>46018</v>
      </c>
      <c r="D537" s="104">
        <v>251227017</v>
      </c>
      <c r="E537" s="24" t="s">
        <v>1147</v>
      </c>
      <c r="F537" s="24" t="s">
        <v>1148</v>
      </c>
      <c r="G537" s="24">
        <v>43</v>
      </c>
      <c r="H537" s="25">
        <v>84</v>
      </c>
      <c r="I537" s="26" t="s">
        <v>50</v>
      </c>
      <c r="J537" s="151" t="s">
        <v>23</v>
      </c>
      <c r="K537" s="43" t="s">
        <v>32</v>
      </c>
      <c r="L537" s="101" t="s">
        <v>54</v>
      </c>
      <c r="M537" s="24" t="s">
        <v>34</v>
      </c>
      <c r="N537" s="37">
        <v>59.04</v>
      </c>
      <c r="O537" s="37">
        <v>14.96</v>
      </c>
      <c r="P537" s="28">
        <f t="shared" si="93"/>
        <v>44.08</v>
      </c>
      <c r="Q537" s="29">
        <v>305</v>
      </c>
      <c r="R537" s="30">
        <f t="shared" si="94"/>
        <v>13444.4</v>
      </c>
      <c r="S537" s="29"/>
      <c r="T537" s="31"/>
      <c r="V537" s="31" t="s">
        <v>24</v>
      </c>
      <c r="W537" s="29">
        <v>145</v>
      </c>
      <c r="X537" s="32">
        <f t="shared" si="90"/>
        <v>6391.5999999999995</v>
      </c>
      <c r="Y537" s="33">
        <v>200</v>
      </c>
      <c r="Z537" s="31">
        <f t="shared" si="91"/>
        <v>8816</v>
      </c>
      <c r="AA537" s="31">
        <f t="shared" si="92"/>
        <v>28652</v>
      </c>
    </row>
    <row r="538" spans="1:38" s="38" customFormat="1" ht="15.75" x14ac:dyDescent="0.25">
      <c r="A538" s="51">
        <v>535</v>
      </c>
      <c r="B538" s="22">
        <v>46018</v>
      </c>
      <c r="C538" s="22">
        <v>46018</v>
      </c>
      <c r="D538" s="104" t="s">
        <v>1149</v>
      </c>
      <c r="E538" s="24"/>
      <c r="F538" s="24"/>
      <c r="G538" s="24"/>
      <c r="H538" s="45"/>
      <c r="I538" s="45" t="s">
        <v>48</v>
      </c>
      <c r="J538" s="154" t="s">
        <v>23</v>
      </c>
      <c r="K538" s="45" t="s">
        <v>32</v>
      </c>
      <c r="L538" s="101" t="s">
        <v>134</v>
      </c>
      <c r="M538" s="24" t="s">
        <v>49</v>
      </c>
      <c r="N538" s="37">
        <v>23.74</v>
      </c>
      <c r="O538" s="37">
        <v>13.94</v>
      </c>
      <c r="P538" s="28">
        <f t="shared" si="93"/>
        <v>9.7999999999999989</v>
      </c>
      <c r="Q538" s="29">
        <v>0</v>
      </c>
      <c r="R538" s="30">
        <f t="shared" si="94"/>
        <v>0</v>
      </c>
      <c r="S538" s="29"/>
      <c r="T538" s="31"/>
      <c r="V538" s="31" t="s">
        <v>24</v>
      </c>
      <c r="W538" s="29"/>
      <c r="X538" s="32">
        <f t="shared" si="90"/>
        <v>0</v>
      </c>
      <c r="Y538" s="33"/>
      <c r="Z538" s="31">
        <f t="shared" si="91"/>
        <v>0</v>
      </c>
      <c r="AA538" s="31">
        <f t="shared" si="92"/>
        <v>0</v>
      </c>
    </row>
    <row r="539" spans="1:38" s="34" customFormat="1" ht="15.75" x14ac:dyDescent="0.25">
      <c r="A539" s="51">
        <v>536</v>
      </c>
      <c r="B539" s="22">
        <v>46018</v>
      </c>
      <c r="C539" s="22">
        <v>46018</v>
      </c>
      <c r="D539" s="104">
        <v>251227018</v>
      </c>
      <c r="E539" s="24" t="s">
        <v>1150</v>
      </c>
      <c r="F539" s="24" t="s">
        <v>1151</v>
      </c>
      <c r="G539" s="24">
        <v>42</v>
      </c>
      <c r="H539" s="35">
        <v>115</v>
      </c>
      <c r="I539" s="43" t="s">
        <v>35</v>
      </c>
      <c r="J539" s="147" t="s">
        <v>23</v>
      </c>
      <c r="K539" s="171" t="s">
        <v>32</v>
      </c>
      <c r="L539" s="101" t="s">
        <v>585</v>
      </c>
      <c r="M539" s="24" t="s">
        <v>34</v>
      </c>
      <c r="N539" s="37">
        <v>58.74</v>
      </c>
      <c r="O539" s="37">
        <v>14.98</v>
      </c>
      <c r="P539" s="28">
        <f t="shared" si="93"/>
        <v>43.760000000000005</v>
      </c>
      <c r="Q539" s="29">
        <v>315</v>
      </c>
      <c r="R539" s="30">
        <f t="shared" si="94"/>
        <v>13784.400000000001</v>
      </c>
      <c r="S539" s="29"/>
      <c r="T539" s="31"/>
      <c r="V539" s="31" t="s">
        <v>24</v>
      </c>
      <c r="W539" s="29">
        <v>145</v>
      </c>
      <c r="X539" s="32">
        <f t="shared" si="90"/>
        <v>6345.2000000000007</v>
      </c>
      <c r="Y539" s="33">
        <v>260</v>
      </c>
      <c r="Z539" s="31">
        <f t="shared" si="91"/>
        <v>11377.600000000002</v>
      </c>
      <c r="AA539" s="31">
        <f t="shared" si="92"/>
        <v>31507.200000000004</v>
      </c>
    </row>
    <row r="540" spans="1:38" s="34" customFormat="1" ht="15.75" x14ac:dyDescent="0.25">
      <c r="A540" s="51">
        <v>537</v>
      </c>
      <c r="B540" s="22">
        <v>46018</v>
      </c>
      <c r="C540" s="22">
        <v>46018</v>
      </c>
      <c r="D540" s="104">
        <v>251227019</v>
      </c>
      <c r="E540" s="24" t="s">
        <v>1152</v>
      </c>
      <c r="F540" s="24" t="s">
        <v>1153</v>
      </c>
      <c r="G540" s="24">
        <v>42</v>
      </c>
      <c r="H540" s="35">
        <v>115</v>
      </c>
      <c r="I540" s="43" t="s">
        <v>35</v>
      </c>
      <c r="J540" s="147" t="s">
        <v>23</v>
      </c>
      <c r="K540" s="171" t="s">
        <v>32</v>
      </c>
      <c r="L540" s="101" t="s">
        <v>46</v>
      </c>
      <c r="M540" s="24" t="s">
        <v>34</v>
      </c>
      <c r="N540" s="37">
        <v>73.180000000000007</v>
      </c>
      <c r="O540" s="37">
        <v>17.16</v>
      </c>
      <c r="P540" s="28">
        <f t="shared" si="93"/>
        <v>56.02000000000001</v>
      </c>
      <c r="Q540" s="29">
        <v>315</v>
      </c>
      <c r="R540" s="30">
        <f t="shared" si="94"/>
        <v>17646.300000000003</v>
      </c>
      <c r="S540" s="29"/>
      <c r="T540" s="31"/>
      <c r="V540" s="31" t="s">
        <v>24</v>
      </c>
      <c r="W540" s="29">
        <v>145</v>
      </c>
      <c r="X540" s="32">
        <f t="shared" si="90"/>
        <v>8122.9000000000015</v>
      </c>
      <c r="Y540" s="33">
        <v>260</v>
      </c>
      <c r="Z540" s="31">
        <f t="shared" si="91"/>
        <v>14565.200000000003</v>
      </c>
      <c r="AA540" s="31">
        <f t="shared" si="92"/>
        <v>40334.400000000009</v>
      </c>
    </row>
    <row r="541" spans="1:38" s="34" customFormat="1" ht="15.75" x14ac:dyDescent="0.25">
      <c r="A541" s="51">
        <v>538</v>
      </c>
      <c r="B541" s="22">
        <v>46018</v>
      </c>
      <c r="C541" s="22">
        <v>46018</v>
      </c>
      <c r="D541" s="104" t="s">
        <v>1154</v>
      </c>
      <c r="E541" s="24"/>
      <c r="F541" s="24"/>
      <c r="G541" s="24"/>
      <c r="H541" s="45"/>
      <c r="I541" s="45" t="s">
        <v>48</v>
      </c>
      <c r="J541" s="154" t="s">
        <v>23</v>
      </c>
      <c r="K541" s="45" t="s">
        <v>32</v>
      </c>
      <c r="L541" s="101" t="s">
        <v>1020</v>
      </c>
      <c r="M541" s="24" t="s">
        <v>49</v>
      </c>
      <c r="N541" s="37">
        <v>23.3</v>
      </c>
      <c r="O541" s="37">
        <v>14.22</v>
      </c>
      <c r="P541" s="28">
        <f t="shared" si="93"/>
        <v>9.08</v>
      </c>
      <c r="Q541" s="29">
        <v>0</v>
      </c>
      <c r="R541" s="30">
        <f t="shared" si="94"/>
        <v>0</v>
      </c>
      <c r="S541" s="29"/>
      <c r="T541" s="31"/>
      <c r="V541" s="31" t="s">
        <v>24</v>
      </c>
      <c r="W541" s="29"/>
      <c r="X541" s="32">
        <f t="shared" si="90"/>
        <v>0</v>
      </c>
      <c r="Y541" s="33"/>
      <c r="Z541" s="31">
        <f t="shared" si="91"/>
        <v>0</v>
      </c>
      <c r="AA541" s="31">
        <f t="shared" si="92"/>
        <v>0</v>
      </c>
    </row>
    <row r="542" spans="1:38" s="38" customFormat="1" ht="15.75" x14ac:dyDescent="0.25">
      <c r="A542" s="51">
        <v>539</v>
      </c>
      <c r="B542" s="22">
        <v>46018</v>
      </c>
      <c r="C542" s="22">
        <v>46018</v>
      </c>
      <c r="D542" s="104" t="s">
        <v>1155</v>
      </c>
      <c r="E542" s="24"/>
      <c r="F542" s="24"/>
      <c r="G542" s="24"/>
      <c r="H542" s="45"/>
      <c r="I542" s="45" t="s">
        <v>930</v>
      </c>
      <c r="J542" s="154" t="s">
        <v>23</v>
      </c>
      <c r="K542" s="45" t="s">
        <v>30</v>
      </c>
      <c r="L542" s="101" t="s">
        <v>937</v>
      </c>
      <c r="M542" s="24" t="s">
        <v>31</v>
      </c>
      <c r="N542" s="37">
        <v>8.2200000000000006</v>
      </c>
      <c r="O542" s="37">
        <v>3.56</v>
      </c>
      <c r="P542" s="28">
        <f t="shared" si="93"/>
        <v>4.66</v>
      </c>
      <c r="Q542" s="29">
        <v>150</v>
      </c>
      <c r="R542" s="30">
        <f t="shared" si="94"/>
        <v>699</v>
      </c>
      <c r="S542" s="29">
        <v>699</v>
      </c>
      <c r="T542" s="31"/>
      <c r="V542" s="31" t="s">
        <v>24</v>
      </c>
      <c r="W542" s="29"/>
      <c r="X542" s="32">
        <f t="shared" si="90"/>
        <v>0</v>
      </c>
      <c r="Y542" s="33"/>
      <c r="Z542" s="31">
        <f t="shared" si="91"/>
        <v>0</v>
      </c>
      <c r="AA542" s="31">
        <f t="shared" si="92"/>
        <v>699</v>
      </c>
    </row>
    <row r="543" spans="1:38" s="38" customFormat="1" ht="15.75" x14ac:dyDescent="0.25">
      <c r="A543" s="51">
        <v>540</v>
      </c>
      <c r="B543" s="22">
        <v>46018</v>
      </c>
      <c r="C543" s="22">
        <v>46018</v>
      </c>
      <c r="D543" s="104">
        <v>251227020</v>
      </c>
      <c r="E543" s="24" t="s">
        <v>1156</v>
      </c>
      <c r="F543" s="24" t="s">
        <v>1157</v>
      </c>
      <c r="G543" s="24">
        <v>42</v>
      </c>
      <c r="H543" s="35">
        <v>115</v>
      </c>
      <c r="I543" s="43" t="s">
        <v>35</v>
      </c>
      <c r="J543" s="147" t="s">
        <v>23</v>
      </c>
      <c r="K543" s="171" t="s">
        <v>32</v>
      </c>
      <c r="L543" s="101" t="s">
        <v>1158</v>
      </c>
      <c r="M543" s="24" t="s">
        <v>34</v>
      </c>
      <c r="N543" s="37">
        <v>56.28</v>
      </c>
      <c r="O543" s="37">
        <v>15.18</v>
      </c>
      <c r="P543" s="28">
        <f t="shared" si="93"/>
        <v>41.1</v>
      </c>
      <c r="Q543" s="29">
        <v>315</v>
      </c>
      <c r="R543" s="30">
        <f t="shared" si="94"/>
        <v>12946.5</v>
      </c>
      <c r="S543" s="29"/>
      <c r="T543" s="31"/>
      <c r="V543" s="31" t="s">
        <v>24</v>
      </c>
      <c r="W543" s="29">
        <v>145</v>
      </c>
      <c r="X543" s="32">
        <f t="shared" si="90"/>
        <v>5959.5</v>
      </c>
      <c r="Y543" s="33">
        <v>260</v>
      </c>
      <c r="Z543" s="31">
        <f t="shared" si="91"/>
        <v>10686</v>
      </c>
      <c r="AA543" s="31">
        <f t="shared" si="92"/>
        <v>29592</v>
      </c>
    </row>
    <row r="544" spans="1:38" s="34" customFormat="1" ht="15.75" x14ac:dyDescent="0.25">
      <c r="A544" s="51">
        <v>541</v>
      </c>
      <c r="B544" s="22">
        <v>46018</v>
      </c>
      <c r="C544" s="22">
        <v>46018</v>
      </c>
      <c r="D544" s="104">
        <v>251227021</v>
      </c>
      <c r="E544" s="24" t="s">
        <v>1159</v>
      </c>
      <c r="F544" s="24" t="s">
        <v>1160</v>
      </c>
      <c r="G544" s="24">
        <v>45</v>
      </c>
      <c r="H544" s="25">
        <v>84</v>
      </c>
      <c r="I544" s="26" t="s">
        <v>50</v>
      </c>
      <c r="J544" s="151" t="s">
        <v>23</v>
      </c>
      <c r="K544" s="43" t="s">
        <v>32</v>
      </c>
      <c r="L544" s="101" t="s">
        <v>43</v>
      </c>
      <c r="M544" s="24" t="s">
        <v>36</v>
      </c>
      <c r="N544" s="37">
        <v>60.46</v>
      </c>
      <c r="O544" s="37">
        <v>15.74</v>
      </c>
      <c r="P544" s="28">
        <f t="shared" si="93"/>
        <v>44.72</v>
      </c>
      <c r="Q544" s="29">
        <v>515</v>
      </c>
      <c r="R544" s="30">
        <f t="shared" si="94"/>
        <v>23030.799999999999</v>
      </c>
      <c r="S544" s="29"/>
      <c r="T544" s="31"/>
      <c r="V544" s="31" t="s">
        <v>24</v>
      </c>
      <c r="W544" s="29">
        <v>145</v>
      </c>
      <c r="X544" s="32">
        <f t="shared" si="90"/>
        <v>6484.4</v>
      </c>
      <c r="Y544" s="33">
        <v>200</v>
      </c>
      <c r="Z544" s="31">
        <f t="shared" si="91"/>
        <v>8944</v>
      </c>
      <c r="AA544" s="31">
        <f t="shared" si="92"/>
        <v>38459.199999999997</v>
      </c>
    </row>
    <row r="545" spans="1:27" s="34" customFormat="1" ht="15.75" x14ac:dyDescent="0.25">
      <c r="A545" s="51">
        <v>542</v>
      </c>
      <c r="B545" s="22">
        <v>46018</v>
      </c>
      <c r="C545" s="22">
        <v>46018</v>
      </c>
      <c r="D545" s="104">
        <v>251227022</v>
      </c>
      <c r="E545" s="24" t="s">
        <v>1161</v>
      </c>
      <c r="F545" s="24" t="s">
        <v>1162</v>
      </c>
      <c r="G545" s="24">
        <v>43</v>
      </c>
      <c r="H545" s="25">
        <v>84</v>
      </c>
      <c r="I545" s="26" t="s">
        <v>50</v>
      </c>
      <c r="J545" s="151" t="s">
        <v>23</v>
      </c>
      <c r="K545" s="43" t="s">
        <v>32</v>
      </c>
      <c r="L545" s="101" t="s">
        <v>39</v>
      </c>
      <c r="M545" s="24" t="s">
        <v>34</v>
      </c>
      <c r="N545" s="37">
        <v>59.72</v>
      </c>
      <c r="O545" s="37">
        <v>15.84</v>
      </c>
      <c r="P545" s="28">
        <f t="shared" si="93"/>
        <v>43.879999999999995</v>
      </c>
      <c r="Q545" s="29">
        <v>305</v>
      </c>
      <c r="R545" s="30">
        <f t="shared" si="94"/>
        <v>13383.399999999998</v>
      </c>
      <c r="S545" s="29"/>
      <c r="T545" s="31"/>
      <c r="V545" s="31" t="s">
        <v>24</v>
      </c>
      <c r="W545" s="29">
        <v>145</v>
      </c>
      <c r="X545" s="32">
        <f t="shared" si="90"/>
        <v>6362.5999999999995</v>
      </c>
      <c r="Y545" s="33">
        <v>200</v>
      </c>
      <c r="Z545" s="31">
        <f t="shared" si="91"/>
        <v>8776</v>
      </c>
      <c r="AA545" s="31">
        <f t="shared" si="92"/>
        <v>28521.999999999996</v>
      </c>
    </row>
    <row r="546" spans="1:27" s="34" customFormat="1" ht="15.75" x14ac:dyDescent="0.25">
      <c r="A546" s="51">
        <v>543</v>
      </c>
      <c r="B546" s="22">
        <v>46018</v>
      </c>
      <c r="C546" s="22">
        <v>46018</v>
      </c>
      <c r="D546" s="104">
        <v>251227023</v>
      </c>
      <c r="E546" s="24" t="s">
        <v>1163</v>
      </c>
      <c r="F546" s="24" t="s">
        <v>1164</v>
      </c>
      <c r="G546" s="24">
        <v>42</v>
      </c>
      <c r="H546" s="64">
        <v>122</v>
      </c>
      <c r="I546" s="43" t="s">
        <v>553</v>
      </c>
      <c r="J546" s="147" t="s">
        <v>23</v>
      </c>
      <c r="K546" s="43" t="s">
        <v>32</v>
      </c>
      <c r="L546" s="101" t="s">
        <v>331</v>
      </c>
      <c r="M546" s="24" t="s">
        <v>306</v>
      </c>
      <c r="N546" s="37">
        <v>45.84</v>
      </c>
      <c r="O546" s="37">
        <v>11.48</v>
      </c>
      <c r="P546" s="28">
        <f t="shared" si="93"/>
        <v>34.36</v>
      </c>
      <c r="Q546" s="29">
        <v>395</v>
      </c>
      <c r="R546" s="30">
        <f t="shared" si="94"/>
        <v>13572.199999999999</v>
      </c>
      <c r="S546" s="29"/>
      <c r="T546" s="31"/>
      <c r="V546" s="31" t="s">
        <v>24</v>
      </c>
      <c r="W546" s="29">
        <v>145</v>
      </c>
      <c r="X546" s="32">
        <f t="shared" si="90"/>
        <v>4982.2</v>
      </c>
      <c r="Y546" s="33">
        <v>250</v>
      </c>
      <c r="Z546" s="31">
        <f t="shared" si="91"/>
        <v>8590</v>
      </c>
      <c r="AA546" s="31">
        <f t="shared" si="92"/>
        <v>27144.399999999998</v>
      </c>
    </row>
    <row r="547" spans="1:27" s="34" customFormat="1" ht="15.75" x14ac:dyDescent="0.25">
      <c r="A547" s="51">
        <v>544</v>
      </c>
      <c r="B547" s="22">
        <v>46018</v>
      </c>
      <c r="C547" s="22">
        <v>46018</v>
      </c>
      <c r="D547" s="104">
        <v>251227024</v>
      </c>
      <c r="E547" s="24" t="s">
        <v>1165</v>
      </c>
      <c r="F547" s="24" t="s">
        <v>1166</v>
      </c>
      <c r="G547" s="24">
        <v>45</v>
      </c>
      <c r="H547" s="25">
        <v>84</v>
      </c>
      <c r="I547" s="26" t="s">
        <v>50</v>
      </c>
      <c r="J547" s="151" t="s">
        <v>23</v>
      </c>
      <c r="K547" s="43" t="s">
        <v>32</v>
      </c>
      <c r="L547" s="101" t="s">
        <v>40</v>
      </c>
      <c r="M547" s="24" t="s">
        <v>36</v>
      </c>
      <c r="N547" s="37">
        <v>60.98</v>
      </c>
      <c r="O547" s="37">
        <v>15.04</v>
      </c>
      <c r="P547" s="28">
        <f t="shared" si="93"/>
        <v>45.94</v>
      </c>
      <c r="Q547" s="29">
        <v>515</v>
      </c>
      <c r="R547" s="30">
        <f t="shared" si="94"/>
        <v>23659.1</v>
      </c>
      <c r="S547" s="29"/>
      <c r="T547" s="31"/>
      <c r="V547" s="31" t="s">
        <v>24</v>
      </c>
      <c r="W547" s="29">
        <v>145</v>
      </c>
      <c r="X547" s="32">
        <f t="shared" si="90"/>
        <v>6661.2999999999993</v>
      </c>
      <c r="Y547" s="33">
        <v>200</v>
      </c>
      <c r="Z547" s="31">
        <f t="shared" si="91"/>
        <v>9188</v>
      </c>
      <c r="AA547" s="31">
        <f t="shared" si="92"/>
        <v>39508.399999999994</v>
      </c>
    </row>
    <row r="548" spans="1:27" s="38" customFormat="1" ht="15.75" x14ac:dyDescent="0.25">
      <c r="A548" s="51">
        <v>545</v>
      </c>
      <c r="B548" s="22">
        <v>46018</v>
      </c>
      <c r="C548" s="22">
        <v>46018</v>
      </c>
      <c r="D548" s="104">
        <v>251227025</v>
      </c>
      <c r="E548" s="24" t="s">
        <v>1167</v>
      </c>
      <c r="F548" s="24" t="s">
        <v>1168</v>
      </c>
      <c r="G548" s="24">
        <v>43</v>
      </c>
      <c r="H548" s="25">
        <v>84</v>
      </c>
      <c r="I548" s="26" t="s">
        <v>50</v>
      </c>
      <c r="J548" s="151" t="s">
        <v>23</v>
      </c>
      <c r="K548" s="43" t="s">
        <v>32</v>
      </c>
      <c r="L548" s="24" t="s">
        <v>1169</v>
      </c>
      <c r="M548" s="24" t="s">
        <v>34</v>
      </c>
      <c r="N548" s="37">
        <v>58.08</v>
      </c>
      <c r="O548" s="37">
        <v>14.98</v>
      </c>
      <c r="P548" s="28">
        <f t="shared" si="93"/>
        <v>43.099999999999994</v>
      </c>
      <c r="Q548" s="29">
        <v>305</v>
      </c>
      <c r="R548" s="30">
        <f t="shared" si="94"/>
        <v>13145.499999999998</v>
      </c>
      <c r="S548" s="29"/>
      <c r="T548" s="31"/>
      <c r="V548" s="31" t="s">
        <v>24</v>
      </c>
      <c r="W548" s="29">
        <v>145</v>
      </c>
      <c r="X548" s="32">
        <f t="shared" si="90"/>
        <v>6249.4999999999991</v>
      </c>
      <c r="Y548" s="33">
        <v>200</v>
      </c>
      <c r="Z548" s="31">
        <f t="shared" si="91"/>
        <v>8619.9999999999982</v>
      </c>
      <c r="AA548" s="31">
        <f t="shared" si="92"/>
        <v>28014.999999999993</v>
      </c>
    </row>
    <row r="549" spans="1:27" s="34" customFormat="1" ht="15.75" x14ac:dyDescent="0.2">
      <c r="A549" s="51">
        <v>546</v>
      </c>
      <c r="B549" s="22">
        <v>46018</v>
      </c>
      <c r="C549" s="22">
        <v>46018</v>
      </c>
      <c r="D549" s="104" t="s">
        <v>1170</v>
      </c>
      <c r="E549" s="24"/>
      <c r="F549" s="24"/>
      <c r="G549" s="24"/>
      <c r="H549" s="160"/>
      <c r="I549" s="150" t="s">
        <v>1171</v>
      </c>
      <c r="J549" s="161" t="s">
        <v>23</v>
      </c>
      <c r="K549" s="173" t="s">
        <v>30</v>
      </c>
      <c r="L549" s="101" t="s">
        <v>1172</v>
      </c>
      <c r="M549" s="24" t="s">
        <v>36</v>
      </c>
      <c r="N549" s="37">
        <v>9.26</v>
      </c>
      <c r="O549" s="37">
        <v>3.52</v>
      </c>
      <c r="P549" s="28">
        <f t="shared" si="93"/>
        <v>5.74</v>
      </c>
      <c r="Q549" s="29">
        <v>550</v>
      </c>
      <c r="R549" s="30">
        <f t="shared" si="94"/>
        <v>3157</v>
      </c>
      <c r="S549" s="29">
        <v>3157</v>
      </c>
      <c r="T549" s="31"/>
      <c r="V549" s="31" t="s">
        <v>24</v>
      </c>
      <c r="W549" s="29"/>
      <c r="X549" s="32">
        <f t="shared" si="90"/>
        <v>0</v>
      </c>
      <c r="Y549" s="33"/>
      <c r="Z549" s="31">
        <f t="shared" si="91"/>
        <v>0</v>
      </c>
      <c r="AA549" s="31">
        <f t="shared" si="92"/>
        <v>3157</v>
      </c>
    </row>
    <row r="550" spans="1:27" s="34" customFormat="1" ht="15.75" x14ac:dyDescent="0.25">
      <c r="A550" s="51">
        <v>547</v>
      </c>
      <c r="B550" s="22">
        <v>46018</v>
      </c>
      <c r="C550" s="22">
        <v>46018</v>
      </c>
      <c r="D550" s="104">
        <v>251227026</v>
      </c>
      <c r="E550" s="24" t="s">
        <v>1173</v>
      </c>
      <c r="F550" s="24" t="s">
        <v>1174</v>
      </c>
      <c r="G550" s="24">
        <v>42</v>
      </c>
      <c r="H550" s="35">
        <v>115</v>
      </c>
      <c r="I550" s="43" t="s">
        <v>35</v>
      </c>
      <c r="J550" s="147" t="s">
        <v>23</v>
      </c>
      <c r="K550" s="171" t="s">
        <v>32</v>
      </c>
      <c r="L550" s="101" t="s">
        <v>426</v>
      </c>
      <c r="M550" s="24" t="s">
        <v>34</v>
      </c>
      <c r="N550" s="37">
        <v>62.6</v>
      </c>
      <c r="O550" s="37">
        <v>18.98</v>
      </c>
      <c r="P550" s="28">
        <f t="shared" si="93"/>
        <v>43.620000000000005</v>
      </c>
      <c r="Q550" s="29">
        <v>315</v>
      </c>
      <c r="R550" s="30">
        <f t="shared" si="94"/>
        <v>13740.300000000001</v>
      </c>
      <c r="S550" s="29"/>
      <c r="T550" s="31"/>
      <c r="V550" s="31" t="s">
        <v>24</v>
      </c>
      <c r="W550" s="29">
        <v>145</v>
      </c>
      <c r="X550" s="32">
        <f t="shared" si="90"/>
        <v>6324.9000000000005</v>
      </c>
      <c r="Y550" s="33">
        <v>260</v>
      </c>
      <c r="Z550" s="31">
        <f t="shared" si="91"/>
        <v>11341.2</v>
      </c>
      <c r="AA550" s="31">
        <f t="shared" si="92"/>
        <v>31406.400000000001</v>
      </c>
    </row>
    <row r="551" spans="1:27" s="38" customFormat="1" ht="15.75" x14ac:dyDescent="0.25">
      <c r="A551" s="51">
        <v>548</v>
      </c>
      <c r="B551" s="22">
        <v>46018</v>
      </c>
      <c r="C551" s="22">
        <v>46018</v>
      </c>
      <c r="D551" s="101">
        <v>251227029</v>
      </c>
      <c r="E551" s="24" t="s">
        <v>1175</v>
      </c>
      <c r="F551" s="24"/>
      <c r="G551" s="24"/>
      <c r="H551" s="25">
        <v>76</v>
      </c>
      <c r="I551" s="43" t="s">
        <v>893</v>
      </c>
      <c r="J551" s="151" t="s">
        <v>23</v>
      </c>
      <c r="K551" s="43" t="s">
        <v>32</v>
      </c>
      <c r="L551" s="101" t="s">
        <v>1133</v>
      </c>
      <c r="M551" s="24" t="s">
        <v>36</v>
      </c>
      <c r="N551" s="37">
        <v>63.88</v>
      </c>
      <c r="O551" s="37">
        <v>15.42</v>
      </c>
      <c r="P551" s="28">
        <f t="shared" ref="P551:P574" si="95">N551-O551</f>
        <v>48.46</v>
      </c>
      <c r="Q551" s="29">
        <v>515</v>
      </c>
      <c r="R551" s="30">
        <f t="shared" ref="R551:R574" si="96">Q551*P551</f>
        <v>24956.9</v>
      </c>
      <c r="S551" s="24"/>
      <c r="T551" s="31"/>
      <c r="V551" s="31" t="s">
        <v>24</v>
      </c>
      <c r="W551" s="29">
        <v>145</v>
      </c>
      <c r="X551" s="32">
        <f t="shared" si="90"/>
        <v>7026.7</v>
      </c>
      <c r="Y551" s="33">
        <v>180</v>
      </c>
      <c r="Z551" s="31">
        <f t="shared" si="91"/>
        <v>8722.7999999999993</v>
      </c>
      <c r="AA551" s="31">
        <f t="shared" si="92"/>
        <v>40706.400000000001</v>
      </c>
    </row>
    <row r="552" spans="1:27" s="38" customFormat="1" ht="15.75" x14ac:dyDescent="0.25">
      <c r="A552" s="51">
        <v>549</v>
      </c>
      <c r="B552" s="22">
        <v>46018</v>
      </c>
      <c r="C552" s="22">
        <v>46018</v>
      </c>
      <c r="D552" s="101">
        <v>251227030</v>
      </c>
      <c r="E552" s="24" t="s">
        <v>1176</v>
      </c>
      <c r="F552" s="24"/>
      <c r="G552" s="24"/>
      <c r="H552" s="25">
        <v>76</v>
      </c>
      <c r="I552" s="43" t="s">
        <v>893</v>
      </c>
      <c r="J552" s="151" t="s">
        <v>23</v>
      </c>
      <c r="K552" s="43" t="s">
        <v>32</v>
      </c>
      <c r="L552" s="101" t="s">
        <v>39</v>
      </c>
      <c r="M552" s="24" t="s">
        <v>34</v>
      </c>
      <c r="N552" s="37">
        <v>59.14</v>
      </c>
      <c r="O552" s="37">
        <v>15.8</v>
      </c>
      <c r="P552" s="28">
        <f t="shared" si="95"/>
        <v>43.34</v>
      </c>
      <c r="Q552" s="24">
        <v>285</v>
      </c>
      <c r="R552" s="30">
        <f t="shared" si="96"/>
        <v>12351.900000000001</v>
      </c>
      <c r="S552" s="24"/>
      <c r="T552" s="31"/>
      <c r="V552" s="31" t="s">
        <v>24</v>
      </c>
      <c r="W552" s="29">
        <v>145</v>
      </c>
      <c r="X552" s="32">
        <f t="shared" si="90"/>
        <v>6284.3</v>
      </c>
      <c r="Y552" s="33">
        <v>180</v>
      </c>
      <c r="Z552" s="31">
        <f t="shared" si="91"/>
        <v>7801.2000000000007</v>
      </c>
      <c r="AA552" s="31">
        <f t="shared" si="92"/>
        <v>26437.4</v>
      </c>
    </row>
    <row r="553" spans="1:27" s="38" customFormat="1" ht="15.75" x14ac:dyDescent="0.25">
      <c r="A553" s="51">
        <v>550</v>
      </c>
      <c r="B553" s="22">
        <v>46018</v>
      </c>
      <c r="C553" s="22">
        <v>46018</v>
      </c>
      <c r="D553" s="101">
        <v>251227028</v>
      </c>
      <c r="E553" s="24" t="s">
        <v>1177</v>
      </c>
      <c r="F553" s="24"/>
      <c r="G553" s="24"/>
      <c r="H553" s="25">
        <v>76</v>
      </c>
      <c r="I553" s="43" t="s">
        <v>893</v>
      </c>
      <c r="J553" s="151" t="s">
        <v>23</v>
      </c>
      <c r="K553" s="43" t="s">
        <v>32</v>
      </c>
      <c r="L553" s="101" t="s">
        <v>514</v>
      </c>
      <c r="M553" s="24" t="s">
        <v>36</v>
      </c>
      <c r="N553" s="37">
        <v>59.54</v>
      </c>
      <c r="O553" s="37">
        <v>15.42</v>
      </c>
      <c r="P553" s="28">
        <f t="shared" si="95"/>
        <v>44.12</v>
      </c>
      <c r="Q553" s="24">
        <v>515</v>
      </c>
      <c r="R553" s="30">
        <f t="shared" si="96"/>
        <v>22721.8</v>
      </c>
      <c r="S553" s="24"/>
      <c r="T553" s="31"/>
      <c r="V553" s="31" t="s">
        <v>24</v>
      </c>
      <c r="W553" s="29">
        <v>145</v>
      </c>
      <c r="X553" s="32">
        <f t="shared" si="90"/>
        <v>6397.4</v>
      </c>
      <c r="Y553" s="33">
        <v>180</v>
      </c>
      <c r="Z553" s="31">
        <f t="shared" si="91"/>
        <v>7941.5999999999995</v>
      </c>
      <c r="AA553" s="31">
        <f t="shared" si="92"/>
        <v>37060.799999999996</v>
      </c>
    </row>
    <row r="554" spans="1:27" s="38" customFormat="1" ht="15.75" x14ac:dyDescent="0.25">
      <c r="A554" s="51">
        <v>551</v>
      </c>
      <c r="B554" s="22">
        <v>46018</v>
      </c>
      <c r="C554" s="22">
        <v>46018</v>
      </c>
      <c r="D554" s="101">
        <v>251227027</v>
      </c>
      <c r="E554" s="24" t="s">
        <v>1178</v>
      </c>
      <c r="F554" s="24"/>
      <c r="G554" s="24"/>
      <c r="H554" s="25">
        <v>76</v>
      </c>
      <c r="I554" s="43" t="s">
        <v>893</v>
      </c>
      <c r="J554" s="151" t="s">
        <v>23</v>
      </c>
      <c r="K554" s="43" t="s">
        <v>32</v>
      </c>
      <c r="L554" s="108" t="s">
        <v>418</v>
      </c>
      <c r="M554" s="24" t="s">
        <v>34</v>
      </c>
      <c r="N554" s="37">
        <v>64.12</v>
      </c>
      <c r="O554" s="37">
        <v>18.100000000000001</v>
      </c>
      <c r="P554" s="28">
        <f t="shared" si="95"/>
        <v>46.02</v>
      </c>
      <c r="Q554" s="24">
        <v>285</v>
      </c>
      <c r="R554" s="30">
        <f t="shared" si="96"/>
        <v>13115.7</v>
      </c>
      <c r="S554" s="24"/>
      <c r="T554" s="31"/>
      <c r="V554" s="31" t="s">
        <v>24</v>
      </c>
      <c r="W554" s="29">
        <v>145</v>
      </c>
      <c r="X554" s="32">
        <f t="shared" si="90"/>
        <v>6672.9000000000005</v>
      </c>
      <c r="Y554" s="33">
        <v>180</v>
      </c>
      <c r="Z554" s="31">
        <f t="shared" si="91"/>
        <v>8283.6</v>
      </c>
      <c r="AA554" s="31">
        <f t="shared" si="92"/>
        <v>28072.200000000004</v>
      </c>
    </row>
    <row r="555" spans="1:27" s="38" customFormat="1" ht="15.75" x14ac:dyDescent="0.25">
      <c r="A555" s="51">
        <v>552</v>
      </c>
      <c r="B555" s="22">
        <v>46018</v>
      </c>
      <c r="C555" s="22">
        <v>46018</v>
      </c>
      <c r="D555" s="101">
        <v>251227031</v>
      </c>
      <c r="E555" s="24" t="s">
        <v>1179</v>
      </c>
      <c r="F555" s="24" t="s">
        <v>1180</v>
      </c>
      <c r="G555" s="24">
        <v>42</v>
      </c>
      <c r="H555" s="35">
        <v>115</v>
      </c>
      <c r="I555" s="43" t="s">
        <v>35</v>
      </c>
      <c r="J555" s="147" t="s">
        <v>23</v>
      </c>
      <c r="K555" s="171" t="s">
        <v>32</v>
      </c>
      <c r="L555" s="101" t="s">
        <v>1169</v>
      </c>
      <c r="M555" s="24" t="s">
        <v>34</v>
      </c>
      <c r="N555" s="37">
        <v>60.34</v>
      </c>
      <c r="O555" s="24">
        <v>15.04</v>
      </c>
      <c r="P555" s="28">
        <f t="shared" si="95"/>
        <v>45.300000000000004</v>
      </c>
      <c r="Q555" s="24">
        <v>315</v>
      </c>
      <c r="R555" s="30">
        <f t="shared" si="96"/>
        <v>14269.500000000002</v>
      </c>
      <c r="S555" s="24"/>
      <c r="T555" s="31"/>
      <c r="V555" s="31" t="s">
        <v>24</v>
      </c>
      <c r="W555" s="29">
        <v>145</v>
      </c>
      <c r="X555" s="32">
        <f t="shared" si="90"/>
        <v>6568.5000000000009</v>
      </c>
      <c r="Y555" s="33">
        <v>260</v>
      </c>
      <c r="Z555" s="31">
        <f t="shared" si="91"/>
        <v>11778.000000000002</v>
      </c>
      <c r="AA555" s="31">
        <f t="shared" si="92"/>
        <v>32616.000000000007</v>
      </c>
    </row>
    <row r="556" spans="1:27" s="38" customFormat="1" ht="15.75" x14ac:dyDescent="0.25">
      <c r="A556" s="51">
        <v>553</v>
      </c>
      <c r="B556" s="22">
        <v>46018</v>
      </c>
      <c r="C556" s="22">
        <v>46018</v>
      </c>
      <c r="D556" s="101" t="s">
        <v>1181</v>
      </c>
      <c r="E556" s="24"/>
      <c r="F556" s="24"/>
      <c r="G556" s="24"/>
      <c r="H556" s="64"/>
      <c r="I556" s="43" t="s">
        <v>1182</v>
      </c>
      <c r="J556" s="147" t="s">
        <v>23</v>
      </c>
      <c r="K556" s="171" t="s">
        <v>32</v>
      </c>
      <c r="L556" s="101" t="s">
        <v>1183</v>
      </c>
      <c r="M556" s="24" t="s">
        <v>36</v>
      </c>
      <c r="N556" s="37">
        <v>8.2200000000000006</v>
      </c>
      <c r="O556" s="37">
        <v>3.46</v>
      </c>
      <c r="P556" s="28">
        <f t="shared" si="95"/>
        <v>4.7600000000000007</v>
      </c>
      <c r="Q556" s="24">
        <v>500</v>
      </c>
      <c r="R556" s="30">
        <f t="shared" si="96"/>
        <v>2380.0000000000005</v>
      </c>
      <c r="S556" s="24"/>
      <c r="T556" s="31"/>
      <c r="V556" s="31" t="s">
        <v>24</v>
      </c>
      <c r="W556" s="29"/>
      <c r="X556" s="32">
        <f t="shared" si="90"/>
        <v>0</v>
      </c>
      <c r="Y556" s="33"/>
      <c r="Z556" s="31">
        <f t="shared" si="91"/>
        <v>0</v>
      </c>
      <c r="AA556" s="31">
        <f t="shared" si="92"/>
        <v>2380.0000000000005</v>
      </c>
    </row>
    <row r="557" spans="1:27" s="34" customFormat="1" ht="15.75" x14ac:dyDescent="0.25">
      <c r="A557" s="51">
        <v>554</v>
      </c>
      <c r="B557" s="22">
        <v>46018</v>
      </c>
      <c r="C557" s="22">
        <v>46018</v>
      </c>
      <c r="D557" s="101" t="s">
        <v>1184</v>
      </c>
      <c r="E557" s="24"/>
      <c r="F557" s="24"/>
      <c r="G557" s="24"/>
      <c r="H557" s="64"/>
      <c r="I557" s="43" t="s">
        <v>1182</v>
      </c>
      <c r="J557" s="147" t="s">
        <v>23</v>
      </c>
      <c r="K557" s="171" t="s">
        <v>32</v>
      </c>
      <c r="L557" s="24" t="s">
        <v>1183</v>
      </c>
      <c r="M557" s="24" t="s">
        <v>36</v>
      </c>
      <c r="N557" s="37">
        <v>8.68</v>
      </c>
      <c r="O557" s="37">
        <v>3.44</v>
      </c>
      <c r="P557" s="28">
        <f t="shared" si="95"/>
        <v>5.24</v>
      </c>
      <c r="Q557" s="29">
        <v>500</v>
      </c>
      <c r="R557" s="30">
        <f t="shared" si="96"/>
        <v>2620</v>
      </c>
      <c r="S557" s="29"/>
      <c r="T557" s="31"/>
      <c r="V557" s="31" t="s">
        <v>24</v>
      </c>
      <c r="W557" s="29"/>
      <c r="X557" s="32">
        <f t="shared" ref="X557:X588" si="97">W557*P557</f>
        <v>0</v>
      </c>
      <c r="Y557" s="33"/>
      <c r="Z557" s="31">
        <f t="shared" ref="Z557:Z588" si="98">Y557*P557</f>
        <v>0</v>
      </c>
      <c r="AA557" s="31">
        <f t="shared" ref="AA557:AA588" si="99">R557+X557+Z557</f>
        <v>2620</v>
      </c>
    </row>
    <row r="558" spans="1:27" s="34" customFormat="1" ht="15.75" x14ac:dyDescent="0.25">
      <c r="A558" s="51">
        <v>555</v>
      </c>
      <c r="B558" s="22">
        <v>46018</v>
      </c>
      <c r="C558" s="22">
        <v>46019</v>
      </c>
      <c r="D558" s="101">
        <v>251228001</v>
      </c>
      <c r="E558" s="24" t="s">
        <v>1185</v>
      </c>
      <c r="F558" s="24" t="s">
        <v>1186</v>
      </c>
      <c r="G558" s="24">
        <v>42</v>
      </c>
      <c r="H558" s="64">
        <v>122</v>
      </c>
      <c r="I558" s="43" t="s">
        <v>553</v>
      </c>
      <c r="J558" s="147" t="s">
        <v>23</v>
      </c>
      <c r="K558" s="43" t="s">
        <v>32</v>
      </c>
      <c r="L558" s="101" t="s">
        <v>965</v>
      </c>
      <c r="M558" s="24" t="s">
        <v>306</v>
      </c>
      <c r="N558" s="37">
        <v>58.86</v>
      </c>
      <c r="O558" s="37">
        <v>15.42</v>
      </c>
      <c r="P558" s="28">
        <f t="shared" si="95"/>
        <v>43.44</v>
      </c>
      <c r="Q558" s="29">
        <v>395</v>
      </c>
      <c r="R558" s="30">
        <f t="shared" si="96"/>
        <v>17158.8</v>
      </c>
      <c r="S558" s="29"/>
      <c r="T558" s="31"/>
      <c r="V558" s="31" t="s">
        <v>24</v>
      </c>
      <c r="W558" s="29">
        <v>145</v>
      </c>
      <c r="X558" s="32">
        <f t="shared" si="97"/>
        <v>6298.7999999999993</v>
      </c>
      <c r="Y558" s="33">
        <v>230</v>
      </c>
      <c r="Z558" s="31">
        <f t="shared" si="98"/>
        <v>9991.1999999999989</v>
      </c>
      <c r="AA558" s="31">
        <f t="shared" si="99"/>
        <v>33448.799999999996</v>
      </c>
    </row>
    <row r="559" spans="1:27" s="38" customFormat="1" ht="15.75" x14ac:dyDescent="0.25">
      <c r="A559" s="51">
        <v>556</v>
      </c>
      <c r="B559" s="22">
        <v>46018</v>
      </c>
      <c r="C559" s="22">
        <v>46019</v>
      </c>
      <c r="D559" s="101">
        <v>251228002</v>
      </c>
      <c r="E559" s="24" t="s">
        <v>1187</v>
      </c>
      <c r="F559" s="24" t="s">
        <v>1188</v>
      </c>
      <c r="G559" s="24">
        <v>42</v>
      </c>
      <c r="H559" s="64">
        <v>122</v>
      </c>
      <c r="I559" s="43" t="s">
        <v>553</v>
      </c>
      <c r="J559" s="147" t="s">
        <v>23</v>
      </c>
      <c r="K559" s="43" t="s">
        <v>32</v>
      </c>
      <c r="L559" s="101" t="s">
        <v>500</v>
      </c>
      <c r="M559" s="24" t="s">
        <v>306</v>
      </c>
      <c r="N559" s="37">
        <v>45.76</v>
      </c>
      <c r="O559" s="37">
        <v>11.96</v>
      </c>
      <c r="P559" s="28">
        <f t="shared" si="95"/>
        <v>33.799999999999997</v>
      </c>
      <c r="Q559" s="29">
        <v>395</v>
      </c>
      <c r="R559" s="30">
        <f t="shared" si="96"/>
        <v>13350.999999999998</v>
      </c>
      <c r="S559" s="29"/>
      <c r="T559" s="31"/>
      <c r="V559" s="31" t="s">
        <v>24</v>
      </c>
      <c r="W559" s="29">
        <v>145</v>
      </c>
      <c r="X559" s="32">
        <f t="shared" si="97"/>
        <v>4901</v>
      </c>
      <c r="Y559" s="33">
        <v>230</v>
      </c>
      <c r="Z559" s="33">
        <f t="shared" si="98"/>
        <v>7773.9999999999991</v>
      </c>
      <c r="AA559" s="31">
        <f t="shared" si="99"/>
        <v>26026</v>
      </c>
    </row>
    <row r="560" spans="1:27" s="34" customFormat="1" ht="15.75" x14ac:dyDescent="0.25">
      <c r="A560" s="51">
        <v>557</v>
      </c>
      <c r="B560" s="22">
        <v>46018</v>
      </c>
      <c r="C560" s="22">
        <v>46019</v>
      </c>
      <c r="D560" s="101">
        <v>251228003</v>
      </c>
      <c r="E560" s="24" t="s">
        <v>1189</v>
      </c>
      <c r="F560" s="24" t="s">
        <v>1190</v>
      </c>
      <c r="G560" s="24">
        <v>42</v>
      </c>
      <c r="H560" s="64">
        <v>122</v>
      </c>
      <c r="I560" s="43" t="s">
        <v>553</v>
      </c>
      <c r="J560" s="147" t="s">
        <v>23</v>
      </c>
      <c r="K560" s="43" t="s">
        <v>32</v>
      </c>
      <c r="L560" s="101" t="s">
        <v>503</v>
      </c>
      <c r="M560" s="24" t="s">
        <v>306</v>
      </c>
      <c r="N560" s="37">
        <v>45.5</v>
      </c>
      <c r="O560" s="37">
        <v>11.56</v>
      </c>
      <c r="P560" s="28">
        <f t="shared" si="95"/>
        <v>33.94</v>
      </c>
      <c r="Q560" s="29">
        <v>395</v>
      </c>
      <c r="R560" s="30">
        <f t="shared" si="96"/>
        <v>13406.3</v>
      </c>
      <c r="S560" s="29"/>
      <c r="T560" s="31"/>
      <c r="V560" s="31" t="s">
        <v>24</v>
      </c>
      <c r="W560" s="29">
        <v>145</v>
      </c>
      <c r="X560" s="32">
        <f t="shared" si="97"/>
        <v>4921.2999999999993</v>
      </c>
      <c r="Y560" s="33">
        <v>230</v>
      </c>
      <c r="Z560" s="33">
        <f t="shared" si="98"/>
        <v>7806.2</v>
      </c>
      <c r="AA560" s="31">
        <f t="shared" si="99"/>
        <v>26133.8</v>
      </c>
    </row>
    <row r="561" spans="1:27" s="38" customFormat="1" ht="15.75" x14ac:dyDescent="0.25">
      <c r="A561" s="51">
        <v>558</v>
      </c>
      <c r="B561" s="22">
        <v>46018</v>
      </c>
      <c r="C561" s="22">
        <v>46019</v>
      </c>
      <c r="D561" s="101">
        <v>251228004</v>
      </c>
      <c r="E561" s="24" t="s">
        <v>1191</v>
      </c>
      <c r="F561" s="24" t="s">
        <v>1192</v>
      </c>
      <c r="G561" s="24">
        <v>42</v>
      </c>
      <c r="H561" s="64">
        <v>122</v>
      </c>
      <c r="I561" s="43" t="s">
        <v>553</v>
      </c>
      <c r="J561" s="147" t="s">
        <v>23</v>
      </c>
      <c r="K561" s="43" t="s">
        <v>32</v>
      </c>
      <c r="L561" s="101" t="s">
        <v>246</v>
      </c>
      <c r="M561" s="24" t="s">
        <v>306</v>
      </c>
      <c r="N561" s="24">
        <v>45.08</v>
      </c>
      <c r="O561" s="37">
        <v>11.5</v>
      </c>
      <c r="P561" s="28">
        <f t="shared" si="95"/>
        <v>33.58</v>
      </c>
      <c r="Q561" s="29">
        <v>395</v>
      </c>
      <c r="R561" s="30">
        <f t="shared" si="96"/>
        <v>13264.099999999999</v>
      </c>
      <c r="S561" s="24"/>
      <c r="T561" s="31"/>
      <c r="V561" s="31" t="s">
        <v>24</v>
      </c>
      <c r="W561" s="29">
        <v>145</v>
      </c>
      <c r="X561" s="32">
        <f t="shared" si="97"/>
        <v>4869.0999999999995</v>
      </c>
      <c r="Y561" s="33">
        <v>230</v>
      </c>
      <c r="Z561" s="31">
        <f t="shared" si="98"/>
        <v>7723.4</v>
      </c>
      <c r="AA561" s="31">
        <f t="shared" si="99"/>
        <v>25856.6</v>
      </c>
    </row>
    <row r="562" spans="1:27" s="34" customFormat="1" ht="15.75" x14ac:dyDescent="0.25">
      <c r="A562" s="51">
        <v>559</v>
      </c>
      <c r="B562" s="22">
        <v>46018</v>
      </c>
      <c r="C562" s="22">
        <v>46019</v>
      </c>
      <c r="D562" s="101">
        <v>251228005</v>
      </c>
      <c r="E562" s="24" t="s">
        <v>1193</v>
      </c>
      <c r="F562" s="24" t="s">
        <v>1194</v>
      </c>
      <c r="G562" s="24">
        <v>42</v>
      </c>
      <c r="H562" s="64">
        <v>122</v>
      </c>
      <c r="I562" s="43" t="s">
        <v>553</v>
      </c>
      <c r="J562" s="147" t="s">
        <v>23</v>
      </c>
      <c r="K562" s="43" t="s">
        <v>32</v>
      </c>
      <c r="L562" s="101" t="s">
        <v>240</v>
      </c>
      <c r="M562" s="24" t="s">
        <v>306</v>
      </c>
      <c r="N562" s="24">
        <v>46.38</v>
      </c>
      <c r="O562" s="24">
        <v>11.42</v>
      </c>
      <c r="P562" s="28">
        <f t="shared" si="95"/>
        <v>34.96</v>
      </c>
      <c r="Q562" s="29">
        <v>395</v>
      </c>
      <c r="R562" s="30">
        <f t="shared" si="96"/>
        <v>13809.2</v>
      </c>
      <c r="S562" s="29"/>
      <c r="T562" s="31"/>
      <c r="V562" s="31" t="s">
        <v>24</v>
      </c>
      <c r="W562" s="29">
        <v>145</v>
      </c>
      <c r="X562" s="32">
        <f t="shared" si="97"/>
        <v>5069.2</v>
      </c>
      <c r="Y562" s="33">
        <v>230</v>
      </c>
      <c r="Z562" s="31">
        <f t="shared" si="98"/>
        <v>8040.8</v>
      </c>
      <c r="AA562" s="31">
        <f t="shared" si="99"/>
        <v>26919.200000000001</v>
      </c>
    </row>
    <row r="563" spans="1:27" s="34" customFormat="1" ht="15.75" x14ac:dyDescent="0.25">
      <c r="A563" s="51">
        <v>560</v>
      </c>
      <c r="B563" s="22">
        <v>46018</v>
      </c>
      <c r="C563" s="22">
        <v>46019</v>
      </c>
      <c r="D563" s="101">
        <v>251228009</v>
      </c>
      <c r="E563" s="24" t="s">
        <v>1195</v>
      </c>
      <c r="F563" s="24" t="s">
        <v>1196</v>
      </c>
      <c r="G563" s="24">
        <v>33</v>
      </c>
      <c r="H563" s="64">
        <v>131</v>
      </c>
      <c r="I563" s="43" t="s">
        <v>700</v>
      </c>
      <c r="J563" s="147" t="s">
        <v>23</v>
      </c>
      <c r="K563" s="43" t="s">
        <v>32</v>
      </c>
      <c r="L563" s="101" t="s">
        <v>286</v>
      </c>
      <c r="M563" s="24" t="s">
        <v>36</v>
      </c>
      <c r="N563" s="24">
        <v>45.44</v>
      </c>
      <c r="O563" s="24">
        <v>11.42</v>
      </c>
      <c r="P563" s="28">
        <f t="shared" si="95"/>
        <v>34.019999999999996</v>
      </c>
      <c r="Q563" s="29">
        <v>535</v>
      </c>
      <c r="R563" s="30">
        <f t="shared" si="96"/>
        <v>18200.699999999997</v>
      </c>
      <c r="S563" s="29"/>
      <c r="T563" s="31"/>
      <c r="V563" s="31" t="s">
        <v>24</v>
      </c>
      <c r="W563" s="29">
        <v>145</v>
      </c>
      <c r="X563" s="32">
        <f t="shared" si="97"/>
        <v>4932.8999999999996</v>
      </c>
      <c r="Y563" s="33">
        <v>200</v>
      </c>
      <c r="Z563" s="31">
        <f t="shared" si="98"/>
        <v>6803.9999999999991</v>
      </c>
      <c r="AA563" s="31">
        <f t="shared" si="99"/>
        <v>29937.599999999999</v>
      </c>
    </row>
    <row r="564" spans="1:27" s="34" customFormat="1" ht="15.75" x14ac:dyDescent="0.25">
      <c r="A564" s="51">
        <v>561</v>
      </c>
      <c r="B564" s="22">
        <v>46018</v>
      </c>
      <c r="C564" s="22">
        <v>46019</v>
      </c>
      <c r="D564" s="101">
        <v>251228007</v>
      </c>
      <c r="E564" s="24" t="s">
        <v>1197</v>
      </c>
      <c r="F564" s="24" t="s">
        <v>1198</v>
      </c>
      <c r="G564" s="24">
        <v>33</v>
      </c>
      <c r="H564" s="64">
        <v>131</v>
      </c>
      <c r="I564" s="43" t="s">
        <v>700</v>
      </c>
      <c r="J564" s="147" t="s">
        <v>23</v>
      </c>
      <c r="K564" s="43" t="s">
        <v>32</v>
      </c>
      <c r="L564" s="101" t="s">
        <v>41</v>
      </c>
      <c r="M564" s="24" t="s">
        <v>36</v>
      </c>
      <c r="N564" s="24">
        <v>46.36</v>
      </c>
      <c r="O564" s="37">
        <v>11.78</v>
      </c>
      <c r="P564" s="28">
        <f t="shared" si="95"/>
        <v>34.58</v>
      </c>
      <c r="Q564" s="29">
        <v>535</v>
      </c>
      <c r="R564" s="30">
        <f t="shared" si="96"/>
        <v>18500.3</v>
      </c>
      <c r="S564" s="29"/>
      <c r="T564" s="31"/>
      <c r="V564" s="31" t="s">
        <v>24</v>
      </c>
      <c r="W564" s="29">
        <v>145</v>
      </c>
      <c r="X564" s="32">
        <f t="shared" si="97"/>
        <v>5014.0999999999995</v>
      </c>
      <c r="Y564" s="33">
        <v>200</v>
      </c>
      <c r="Z564" s="33">
        <f t="shared" si="98"/>
        <v>6916</v>
      </c>
      <c r="AA564" s="31">
        <f t="shared" si="99"/>
        <v>30430.399999999998</v>
      </c>
    </row>
    <row r="565" spans="1:27" s="34" customFormat="1" ht="15.75" x14ac:dyDescent="0.25">
      <c r="A565" s="51">
        <v>562</v>
      </c>
      <c r="B565" s="22">
        <v>46018</v>
      </c>
      <c r="C565" s="22">
        <v>46019</v>
      </c>
      <c r="D565" s="101">
        <v>251228011</v>
      </c>
      <c r="E565" s="24" t="s">
        <v>1199</v>
      </c>
      <c r="F565" s="24" t="s">
        <v>1200</v>
      </c>
      <c r="G565" s="24">
        <v>43</v>
      </c>
      <c r="H565" s="64">
        <v>131</v>
      </c>
      <c r="I565" s="43" t="s">
        <v>700</v>
      </c>
      <c r="J565" s="147" t="s">
        <v>23</v>
      </c>
      <c r="K565" s="43" t="s">
        <v>32</v>
      </c>
      <c r="L565" s="101" t="s">
        <v>418</v>
      </c>
      <c r="M565" s="24" t="s">
        <v>34</v>
      </c>
      <c r="N565" s="37">
        <v>66.260000000000005</v>
      </c>
      <c r="O565" s="24">
        <v>18.12</v>
      </c>
      <c r="P565" s="28">
        <f t="shared" si="95"/>
        <v>48.14</v>
      </c>
      <c r="Q565" s="29">
        <v>285</v>
      </c>
      <c r="R565" s="30">
        <f t="shared" si="96"/>
        <v>13719.9</v>
      </c>
      <c r="S565" s="29"/>
      <c r="T565" s="31"/>
      <c r="V565" s="31" t="s">
        <v>24</v>
      </c>
      <c r="W565" s="29">
        <v>145</v>
      </c>
      <c r="X565" s="32">
        <f t="shared" si="97"/>
        <v>6980.3</v>
      </c>
      <c r="Y565" s="33">
        <v>200</v>
      </c>
      <c r="Z565" s="33">
        <f t="shared" si="98"/>
        <v>9628</v>
      </c>
      <c r="AA565" s="31">
        <f t="shared" si="99"/>
        <v>30328.2</v>
      </c>
    </row>
    <row r="566" spans="1:27" s="34" customFormat="1" ht="15.75" x14ac:dyDescent="0.25">
      <c r="A566" s="51">
        <v>563</v>
      </c>
      <c r="B566" s="22">
        <v>46018</v>
      </c>
      <c r="C566" s="22">
        <v>46019</v>
      </c>
      <c r="D566" s="101">
        <v>251228010</v>
      </c>
      <c r="E566" s="24" t="s">
        <v>1201</v>
      </c>
      <c r="F566" s="24" t="s">
        <v>1202</v>
      </c>
      <c r="G566" s="24">
        <v>44</v>
      </c>
      <c r="H566" s="64">
        <v>131</v>
      </c>
      <c r="I566" s="43" t="s">
        <v>700</v>
      </c>
      <c r="J566" s="147" t="s">
        <v>23</v>
      </c>
      <c r="K566" s="43" t="s">
        <v>32</v>
      </c>
      <c r="L566" s="24" t="s">
        <v>43</v>
      </c>
      <c r="M566" s="24" t="s">
        <v>34</v>
      </c>
      <c r="N566" s="37">
        <v>59.5</v>
      </c>
      <c r="O566" s="37">
        <v>15.7</v>
      </c>
      <c r="P566" s="28">
        <f t="shared" si="95"/>
        <v>43.8</v>
      </c>
      <c r="Q566" s="29">
        <v>285</v>
      </c>
      <c r="R566" s="30">
        <f t="shared" si="96"/>
        <v>12483</v>
      </c>
      <c r="S566" s="29"/>
      <c r="T566" s="31"/>
      <c r="V566" s="31" t="s">
        <v>24</v>
      </c>
      <c r="W566" s="29">
        <v>145</v>
      </c>
      <c r="X566" s="32">
        <f t="shared" si="97"/>
        <v>6351</v>
      </c>
      <c r="Y566" s="33">
        <v>200</v>
      </c>
      <c r="Z566" s="33">
        <f t="shared" si="98"/>
        <v>8760</v>
      </c>
      <c r="AA566" s="31">
        <f t="shared" si="99"/>
        <v>27594</v>
      </c>
    </row>
    <row r="567" spans="1:27" s="38" customFormat="1" ht="15.75" x14ac:dyDescent="0.25">
      <c r="A567" s="51">
        <v>564</v>
      </c>
      <c r="B567" s="22">
        <v>46018</v>
      </c>
      <c r="C567" s="22">
        <v>46019</v>
      </c>
      <c r="D567" s="24">
        <v>251228006</v>
      </c>
      <c r="E567" s="24" t="s">
        <v>1203</v>
      </c>
      <c r="F567" s="24" t="s">
        <v>1204</v>
      </c>
      <c r="G567" s="24">
        <v>42</v>
      </c>
      <c r="H567" s="64">
        <v>119</v>
      </c>
      <c r="I567" s="43" t="s">
        <v>870</v>
      </c>
      <c r="J567" s="147" t="s">
        <v>23</v>
      </c>
      <c r="K567" s="43" t="s">
        <v>32</v>
      </c>
      <c r="L567" s="24" t="s">
        <v>1074</v>
      </c>
      <c r="M567" s="24" t="s">
        <v>306</v>
      </c>
      <c r="N567" s="37">
        <v>53.6</v>
      </c>
      <c r="O567" s="37">
        <v>13.86</v>
      </c>
      <c r="P567" s="28">
        <f t="shared" si="95"/>
        <v>39.74</v>
      </c>
      <c r="Q567" s="29">
        <v>425</v>
      </c>
      <c r="R567" s="30">
        <f t="shared" si="96"/>
        <v>16889.5</v>
      </c>
      <c r="S567" s="29"/>
      <c r="T567" s="31"/>
      <c r="V567" s="31" t="s">
        <v>24</v>
      </c>
      <c r="W567" s="29">
        <v>145</v>
      </c>
      <c r="X567" s="32">
        <f t="shared" si="97"/>
        <v>5762.3</v>
      </c>
      <c r="Y567" s="33">
        <v>200</v>
      </c>
      <c r="Z567" s="33">
        <f t="shared" si="98"/>
        <v>7948</v>
      </c>
      <c r="AA567" s="31">
        <f t="shared" si="99"/>
        <v>30599.8</v>
      </c>
    </row>
    <row r="568" spans="1:27" s="34" customFormat="1" ht="15.75" x14ac:dyDescent="0.25">
      <c r="A568" s="51">
        <v>565</v>
      </c>
      <c r="B568" s="22">
        <v>46018</v>
      </c>
      <c r="C568" s="22">
        <v>46019</v>
      </c>
      <c r="D568" s="24">
        <v>251228012</v>
      </c>
      <c r="E568" s="24" t="s">
        <v>1205</v>
      </c>
      <c r="F568" s="24" t="s">
        <v>1206</v>
      </c>
      <c r="G568" s="24">
        <v>45</v>
      </c>
      <c r="H568" s="64">
        <v>131</v>
      </c>
      <c r="I568" s="43" t="s">
        <v>700</v>
      </c>
      <c r="J568" s="147" t="s">
        <v>23</v>
      </c>
      <c r="K568" s="43" t="s">
        <v>32</v>
      </c>
      <c r="L568" s="24" t="s">
        <v>585</v>
      </c>
      <c r="M568" s="24" t="s">
        <v>36</v>
      </c>
      <c r="N568" s="37">
        <v>59.76</v>
      </c>
      <c r="O568" s="37">
        <v>15</v>
      </c>
      <c r="P568" s="28">
        <f t="shared" si="95"/>
        <v>44.76</v>
      </c>
      <c r="Q568" s="29">
        <v>535</v>
      </c>
      <c r="R568" s="30">
        <f t="shared" si="96"/>
        <v>23946.6</v>
      </c>
      <c r="S568" s="29"/>
      <c r="T568" s="31"/>
      <c r="V568" s="31" t="s">
        <v>24</v>
      </c>
      <c r="W568" s="29">
        <v>145</v>
      </c>
      <c r="X568" s="32">
        <f t="shared" si="97"/>
        <v>6490.2</v>
      </c>
      <c r="Y568" s="33">
        <v>200</v>
      </c>
      <c r="Z568" s="33">
        <f t="shared" si="98"/>
        <v>8952</v>
      </c>
      <c r="AA568" s="31">
        <f t="shared" si="99"/>
        <v>39388.800000000003</v>
      </c>
    </row>
    <row r="569" spans="1:27" s="34" customFormat="1" ht="15.75" x14ac:dyDescent="0.25">
      <c r="A569" s="51">
        <v>566</v>
      </c>
      <c r="B569" s="22">
        <v>46018</v>
      </c>
      <c r="C569" s="22">
        <v>46019</v>
      </c>
      <c r="D569" s="101">
        <v>251228008</v>
      </c>
      <c r="E569" s="24" t="s">
        <v>1207</v>
      </c>
      <c r="F569" s="24" t="s">
        <v>1208</v>
      </c>
      <c r="G569" s="24">
        <v>45</v>
      </c>
      <c r="H569" s="64">
        <v>131</v>
      </c>
      <c r="I569" s="43" t="s">
        <v>700</v>
      </c>
      <c r="J569" s="147" t="s">
        <v>23</v>
      </c>
      <c r="K569" s="43" t="s">
        <v>32</v>
      </c>
      <c r="L569" s="24" t="s">
        <v>40</v>
      </c>
      <c r="M569" s="24" t="s">
        <v>36</v>
      </c>
      <c r="N569" s="24">
        <v>61.12</v>
      </c>
      <c r="O569" s="37">
        <v>15</v>
      </c>
      <c r="P569" s="28">
        <f t="shared" si="95"/>
        <v>46.12</v>
      </c>
      <c r="Q569" s="29">
        <v>535</v>
      </c>
      <c r="R569" s="30">
        <f t="shared" si="96"/>
        <v>24674.199999999997</v>
      </c>
      <c r="S569" s="29"/>
      <c r="T569" s="31"/>
      <c r="V569" s="31" t="s">
        <v>24</v>
      </c>
      <c r="W569" s="29">
        <v>145</v>
      </c>
      <c r="X569" s="32">
        <f t="shared" si="97"/>
        <v>6687.4</v>
      </c>
      <c r="Y569" s="33">
        <v>200</v>
      </c>
      <c r="Z569" s="33">
        <f t="shared" si="98"/>
        <v>9224</v>
      </c>
      <c r="AA569" s="31">
        <f t="shared" si="99"/>
        <v>40585.599999999999</v>
      </c>
    </row>
    <row r="570" spans="1:27" s="34" customFormat="1" ht="15.75" x14ac:dyDescent="0.25">
      <c r="A570" s="51">
        <v>567</v>
      </c>
      <c r="B570" s="22">
        <v>46018</v>
      </c>
      <c r="C570" s="22">
        <v>46019</v>
      </c>
      <c r="D570" s="24">
        <v>251228013</v>
      </c>
      <c r="E570" s="24" t="s">
        <v>1209</v>
      </c>
      <c r="F570" s="24" t="s">
        <v>1210</v>
      </c>
      <c r="G570" s="24">
        <v>44</v>
      </c>
      <c r="H570" s="64">
        <v>131</v>
      </c>
      <c r="I570" s="43" t="s">
        <v>700</v>
      </c>
      <c r="J570" s="147" t="s">
        <v>23</v>
      </c>
      <c r="K570" s="43" t="s">
        <v>32</v>
      </c>
      <c r="L570" s="24" t="s">
        <v>514</v>
      </c>
      <c r="M570" s="24" t="s">
        <v>34</v>
      </c>
      <c r="N570" s="24">
        <v>59.76</v>
      </c>
      <c r="O570" s="24">
        <v>15.34</v>
      </c>
      <c r="P570" s="28">
        <f t="shared" si="95"/>
        <v>44.42</v>
      </c>
      <c r="Q570" s="29">
        <v>285</v>
      </c>
      <c r="R570" s="30">
        <f t="shared" si="96"/>
        <v>12659.7</v>
      </c>
      <c r="S570" s="29"/>
      <c r="T570" s="31"/>
      <c r="V570" s="31" t="s">
        <v>24</v>
      </c>
      <c r="W570" s="29">
        <v>145</v>
      </c>
      <c r="X570" s="32">
        <f t="shared" si="97"/>
        <v>6440.9000000000005</v>
      </c>
      <c r="Y570" s="33">
        <v>200</v>
      </c>
      <c r="Z570" s="33">
        <f t="shared" si="98"/>
        <v>8884</v>
      </c>
      <c r="AA570" s="31">
        <f t="shared" si="99"/>
        <v>27984.600000000002</v>
      </c>
    </row>
    <row r="571" spans="1:27" s="34" customFormat="1" ht="15.75" x14ac:dyDescent="0.25">
      <c r="A571" s="51">
        <v>568</v>
      </c>
      <c r="B571" s="22">
        <v>46018</v>
      </c>
      <c r="C571" s="22">
        <v>46019</v>
      </c>
      <c r="D571" s="24">
        <v>251228015</v>
      </c>
      <c r="E571" s="24" t="s">
        <v>1211</v>
      </c>
      <c r="F571" s="24" t="s">
        <v>1212</v>
      </c>
      <c r="G571" s="24">
        <v>43</v>
      </c>
      <c r="H571" s="64">
        <v>131</v>
      </c>
      <c r="I571" s="43" t="s">
        <v>700</v>
      </c>
      <c r="J571" s="147" t="s">
        <v>23</v>
      </c>
      <c r="K571" s="43" t="s">
        <v>32</v>
      </c>
      <c r="L571" s="24" t="s">
        <v>426</v>
      </c>
      <c r="M571" s="24" t="s">
        <v>34</v>
      </c>
      <c r="N571" s="24">
        <v>61.46</v>
      </c>
      <c r="O571" s="24">
        <v>18.920000000000002</v>
      </c>
      <c r="P571" s="28">
        <f t="shared" si="95"/>
        <v>42.54</v>
      </c>
      <c r="Q571" s="29">
        <v>285</v>
      </c>
      <c r="R571" s="30">
        <f t="shared" si="96"/>
        <v>12123.9</v>
      </c>
      <c r="S571" s="29"/>
      <c r="T571" s="31"/>
      <c r="V571" s="31" t="s">
        <v>24</v>
      </c>
      <c r="W571" s="29">
        <v>145</v>
      </c>
      <c r="X571" s="32">
        <f t="shared" si="97"/>
        <v>6168.3</v>
      </c>
      <c r="Y571" s="33">
        <v>200</v>
      </c>
      <c r="Z571" s="33">
        <f t="shared" si="98"/>
        <v>8508</v>
      </c>
      <c r="AA571" s="31">
        <f t="shared" si="99"/>
        <v>26800.2</v>
      </c>
    </row>
    <row r="572" spans="1:27" s="38" customFormat="1" ht="15.75" x14ac:dyDescent="0.25">
      <c r="A572" s="51">
        <v>569</v>
      </c>
      <c r="B572" s="22">
        <v>46018</v>
      </c>
      <c r="C572" s="22">
        <v>46019</v>
      </c>
      <c r="D572" s="24">
        <v>251228014</v>
      </c>
      <c r="E572" s="24" t="s">
        <v>1213</v>
      </c>
      <c r="F572" s="24" t="s">
        <v>1214</v>
      </c>
      <c r="G572" s="24">
        <v>42</v>
      </c>
      <c r="H572" s="64">
        <v>119</v>
      </c>
      <c r="I572" s="43" t="s">
        <v>870</v>
      </c>
      <c r="J572" s="147" t="s">
        <v>23</v>
      </c>
      <c r="K572" s="43" t="s">
        <v>32</v>
      </c>
      <c r="L572" s="24" t="s">
        <v>38</v>
      </c>
      <c r="M572" s="24" t="s">
        <v>306</v>
      </c>
      <c r="N572" s="37">
        <v>59.4</v>
      </c>
      <c r="O572" s="37">
        <v>15.8</v>
      </c>
      <c r="P572" s="28">
        <f t="shared" si="95"/>
        <v>43.599999999999994</v>
      </c>
      <c r="Q572" s="29">
        <v>425</v>
      </c>
      <c r="R572" s="30">
        <f t="shared" si="96"/>
        <v>18529.999999999996</v>
      </c>
      <c r="S572" s="29"/>
      <c r="T572" s="31"/>
      <c r="V572" s="31" t="s">
        <v>24</v>
      </c>
      <c r="W572" s="29">
        <v>145</v>
      </c>
      <c r="X572" s="32">
        <f t="shared" si="97"/>
        <v>6321.9999999999991</v>
      </c>
      <c r="Y572" s="33">
        <v>200</v>
      </c>
      <c r="Z572" s="33">
        <f t="shared" si="98"/>
        <v>8719.9999999999982</v>
      </c>
      <c r="AA572" s="31">
        <f t="shared" si="99"/>
        <v>33571.999999999993</v>
      </c>
    </row>
    <row r="573" spans="1:27" s="34" customFormat="1" ht="15.75" x14ac:dyDescent="0.25">
      <c r="A573" s="51">
        <v>570</v>
      </c>
      <c r="B573" s="22">
        <v>46018</v>
      </c>
      <c r="C573" s="22">
        <v>46019</v>
      </c>
      <c r="D573" s="24" t="s">
        <v>1215</v>
      </c>
      <c r="E573" s="24"/>
      <c r="F573" s="24"/>
      <c r="G573" s="24"/>
      <c r="H573" s="174"/>
      <c r="I573" s="150" t="s">
        <v>1216</v>
      </c>
      <c r="J573" s="147" t="s">
        <v>23</v>
      </c>
      <c r="K573" s="43" t="s">
        <v>32</v>
      </c>
      <c r="L573" s="24" t="s">
        <v>39</v>
      </c>
      <c r="M573" s="24" t="s">
        <v>31</v>
      </c>
      <c r="N573" s="37">
        <v>60.1</v>
      </c>
      <c r="O573" s="24">
        <v>15.76</v>
      </c>
      <c r="P573" s="28">
        <f t="shared" si="95"/>
        <v>44.34</v>
      </c>
      <c r="Q573" s="29">
        <v>130</v>
      </c>
      <c r="R573" s="30">
        <f t="shared" si="96"/>
        <v>5764.2000000000007</v>
      </c>
      <c r="S573" s="29"/>
      <c r="T573" s="31"/>
      <c r="V573" s="31" t="s">
        <v>53</v>
      </c>
      <c r="W573" s="29"/>
      <c r="X573" s="32">
        <f t="shared" si="97"/>
        <v>0</v>
      </c>
      <c r="Y573" s="33"/>
      <c r="Z573" s="33">
        <f t="shared" si="98"/>
        <v>0</v>
      </c>
      <c r="AA573" s="31">
        <f t="shared" si="99"/>
        <v>5764.2000000000007</v>
      </c>
    </row>
    <row r="574" spans="1:27" s="38" customFormat="1" ht="15.75" x14ac:dyDescent="0.25">
      <c r="A574" s="51">
        <v>571</v>
      </c>
      <c r="B574" s="22">
        <v>46018</v>
      </c>
      <c r="C574" s="22">
        <v>46019</v>
      </c>
      <c r="D574" s="24">
        <v>251228017</v>
      </c>
      <c r="E574" s="24" t="s">
        <v>1217</v>
      </c>
      <c r="F574" s="24" t="s">
        <v>1218</v>
      </c>
      <c r="G574" s="24">
        <v>44</v>
      </c>
      <c r="H574" s="64">
        <v>131</v>
      </c>
      <c r="I574" s="43" t="s">
        <v>700</v>
      </c>
      <c r="J574" s="147" t="s">
        <v>23</v>
      </c>
      <c r="K574" s="43" t="s">
        <v>32</v>
      </c>
      <c r="L574" s="24" t="s">
        <v>39</v>
      </c>
      <c r="M574" s="24" t="s">
        <v>34</v>
      </c>
      <c r="N574" s="24">
        <v>59.62</v>
      </c>
      <c r="O574" s="24">
        <v>15.76</v>
      </c>
      <c r="P574" s="28">
        <f t="shared" si="95"/>
        <v>43.86</v>
      </c>
      <c r="Q574" s="24">
        <v>285</v>
      </c>
      <c r="R574" s="30">
        <f t="shared" si="96"/>
        <v>12500.1</v>
      </c>
      <c r="S574" s="24"/>
      <c r="T574" s="31"/>
      <c r="V574" s="31" t="s">
        <v>24</v>
      </c>
      <c r="W574" s="24">
        <v>145</v>
      </c>
      <c r="X574" s="175">
        <f t="shared" si="97"/>
        <v>6359.7</v>
      </c>
      <c r="Y574" s="31">
        <v>200</v>
      </c>
      <c r="Z574" s="31">
        <f t="shared" si="98"/>
        <v>8772</v>
      </c>
      <c r="AA574" s="31">
        <f t="shared" si="99"/>
        <v>27631.8</v>
      </c>
    </row>
    <row r="575" spans="1:27" s="34" customFormat="1" ht="15.75" x14ac:dyDescent="0.25">
      <c r="A575" s="51">
        <v>572</v>
      </c>
      <c r="B575" s="22">
        <v>46019</v>
      </c>
      <c r="C575" s="22">
        <v>46019</v>
      </c>
      <c r="D575" s="148">
        <v>251228018</v>
      </c>
      <c r="E575" s="24" t="s">
        <v>1219</v>
      </c>
      <c r="F575" s="24"/>
      <c r="G575" s="24"/>
      <c r="H575" s="35">
        <v>115</v>
      </c>
      <c r="I575" s="43" t="s">
        <v>35</v>
      </c>
      <c r="J575" s="147" t="s">
        <v>23</v>
      </c>
      <c r="K575" s="171" t="s">
        <v>32</v>
      </c>
      <c r="L575" s="101" t="s">
        <v>46</v>
      </c>
      <c r="M575" s="24" t="s">
        <v>34</v>
      </c>
      <c r="N575" s="24">
        <v>74.760000000000005</v>
      </c>
      <c r="O575" s="24">
        <v>17.04</v>
      </c>
      <c r="P575" s="28">
        <f>N575-O575</f>
        <v>57.720000000000006</v>
      </c>
      <c r="Q575" s="29">
        <v>315</v>
      </c>
      <c r="R575" s="30">
        <f>Q575*P575</f>
        <v>18181.800000000003</v>
      </c>
      <c r="S575" s="29"/>
      <c r="T575" s="31"/>
      <c r="V575" s="31" t="s">
        <v>24</v>
      </c>
      <c r="W575" s="29">
        <v>145</v>
      </c>
      <c r="X575" s="32">
        <f t="shared" si="97"/>
        <v>8369.4000000000015</v>
      </c>
      <c r="Y575" s="33">
        <v>260</v>
      </c>
      <c r="Z575" s="33">
        <f t="shared" si="98"/>
        <v>15007.2</v>
      </c>
      <c r="AA575" s="31">
        <f t="shared" si="99"/>
        <v>41558.400000000009</v>
      </c>
    </row>
    <row r="576" spans="1:27" s="34" customFormat="1" ht="15.75" x14ac:dyDescent="0.25">
      <c r="A576" s="51">
        <v>573</v>
      </c>
      <c r="B576" s="22">
        <v>46019</v>
      </c>
      <c r="C576" s="22">
        <v>46019</v>
      </c>
      <c r="D576" s="148">
        <v>251228019</v>
      </c>
      <c r="E576" s="24" t="s">
        <v>1220</v>
      </c>
      <c r="F576" s="24"/>
      <c r="G576" s="24"/>
      <c r="H576" s="35">
        <v>115</v>
      </c>
      <c r="I576" s="43" t="s">
        <v>35</v>
      </c>
      <c r="J576" s="147" t="s">
        <v>23</v>
      </c>
      <c r="K576" s="171" t="s">
        <v>32</v>
      </c>
      <c r="L576" s="101" t="s">
        <v>1221</v>
      </c>
      <c r="M576" s="24" t="s">
        <v>34</v>
      </c>
      <c r="N576" s="24">
        <v>58.34</v>
      </c>
      <c r="O576" s="24">
        <v>15.6</v>
      </c>
      <c r="P576" s="28">
        <f>N576-O576</f>
        <v>42.74</v>
      </c>
      <c r="Q576" s="29">
        <v>315</v>
      </c>
      <c r="R576" s="30">
        <f>Q576*P576</f>
        <v>13463.1</v>
      </c>
      <c r="S576" s="29"/>
      <c r="T576" s="31"/>
      <c r="V576" s="31" t="s">
        <v>24</v>
      </c>
      <c r="W576" s="29">
        <v>145</v>
      </c>
      <c r="X576" s="32">
        <f t="shared" si="97"/>
        <v>6197.3</v>
      </c>
      <c r="Y576" s="33">
        <v>260</v>
      </c>
      <c r="Z576" s="33">
        <f t="shared" si="98"/>
        <v>11112.4</v>
      </c>
      <c r="AA576" s="31">
        <f t="shared" si="99"/>
        <v>30772.800000000003</v>
      </c>
    </row>
    <row r="577" spans="1:38" s="34" customFormat="1" ht="15.75" x14ac:dyDescent="0.25">
      <c r="A577" s="51">
        <v>574</v>
      </c>
      <c r="B577" s="22">
        <v>46019</v>
      </c>
      <c r="C577" s="22">
        <v>46019</v>
      </c>
      <c r="D577" s="148">
        <v>251228020</v>
      </c>
      <c r="E577" s="24" t="s">
        <v>1222</v>
      </c>
      <c r="F577" s="24"/>
      <c r="G577" s="24"/>
      <c r="H577" s="35">
        <v>115</v>
      </c>
      <c r="I577" s="43" t="s">
        <v>35</v>
      </c>
      <c r="J577" s="147" t="s">
        <v>23</v>
      </c>
      <c r="K577" s="171" t="s">
        <v>32</v>
      </c>
      <c r="L577" s="101" t="s">
        <v>1133</v>
      </c>
      <c r="M577" s="24" t="s">
        <v>34</v>
      </c>
      <c r="N577" s="24">
        <v>60.24</v>
      </c>
      <c r="O577" s="24">
        <v>15.34</v>
      </c>
      <c r="P577" s="28">
        <f>N577-O577</f>
        <v>44.900000000000006</v>
      </c>
      <c r="Q577" s="29">
        <v>315</v>
      </c>
      <c r="R577" s="30">
        <f>Q577*P577</f>
        <v>14143.500000000002</v>
      </c>
      <c r="S577" s="29"/>
      <c r="T577" s="31"/>
      <c r="V577" s="31" t="s">
        <v>24</v>
      </c>
      <c r="W577" s="29">
        <v>145</v>
      </c>
      <c r="X577" s="32">
        <f t="shared" si="97"/>
        <v>6510.5000000000009</v>
      </c>
      <c r="Y577" s="33">
        <v>260</v>
      </c>
      <c r="Z577" s="33">
        <f t="shared" si="98"/>
        <v>11674.000000000002</v>
      </c>
      <c r="AA577" s="31">
        <f t="shared" si="99"/>
        <v>32328.000000000007</v>
      </c>
    </row>
    <row r="578" spans="1:38" s="38" customFormat="1" ht="15.75" x14ac:dyDescent="0.25">
      <c r="A578" s="51">
        <v>575</v>
      </c>
      <c r="B578" s="22">
        <v>46019</v>
      </c>
      <c r="C578" s="22">
        <v>46019</v>
      </c>
      <c r="D578" s="148">
        <v>251228021</v>
      </c>
      <c r="E578" s="24" t="s">
        <v>1223</v>
      </c>
      <c r="F578" s="24"/>
      <c r="G578" s="24"/>
      <c r="H578" s="35">
        <v>115</v>
      </c>
      <c r="I578" s="43" t="s">
        <v>35</v>
      </c>
      <c r="J578" s="147" t="s">
        <v>23</v>
      </c>
      <c r="K578" s="171" t="s">
        <v>32</v>
      </c>
      <c r="L578" s="101" t="s">
        <v>1169</v>
      </c>
      <c r="M578" s="24" t="s">
        <v>34</v>
      </c>
      <c r="N578" s="37">
        <v>57.24</v>
      </c>
      <c r="O578" s="24">
        <v>14.94</v>
      </c>
      <c r="P578" s="28">
        <f t="shared" ref="P578:P629" si="100">N578-O578</f>
        <v>42.300000000000004</v>
      </c>
      <c r="Q578" s="29">
        <v>315</v>
      </c>
      <c r="R578" s="30">
        <f t="shared" ref="R578:R641" si="101">Q578*P578</f>
        <v>13324.500000000002</v>
      </c>
      <c r="S578" s="29"/>
      <c r="T578" s="31"/>
      <c r="V578" s="31" t="s">
        <v>24</v>
      </c>
      <c r="W578" s="29">
        <v>145</v>
      </c>
      <c r="X578" s="32">
        <f t="shared" si="97"/>
        <v>6133.5000000000009</v>
      </c>
      <c r="Y578" s="33">
        <v>260</v>
      </c>
      <c r="Z578" s="33">
        <f t="shared" si="98"/>
        <v>10998.000000000002</v>
      </c>
      <c r="AA578" s="31">
        <f t="shared" si="99"/>
        <v>30456.000000000007</v>
      </c>
    </row>
    <row r="579" spans="1:38" s="34" customFormat="1" ht="15.75" x14ac:dyDescent="0.25">
      <c r="A579" s="51">
        <v>576</v>
      </c>
      <c r="B579" s="22">
        <v>46019</v>
      </c>
      <c r="C579" s="22">
        <v>46019</v>
      </c>
      <c r="D579" s="148">
        <v>251228022</v>
      </c>
      <c r="E579" s="24" t="s">
        <v>1224</v>
      </c>
      <c r="F579" s="24" t="s">
        <v>1225</v>
      </c>
      <c r="G579" s="24">
        <v>42</v>
      </c>
      <c r="H579" s="64">
        <v>119</v>
      </c>
      <c r="I579" s="43" t="s">
        <v>870</v>
      </c>
      <c r="J579" s="147" t="s">
        <v>23</v>
      </c>
      <c r="K579" s="43" t="s">
        <v>32</v>
      </c>
      <c r="L579" s="101" t="s">
        <v>500</v>
      </c>
      <c r="M579" s="24" t="s">
        <v>306</v>
      </c>
      <c r="N579" s="37">
        <v>44.42</v>
      </c>
      <c r="O579" s="24">
        <v>11.82</v>
      </c>
      <c r="P579" s="28">
        <f t="shared" si="100"/>
        <v>32.6</v>
      </c>
      <c r="Q579" s="29">
        <v>425</v>
      </c>
      <c r="R579" s="30">
        <f t="shared" si="101"/>
        <v>13855</v>
      </c>
      <c r="S579" s="29"/>
      <c r="T579" s="31"/>
      <c r="V579" s="31" t="s">
        <v>24</v>
      </c>
      <c r="W579" s="29">
        <v>145</v>
      </c>
      <c r="X579" s="32">
        <f t="shared" si="97"/>
        <v>4727</v>
      </c>
      <c r="Y579" s="33">
        <v>150</v>
      </c>
      <c r="Z579" s="33">
        <f t="shared" si="98"/>
        <v>4890</v>
      </c>
      <c r="AA579" s="31">
        <f t="shared" si="99"/>
        <v>23472</v>
      </c>
    </row>
    <row r="580" spans="1:38" s="34" customFormat="1" ht="15.75" x14ac:dyDescent="0.25">
      <c r="A580" s="51">
        <v>577</v>
      </c>
      <c r="B580" s="22">
        <v>46019</v>
      </c>
      <c r="C580" s="22">
        <v>46019</v>
      </c>
      <c r="D580" s="148">
        <v>251228023</v>
      </c>
      <c r="E580" s="24" t="s">
        <v>1226</v>
      </c>
      <c r="F580" s="24" t="s">
        <v>1227</v>
      </c>
      <c r="G580" s="24">
        <v>42</v>
      </c>
      <c r="H580" s="64">
        <v>119</v>
      </c>
      <c r="I580" s="43" t="s">
        <v>870</v>
      </c>
      <c r="J580" s="147" t="s">
        <v>23</v>
      </c>
      <c r="K580" s="43" t="s">
        <v>32</v>
      </c>
      <c r="L580" s="101" t="s">
        <v>965</v>
      </c>
      <c r="M580" s="24" t="s">
        <v>306</v>
      </c>
      <c r="N580" s="37">
        <v>58.82</v>
      </c>
      <c r="O580" s="37">
        <v>15.32</v>
      </c>
      <c r="P580" s="28">
        <f t="shared" si="100"/>
        <v>43.5</v>
      </c>
      <c r="Q580" s="29">
        <v>425</v>
      </c>
      <c r="R580" s="30">
        <f t="shared" si="101"/>
        <v>18487.5</v>
      </c>
      <c r="S580" s="29"/>
      <c r="T580" s="31"/>
      <c r="V580" s="31" t="s">
        <v>24</v>
      </c>
      <c r="W580" s="29">
        <v>145</v>
      </c>
      <c r="X580" s="32">
        <f t="shared" si="97"/>
        <v>6307.5</v>
      </c>
      <c r="Y580" s="33">
        <v>150</v>
      </c>
      <c r="Z580" s="33">
        <f t="shared" si="98"/>
        <v>6525</v>
      </c>
      <c r="AA580" s="31">
        <f t="shared" si="99"/>
        <v>31320</v>
      </c>
    </row>
    <row r="581" spans="1:38" s="34" customFormat="1" ht="15.75" x14ac:dyDescent="0.25">
      <c r="A581" s="51">
        <v>578</v>
      </c>
      <c r="B581" s="22">
        <v>46019</v>
      </c>
      <c r="C581" s="22">
        <v>46019</v>
      </c>
      <c r="D581" s="148">
        <v>251228024</v>
      </c>
      <c r="E581" s="24" t="s">
        <v>1228</v>
      </c>
      <c r="F581" s="24" t="s">
        <v>1229</v>
      </c>
      <c r="G581" s="24">
        <v>42</v>
      </c>
      <c r="H581" s="64">
        <v>119</v>
      </c>
      <c r="I581" s="43" t="s">
        <v>870</v>
      </c>
      <c r="J581" s="147" t="s">
        <v>23</v>
      </c>
      <c r="K581" s="43" t="s">
        <v>32</v>
      </c>
      <c r="L581" s="101" t="s">
        <v>503</v>
      </c>
      <c r="M581" s="24" t="s">
        <v>306</v>
      </c>
      <c r="N581" s="37">
        <v>45.22</v>
      </c>
      <c r="O581" s="37">
        <v>11.46</v>
      </c>
      <c r="P581" s="28">
        <f t="shared" si="100"/>
        <v>33.76</v>
      </c>
      <c r="Q581" s="29">
        <v>425</v>
      </c>
      <c r="R581" s="30">
        <f t="shared" si="101"/>
        <v>14348</v>
      </c>
      <c r="S581" s="29"/>
      <c r="T581" s="31"/>
      <c r="V581" s="31" t="s">
        <v>24</v>
      </c>
      <c r="W581" s="29">
        <v>145</v>
      </c>
      <c r="X581" s="32">
        <f t="shared" si="97"/>
        <v>4895.2</v>
      </c>
      <c r="Y581" s="33">
        <v>150</v>
      </c>
      <c r="Z581" s="33">
        <f t="shared" si="98"/>
        <v>5064</v>
      </c>
      <c r="AA581" s="31">
        <f t="shared" si="99"/>
        <v>24307.200000000001</v>
      </c>
    </row>
    <row r="582" spans="1:38" s="34" customFormat="1" ht="20.100000000000001" customHeight="1" x14ac:dyDescent="0.25">
      <c r="A582" s="51">
        <v>579</v>
      </c>
      <c r="B582" s="22">
        <v>46019</v>
      </c>
      <c r="C582" s="22">
        <v>46019</v>
      </c>
      <c r="D582" s="148">
        <v>251228025</v>
      </c>
      <c r="E582" s="24" t="s">
        <v>1230</v>
      </c>
      <c r="F582" s="24" t="s">
        <v>1231</v>
      </c>
      <c r="G582" s="24">
        <v>42</v>
      </c>
      <c r="H582" s="64">
        <v>119</v>
      </c>
      <c r="I582" s="43" t="s">
        <v>870</v>
      </c>
      <c r="J582" s="147" t="s">
        <v>23</v>
      </c>
      <c r="K582" s="43" t="s">
        <v>32</v>
      </c>
      <c r="L582" s="101" t="s">
        <v>1074</v>
      </c>
      <c r="M582" s="24" t="s">
        <v>306</v>
      </c>
      <c r="N582" s="37">
        <v>53.9</v>
      </c>
      <c r="O582" s="37">
        <v>13.76</v>
      </c>
      <c r="P582" s="28">
        <f t="shared" si="100"/>
        <v>40.14</v>
      </c>
      <c r="Q582" s="29">
        <v>425</v>
      </c>
      <c r="R582" s="30">
        <f t="shared" si="101"/>
        <v>17059.5</v>
      </c>
      <c r="S582" s="29"/>
      <c r="T582" s="31"/>
      <c r="V582" s="31" t="s">
        <v>24</v>
      </c>
      <c r="W582" s="29">
        <v>145</v>
      </c>
      <c r="X582" s="32">
        <f t="shared" si="97"/>
        <v>5820.3</v>
      </c>
      <c r="Y582" s="33">
        <v>150</v>
      </c>
      <c r="Z582" s="33">
        <f t="shared" si="98"/>
        <v>6021</v>
      </c>
      <c r="AA582" s="31">
        <f t="shared" si="99"/>
        <v>28900.799999999999</v>
      </c>
      <c r="AB582" s="40"/>
      <c r="AC582" s="39"/>
      <c r="AD582" s="41"/>
      <c r="AE582" s="42"/>
      <c r="AF582" s="39"/>
      <c r="AG582" s="42"/>
      <c r="AH582" s="39"/>
      <c r="AI582" s="41"/>
      <c r="AJ582" s="39"/>
      <c r="AK582" s="41"/>
      <c r="AL582" s="41"/>
    </row>
    <row r="583" spans="1:38" s="34" customFormat="1" ht="15.75" x14ac:dyDescent="0.25">
      <c r="A583" s="51">
        <v>580</v>
      </c>
      <c r="B583" s="22">
        <v>46019</v>
      </c>
      <c r="C583" s="22">
        <v>46019</v>
      </c>
      <c r="D583" s="148">
        <v>251228026</v>
      </c>
      <c r="E583" s="24"/>
      <c r="F583" s="24"/>
      <c r="G583" s="24"/>
      <c r="H583" s="45"/>
      <c r="I583" s="165" t="s">
        <v>48</v>
      </c>
      <c r="J583" s="147" t="s">
        <v>23</v>
      </c>
      <c r="K583" s="43" t="s">
        <v>32</v>
      </c>
      <c r="L583" s="101" t="s">
        <v>1020</v>
      </c>
      <c r="M583" s="24" t="s">
        <v>49</v>
      </c>
      <c r="N583" s="37">
        <v>31.22</v>
      </c>
      <c r="O583" s="37">
        <v>14.24</v>
      </c>
      <c r="P583" s="28">
        <f t="shared" si="100"/>
        <v>16.979999999999997</v>
      </c>
      <c r="Q583" s="29">
        <v>0</v>
      </c>
      <c r="R583" s="30">
        <f t="shared" si="101"/>
        <v>0</v>
      </c>
      <c r="S583" s="29"/>
      <c r="T583" s="31"/>
      <c r="V583" s="31" t="s">
        <v>24</v>
      </c>
      <c r="W583" s="29"/>
      <c r="X583" s="32">
        <f t="shared" si="97"/>
        <v>0</v>
      </c>
      <c r="Y583" s="33"/>
      <c r="Z583" s="33">
        <f t="shared" si="98"/>
        <v>0</v>
      </c>
      <c r="AA583" s="31">
        <f t="shared" si="99"/>
        <v>0</v>
      </c>
    </row>
    <row r="584" spans="1:38" s="34" customFormat="1" ht="15.75" x14ac:dyDescent="0.25">
      <c r="A584" s="51">
        <v>581</v>
      </c>
      <c r="B584" s="22">
        <v>46019</v>
      </c>
      <c r="C584" s="22">
        <v>46019</v>
      </c>
      <c r="D584" s="148">
        <v>251228027</v>
      </c>
      <c r="E584" s="24" t="s">
        <v>1232</v>
      </c>
      <c r="F584" s="24"/>
      <c r="G584" s="24"/>
      <c r="H584" s="35">
        <v>115</v>
      </c>
      <c r="I584" s="43" t="s">
        <v>35</v>
      </c>
      <c r="J584" s="147" t="s">
        <v>23</v>
      </c>
      <c r="K584" s="171" t="s">
        <v>32</v>
      </c>
      <c r="L584" s="101" t="s">
        <v>418</v>
      </c>
      <c r="M584" s="24" t="s">
        <v>34</v>
      </c>
      <c r="N584" s="37">
        <v>65.540000000000006</v>
      </c>
      <c r="O584" s="37">
        <v>18.059999999999999</v>
      </c>
      <c r="P584" s="28">
        <f t="shared" si="100"/>
        <v>47.480000000000004</v>
      </c>
      <c r="Q584" s="29">
        <v>315</v>
      </c>
      <c r="R584" s="30">
        <f t="shared" si="101"/>
        <v>14956.2</v>
      </c>
      <c r="S584" s="29"/>
      <c r="T584" s="31"/>
      <c r="V584" s="31" t="s">
        <v>24</v>
      </c>
      <c r="W584" s="29">
        <v>145</v>
      </c>
      <c r="X584" s="32">
        <f t="shared" si="97"/>
        <v>6884.6</v>
      </c>
      <c r="Y584" s="33">
        <v>260</v>
      </c>
      <c r="Z584" s="33">
        <f t="shared" si="98"/>
        <v>12344.800000000001</v>
      </c>
      <c r="AA584" s="31">
        <f t="shared" si="99"/>
        <v>34185.600000000006</v>
      </c>
    </row>
    <row r="585" spans="1:38" s="34" customFormat="1" ht="15.75" x14ac:dyDescent="0.25">
      <c r="A585" s="51">
        <v>582</v>
      </c>
      <c r="B585" s="22">
        <v>46019</v>
      </c>
      <c r="C585" s="22">
        <v>46019</v>
      </c>
      <c r="D585" s="148">
        <v>251228028</v>
      </c>
      <c r="E585" s="24" t="s">
        <v>1233</v>
      </c>
      <c r="F585" s="24"/>
      <c r="G585" s="24"/>
      <c r="H585" s="35">
        <v>115</v>
      </c>
      <c r="I585" s="43" t="s">
        <v>35</v>
      </c>
      <c r="J585" s="147" t="s">
        <v>23</v>
      </c>
      <c r="K585" s="171" t="s">
        <v>32</v>
      </c>
      <c r="L585" s="101" t="s">
        <v>467</v>
      </c>
      <c r="M585" s="24" t="s">
        <v>34</v>
      </c>
      <c r="N585" s="37">
        <v>63.18</v>
      </c>
      <c r="O585" s="37">
        <v>16.46</v>
      </c>
      <c r="P585" s="28">
        <f t="shared" si="100"/>
        <v>46.72</v>
      </c>
      <c r="Q585" s="29">
        <v>315</v>
      </c>
      <c r="R585" s="30">
        <f t="shared" si="101"/>
        <v>14716.8</v>
      </c>
      <c r="S585" s="29"/>
      <c r="T585" s="31"/>
      <c r="V585" s="31" t="s">
        <v>24</v>
      </c>
      <c r="W585" s="29">
        <v>145</v>
      </c>
      <c r="X585" s="32">
        <f t="shared" si="97"/>
        <v>6774.4</v>
      </c>
      <c r="Y585" s="33">
        <v>260</v>
      </c>
      <c r="Z585" s="33">
        <f t="shared" si="98"/>
        <v>12147.199999999999</v>
      </c>
      <c r="AA585" s="31">
        <f t="shared" si="99"/>
        <v>33638.399999999994</v>
      </c>
    </row>
    <row r="586" spans="1:38" s="34" customFormat="1" ht="15.75" x14ac:dyDescent="0.25">
      <c r="A586" s="51">
        <v>583</v>
      </c>
      <c r="B586" s="22">
        <v>46019</v>
      </c>
      <c r="C586" s="22">
        <v>46019</v>
      </c>
      <c r="D586" s="153" t="s">
        <v>1234</v>
      </c>
      <c r="E586" s="24"/>
      <c r="F586" s="24"/>
      <c r="G586" s="24"/>
      <c r="H586" s="45"/>
      <c r="I586" s="165" t="s">
        <v>48</v>
      </c>
      <c r="J586" s="147" t="s">
        <v>23</v>
      </c>
      <c r="K586" s="43" t="s">
        <v>32</v>
      </c>
      <c r="L586" s="101" t="s">
        <v>134</v>
      </c>
      <c r="M586" s="24" t="s">
        <v>49</v>
      </c>
      <c r="N586" s="37">
        <v>34.700000000000003</v>
      </c>
      <c r="O586" s="37">
        <v>14.08</v>
      </c>
      <c r="P586" s="28">
        <f t="shared" si="100"/>
        <v>20.620000000000005</v>
      </c>
      <c r="Q586" s="29">
        <v>0</v>
      </c>
      <c r="R586" s="30">
        <f t="shared" si="101"/>
        <v>0</v>
      </c>
      <c r="S586" s="29"/>
      <c r="T586" s="31"/>
      <c r="V586" s="31" t="s">
        <v>24</v>
      </c>
      <c r="W586" s="29"/>
      <c r="X586" s="32">
        <f t="shared" si="97"/>
        <v>0</v>
      </c>
      <c r="Y586" s="33"/>
      <c r="Z586" s="33">
        <f t="shared" si="98"/>
        <v>0</v>
      </c>
      <c r="AA586" s="31">
        <f t="shared" si="99"/>
        <v>0</v>
      </c>
    </row>
    <row r="587" spans="1:38" s="38" customFormat="1" ht="15.75" x14ac:dyDescent="0.25">
      <c r="A587" s="51">
        <v>584</v>
      </c>
      <c r="B587" s="22">
        <v>46019</v>
      </c>
      <c r="C587" s="22">
        <v>46019</v>
      </c>
      <c r="D587" s="148">
        <v>251228029</v>
      </c>
      <c r="E587" s="24" t="s">
        <v>1235</v>
      </c>
      <c r="F587" s="24"/>
      <c r="G587" s="24"/>
      <c r="H587" s="35">
        <v>115</v>
      </c>
      <c r="I587" s="43" t="s">
        <v>35</v>
      </c>
      <c r="J587" s="147" t="s">
        <v>23</v>
      </c>
      <c r="K587" s="171" t="s">
        <v>32</v>
      </c>
      <c r="L587" s="101" t="s">
        <v>41</v>
      </c>
      <c r="M587" s="24" t="s">
        <v>34</v>
      </c>
      <c r="N587" s="37">
        <v>44.96</v>
      </c>
      <c r="O587" s="37">
        <v>11.9</v>
      </c>
      <c r="P587" s="28">
        <f t="shared" si="100"/>
        <v>33.06</v>
      </c>
      <c r="Q587" s="29">
        <v>315</v>
      </c>
      <c r="R587" s="30">
        <f t="shared" si="101"/>
        <v>10413.900000000001</v>
      </c>
      <c r="S587" s="29"/>
      <c r="T587" s="31"/>
      <c r="V587" s="31" t="s">
        <v>24</v>
      </c>
      <c r="W587" s="29">
        <v>145</v>
      </c>
      <c r="X587" s="32">
        <f t="shared" si="97"/>
        <v>4793.7000000000007</v>
      </c>
      <c r="Y587" s="33">
        <v>260</v>
      </c>
      <c r="Z587" s="31">
        <f t="shared" si="98"/>
        <v>8595.6</v>
      </c>
      <c r="AA587" s="31">
        <f t="shared" si="99"/>
        <v>23803.200000000004</v>
      </c>
    </row>
    <row r="588" spans="1:38" s="38" customFormat="1" ht="15.75" x14ac:dyDescent="0.25">
      <c r="A588" s="51">
        <v>585</v>
      </c>
      <c r="B588" s="22">
        <v>46019</v>
      </c>
      <c r="C588" s="22">
        <v>46019</v>
      </c>
      <c r="D588" s="148">
        <v>251228030</v>
      </c>
      <c r="E588" s="24" t="s">
        <v>1236</v>
      </c>
      <c r="F588" s="24"/>
      <c r="G588" s="24"/>
      <c r="H588" s="35">
        <v>115</v>
      </c>
      <c r="I588" s="43" t="s">
        <v>35</v>
      </c>
      <c r="J588" s="147" t="s">
        <v>23</v>
      </c>
      <c r="K588" s="171" t="s">
        <v>32</v>
      </c>
      <c r="L588" s="101" t="s">
        <v>286</v>
      </c>
      <c r="M588" s="24" t="s">
        <v>34</v>
      </c>
      <c r="N588" s="37">
        <v>44.8</v>
      </c>
      <c r="O588" s="37">
        <v>11.54</v>
      </c>
      <c r="P588" s="28">
        <f t="shared" si="100"/>
        <v>33.26</v>
      </c>
      <c r="Q588" s="29">
        <v>315</v>
      </c>
      <c r="R588" s="30">
        <f t="shared" si="101"/>
        <v>10476.9</v>
      </c>
      <c r="S588" s="29"/>
      <c r="T588" s="31"/>
      <c r="V588" s="31" t="s">
        <v>24</v>
      </c>
      <c r="W588" s="29">
        <v>145</v>
      </c>
      <c r="X588" s="32">
        <f t="shared" si="97"/>
        <v>4822.7</v>
      </c>
      <c r="Y588" s="33">
        <v>260</v>
      </c>
      <c r="Z588" s="31">
        <f t="shared" si="98"/>
        <v>8647.6</v>
      </c>
      <c r="AA588" s="31">
        <f t="shared" si="99"/>
        <v>23947.199999999997</v>
      </c>
    </row>
    <row r="589" spans="1:38" s="34" customFormat="1" ht="15.75" x14ac:dyDescent="0.25">
      <c r="A589" s="51">
        <v>586</v>
      </c>
      <c r="B589" s="22">
        <v>46019</v>
      </c>
      <c r="C589" s="22">
        <v>46019</v>
      </c>
      <c r="D589" s="148" t="s">
        <v>1237</v>
      </c>
      <c r="E589" s="24"/>
      <c r="F589" s="24"/>
      <c r="G589" s="24"/>
      <c r="H589" s="45"/>
      <c r="I589" s="150" t="s">
        <v>1238</v>
      </c>
      <c r="J589" s="176" t="s">
        <v>23</v>
      </c>
      <c r="K589" s="168" t="s">
        <v>32</v>
      </c>
      <c r="L589" s="101" t="s">
        <v>1183</v>
      </c>
      <c r="M589" s="24" t="s">
        <v>36</v>
      </c>
      <c r="N589" s="37">
        <v>8.84</v>
      </c>
      <c r="O589" s="37">
        <v>3.6</v>
      </c>
      <c r="P589" s="28">
        <f t="shared" si="100"/>
        <v>5.24</v>
      </c>
      <c r="Q589" s="29">
        <v>500</v>
      </c>
      <c r="R589" s="30">
        <f t="shared" si="101"/>
        <v>2620</v>
      </c>
      <c r="S589" s="29"/>
      <c r="T589" s="31"/>
      <c r="V589" s="31" t="s">
        <v>24</v>
      </c>
      <c r="W589" s="29"/>
      <c r="X589" s="32">
        <f t="shared" ref="X589:X620" si="102">W589*P589</f>
        <v>0</v>
      </c>
      <c r="Y589" s="33"/>
      <c r="Z589" s="31">
        <f t="shared" ref="Z589:Z620" si="103">Y589*P589</f>
        <v>0</v>
      </c>
      <c r="AA589" s="31">
        <f t="shared" ref="AA589:AA620" si="104">R589+X589+Z589</f>
        <v>2620</v>
      </c>
    </row>
    <row r="590" spans="1:38" s="34" customFormat="1" ht="15.75" x14ac:dyDescent="0.2">
      <c r="A590" s="51">
        <v>587</v>
      </c>
      <c r="B590" s="22">
        <v>46019</v>
      </c>
      <c r="C590" s="22">
        <v>46019</v>
      </c>
      <c r="D590" s="148" t="s">
        <v>1239</v>
      </c>
      <c r="E590" s="24"/>
      <c r="F590" s="24"/>
      <c r="G590" s="24"/>
      <c r="H590" s="177">
        <v>123</v>
      </c>
      <c r="I590" s="150" t="s">
        <v>1240</v>
      </c>
      <c r="J590" s="176" t="s">
        <v>23</v>
      </c>
      <c r="K590" s="168" t="s">
        <v>32</v>
      </c>
      <c r="L590" s="101" t="s">
        <v>528</v>
      </c>
      <c r="M590" s="24" t="s">
        <v>49</v>
      </c>
      <c r="N590" s="37">
        <v>55.72</v>
      </c>
      <c r="O590" s="37">
        <v>18.04</v>
      </c>
      <c r="P590" s="28">
        <f t="shared" si="100"/>
        <v>37.68</v>
      </c>
      <c r="Q590" s="29">
        <v>150</v>
      </c>
      <c r="R590" s="30">
        <f t="shared" si="101"/>
        <v>5652</v>
      </c>
      <c r="S590" s="29"/>
      <c r="T590" s="31"/>
      <c r="V590" s="31" t="s">
        <v>24</v>
      </c>
      <c r="W590" s="29"/>
      <c r="X590" s="32">
        <f t="shared" si="102"/>
        <v>0</v>
      </c>
      <c r="Y590" s="33"/>
      <c r="Z590" s="31">
        <f t="shared" si="103"/>
        <v>0</v>
      </c>
      <c r="AA590" s="31">
        <f t="shared" si="104"/>
        <v>5652</v>
      </c>
    </row>
    <row r="591" spans="1:38" s="34" customFormat="1" ht="15.75" x14ac:dyDescent="0.2">
      <c r="A591" s="51">
        <v>588</v>
      </c>
      <c r="B591" s="22">
        <v>46019</v>
      </c>
      <c r="C591" s="22">
        <v>46019</v>
      </c>
      <c r="D591" s="148" t="s">
        <v>1241</v>
      </c>
      <c r="E591" s="24"/>
      <c r="F591" s="24"/>
      <c r="G591" s="24"/>
      <c r="H591" s="177">
        <v>123</v>
      </c>
      <c r="I591" s="150" t="s">
        <v>1240</v>
      </c>
      <c r="J591" s="176" t="s">
        <v>23</v>
      </c>
      <c r="K591" s="168" t="s">
        <v>32</v>
      </c>
      <c r="L591" s="101" t="s">
        <v>575</v>
      </c>
      <c r="M591" s="24" t="s">
        <v>49</v>
      </c>
      <c r="N591" s="37">
        <v>52.56</v>
      </c>
      <c r="O591" s="37">
        <v>18.12</v>
      </c>
      <c r="P591" s="28">
        <f t="shared" si="100"/>
        <v>34.44</v>
      </c>
      <c r="Q591" s="29">
        <v>150</v>
      </c>
      <c r="R591" s="30">
        <f t="shared" si="101"/>
        <v>5166</v>
      </c>
      <c r="S591" s="29"/>
      <c r="T591" s="31"/>
      <c r="V591" s="31" t="s">
        <v>24</v>
      </c>
      <c r="W591" s="29"/>
      <c r="X591" s="32">
        <f t="shared" si="102"/>
        <v>0</v>
      </c>
      <c r="Y591" s="33"/>
      <c r="Z591" s="31">
        <f t="shared" si="103"/>
        <v>0</v>
      </c>
      <c r="AA591" s="31">
        <f t="shared" si="104"/>
        <v>5166</v>
      </c>
    </row>
    <row r="592" spans="1:38" s="38" customFormat="1" ht="15.75" x14ac:dyDescent="0.25">
      <c r="A592" s="51">
        <v>589</v>
      </c>
      <c r="B592" s="22">
        <v>46019</v>
      </c>
      <c r="C592" s="22">
        <v>46019</v>
      </c>
      <c r="D592" s="148">
        <v>251228031</v>
      </c>
      <c r="E592" s="24" t="s">
        <v>1242</v>
      </c>
      <c r="F592" s="24"/>
      <c r="G592" s="24"/>
      <c r="H592" s="35">
        <v>115</v>
      </c>
      <c r="I592" s="43" t="s">
        <v>35</v>
      </c>
      <c r="J592" s="147" t="s">
        <v>23</v>
      </c>
      <c r="K592" s="171" t="s">
        <v>32</v>
      </c>
      <c r="L592" s="101" t="s">
        <v>43</v>
      </c>
      <c r="M592" s="24" t="s">
        <v>34</v>
      </c>
      <c r="N592" s="37">
        <v>58.38</v>
      </c>
      <c r="O592" s="37">
        <v>15.82</v>
      </c>
      <c r="P592" s="28">
        <f t="shared" si="100"/>
        <v>42.56</v>
      </c>
      <c r="Q592" s="29">
        <v>315</v>
      </c>
      <c r="R592" s="30">
        <f t="shared" si="101"/>
        <v>13406.400000000001</v>
      </c>
      <c r="S592" s="29"/>
      <c r="T592" s="31"/>
      <c r="V592" s="31" t="s">
        <v>24</v>
      </c>
      <c r="W592" s="29">
        <v>145</v>
      </c>
      <c r="X592" s="32">
        <f t="shared" si="102"/>
        <v>6171.2000000000007</v>
      </c>
      <c r="Y592" s="33">
        <v>260</v>
      </c>
      <c r="Z592" s="31">
        <f t="shared" si="103"/>
        <v>11065.6</v>
      </c>
      <c r="AA592" s="31">
        <f t="shared" si="104"/>
        <v>30643.200000000004</v>
      </c>
    </row>
    <row r="593" spans="1:27" s="38" customFormat="1" ht="15.75" x14ac:dyDescent="0.25">
      <c r="A593" s="51">
        <v>590</v>
      </c>
      <c r="B593" s="22">
        <v>46019</v>
      </c>
      <c r="C593" s="22">
        <v>46019</v>
      </c>
      <c r="D593" s="148">
        <v>251228032</v>
      </c>
      <c r="E593" s="24" t="s">
        <v>1243</v>
      </c>
      <c r="F593" s="24"/>
      <c r="G593" s="24"/>
      <c r="H593" s="35">
        <v>115</v>
      </c>
      <c r="I593" s="43" t="s">
        <v>35</v>
      </c>
      <c r="J593" s="147" t="s">
        <v>23</v>
      </c>
      <c r="K593" s="171" t="s">
        <v>32</v>
      </c>
      <c r="L593" s="101" t="s">
        <v>40</v>
      </c>
      <c r="M593" s="24" t="s">
        <v>34</v>
      </c>
      <c r="N593" s="37">
        <v>59</v>
      </c>
      <c r="O593" s="37">
        <v>15.12</v>
      </c>
      <c r="P593" s="28">
        <f t="shared" si="100"/>
        <v>43.88</v>
      </c>
      <c r="Q593" s="29">
        <v>315</v>
      </c>
      <c r="R593" s="30">
        <f t="shared" si="101"/>
        <v>13822.2</v>
      </c>
      <c r="S593" s="29"/>
      <c r="T593" s="31"/>
      <c r="V593" s="31" t="s">
        <v>24</v>
      </c>
      <c r="W593" s="29">
        <v>145</v>
      </c>
      <c r="X593" s="32">
        <f t="shared" si="102"/>
        <v>6362.6</v>
      </c>
      <c r="Y593" s="33">
        <v>260</v>
      </c>
      <c r="Z593" s="31">
        <f t="shared" si="103"/>
        <v>11408.800000000001</v>
      </c>
      <c r="AA593" s="31">
        <f t="shared" si="104"/>
        <v>31593.600000000006</v>
      </c>
    </row>
    <row r="594" spans="1:27" s="34" customFormat="1" ht="15.75" x14ac:dyDescent="0.25">
      <c r="A594" s="51">
        <v>591</v>
      </c>
      <c r="B594" s="22">
        <v>46019</v>
      </c>
      <c r="C594" s="22">
        <v>46019</v>
      </c>
      <c r="D594" s="148">
        <v>251228033</v>
      </c>
      <c r="E594" s="24" t="s">
        <v>1244</v>
      </c>
      <c r="F594" s="24"/>
      <c r="G594" s="24"/>
      <c r="H594" s="35">
        <v>115</v>
      </c>
      <c r="I594" s="43" t="s">
        <v>35</v>
      </c>
      <c r="J594" s="147" t="s">
        <v>23</v>
      </c>
      <c r="K594" s="171" t="s">
        <v>32</v>
      </c>
      <c r="L594" s="101" t="s">
        <v>444</v>
      </c>
      <c r="M594" s="24" t="s">
        <v>34</v>
      </c>
      <c r="N594" s="37">
        <v>62.72</v>
      </c>
      <c r="O594" s="37">
        <v>15.78</v>
      </c>
      <c r="P594" s="28">
        <f t="shared" si="100"/>
        <v>46.94</v>
      </c>
      <c r="Q594" s="29">
        <v>315</v>
      </c>
      <c r="R594" s="30">
        <f t="shared" si="101"/>
        <v>14786.099999999999</v>
      </c>
      <c r="S594" s="29"/>
      <c r="T594" s="31"/>
      <c r="V594" s="31" t="s">
        <v>24</v>
      </c>
      <c r="W594" s="29">
        <v>145</v>
      </c>
      <c r="X594" s="32">
        <f t="shared" si="102"/>
        <v>6806.2999999999993</v>
      </c>
      <c r="Y594" s="33">
        <v>260</v>
      </c>
      <c r="Z594" s="31">
        <f t="shared" si="103"/>
        <v>12204.4</v>
      </c>
      <c r="AA594" s="31">
        <f t="shared" si="104"/>
        <v>33796.799999999996</v>
      </c>
    </row>
    <row r="595" spans="1:27" s="34" customFormat="1" ht="15.75" x14ac:dyDescent="0.25">
      <c r="A595" s="51">
        <v>592</v>
      </c>
      <c r="B595" s="22">
        <v>46019</v>
      </c>
      <c r="C595" s="22">
        <v>46019</v>
      </c>
      <c r="D595" s="148" t="s">
        <v>1245</v>
      </c>
      <c r="E595" s="24"/>
      <c r="F595" s="24"/>
      <c r="G595" s="24"/>
      <c r="H595" s="45"/>
      <c r="I595" s="150" t="s">
        <v>1238</v>
      </c>
      <c r="J595" s="176" t="s">
        <v>23</v>
      </c>
      <c r="K595" s="168" t="s">
        <v>32</v>
      </c>
      <c r="L595" s="101" t="s">
        <v>1183</v>
      </c>
      <c r="M595" s="24" t="s">
        <v>36</v>
      </c>
      <c r="N595" s="37">
        <v>8.86</v>
      </c>
      <c r="O595" s="37">
        <v>3.62</v>
      </c>
      <c r="P595" s="28">
        <f t="shared" si="100"/>
        <v>5.2399999999999993</v>
      </c>
      <c r="Q595" s="29">
        <v>500</v>
      </c>
      <c r="R595" s="30">
        <f t="shared" si="101"/>
        <v>2619.9999999999995</v>
      </c>
      <c r="S595" s="29"/>
      <c r="T595" s="31"/>
      <c r="V595" s="31" t="s">
        <v>24</v>
      </c>
      <c r="W595" s="29"/>
      <c r="X595" s="32">
        <f t="shared" si="102"/>
        <v>0</v>
      </c>
      <c r="Y595" s="33"/>
      <c r="Z595" s="31">
        <f t="shared" si="103"/>
        <v>0</v>
      </c>
      <c r="AA595" s="31">
        <f t="shared" si="104"/>
        <v>2619.9999999999995</v>
      </c>
    </row>
    <row r="596" spans="1:27" s="34" customFormat="1" ht="15.75" x14ac:dyDescent="0.2">
      <c r="A596" s="51">
        <v>593</v>
      </c>
      <c r="B596" s="22">
        <v>46019</v>
      </c>
      <c r="C596" s="22">
        <v>46019</v>
      </c>
      <c r="D596" s="148" t="s">
        <v>1246</v>
      </c>
      <c r="E596" s="24"/>
      <c r="F596" s="24"/>
      <c r="G596" s="24"/>
      <c r="H596" s="177">
        <v>123</v>
      </c>
      <c r="I596" s="150" t="s">
        <v>1240</v>
      </c>
      <c r="J596" s="176" t="s">
        <v>23</v>
      </c>
      <c r="K596" s="168" t="s">
        <v>32</v>
      </c>
      <c r="L596" s="101" t="s">
        <v>528</v>
      </c>
      <c r="M596" s="24" t="s">
        <v>49</v>
      </c>
      <c r="N596" s="37">
        <v>53.76</v>
      </c>
      <c r="O596" s="37">
        <v>18.52</v>
      </c>
      <c r="P596" s="28">
        <f t="shared" si="100"/>
        <v>35.239999999999995</v>
      </c>
      <c r="Q596" s="29">
        <v>150</v>
      </c>
      <c r="R596" s="30">
        <f t="shared" si="101"/>
        <v>5285.9999999999991</v>
      </c>
      <c r="S596" s="29"/>
      <c r="T596" s="31"/>
      <c r="V596" s="31" t="s">
        <v>24</v>
      </c>
      <c r="W596" s="29"/>
      <c r="X596" s="32">
        <f t="shared" si="102"/>
        <v>0</v>
      </c>
      <c r="Y596" s="33"/>
      <c r="Z596" s="31">
        <f t="shared" si="103"/>
        <v>0</v>
      </c>
      <c r="AA596" s="31">
        <f t="shared" si="104"/>
        <v>5285.9999999999991</v>
      </c>
    </row>
    <row r="597" spans="1:27" s="34" customFormat="1" ht="15.75" x14ac:dyDescent="0.2">
      <c r="A597" s="51">
        <v>594</v>
      </c>
      <c r="B597" s="22">
        <v>46019</v>
      </c>
      <c r="C597" s="22">
        <v>46019</v>
      </c>
      <c r="D597" s="148" t="s">
        <v>1247</v>
      </c>
      <c r="E597" s="24"/>
      <c r="F597" s="24"/>
      <c r="G597" s="24"/>
      <c r="H597" s="177">
        <v>123</v>
      </c>
      <c r="I597" s="150" t="s">
        <v>1240</v>
      </c>
      <c r="J597" s="176" t="s">
        <v>23</v>
      </c>
      <c r="K597" s="168" t="s">
        <v>32</v>
      </c>
      <c r="L597" s="101" t="s">
        <v>575</v>
      </c>
      <c r="M597" s="24" t="s">
        <v>49</v>
      </c>
      <c r="N597" s="37">
        <v>50.36</v>
      </c>
      <c r="O597" s="37">
        <v>18.8</v>
      </c>
      <c r="P597" s="28">
        <f t="shared" si="100"/>
        <v>31.56</v>
      </c>
      <c r="Q597" s="29">
        <v>150</v>
      </c>
      <c r="R597" s="30">
        <f t="shared" si="101"/>
        <v>4734</v>
      </c>
      <c r="S597" s="29"/>
      <c r="T597" s="31"/>
      <c r="V597" s="31" t="s">
        <v>24</v>
      </c>
      <c r="W597" s="29"/>
      <c r="X597" s="32">
        <f t="shared" si="102"/>
        <v>0</v>
      </c>
      <c r="Y597" s="33"/>
      <c r="Z597" s="31">
        <f t="shared" si="103"/>
        <v>0</v>
      </c>
      <c r="AA597" s="31">
        <f t="shared" si="104"/>
        <v>4734</v>
      </c>
    </row>
    <row r="598" spans="1:27" s="38" customFormat="1" ht="15.75" x14ac:dyDescent="0.25">
      <c r="A598" s="51">
        <v>595</v>
      </c>
      <c r="B598" s="22">
        <v>46019</v>
      </c>
      <c r="C598" s="22">
        <v>46019</v>
      </c>
      <c r="D598" s="148">
        <v>251228034</v>
      </c>
      <c r="E598" s="24" t="s">
        <v>1248</v>
      </c>
      <c r="F598" s="24"/>
      <c r="G598" s="24"/>
      <c r="H598" s="35">
        <v>115</v>
      </c>
      <c r="I598" s="43" t="s">
        <v>35</v>
      </c>
      <c r="J598" s="147" t="s">
        <v>23</v>
      </c>
      <c r="K598" s="171" t="s">
        <v>32</v>
      </c>
      <c r="L598" s="101" t="s">
        <v>39</v>
      </c>
      <c r="M598" s="24" t="s">
        <v>34</v>
      </c>
      <c r="N598" s="37">
        <v>57.96</v>
      </c>
      <c r="O598" s="37">
        <v>15.68</v>
      </c>
      <c r="P598" s="28">
        <f t="shared" si="100"/>
        <v>42.28</v>
      </c>
      <c r="Q598" s="29">
        <v>315</v>
      </c>
      <c r="R598" s="30">
        <f t="shared" si="101"/>
        <v>13318.2</v>
      </c>
      <c r="S598" s="29"/>
      <c r="T598" s="31"/>
      <c r="V598" s="31" t="s">
        <v>24</v>
      </c>
      <c r="W598" s="29">
        <v>145</v>
      </c>
      <c r="X598" s="32">
        <f t="shared" si="102"/>
        <v>6130.6</v>
      </c>
      <c r="Y598" s="33">
        <v>260</v>
      </c>
      <c r="Z598" s="31">
        <f t="shared" si="103"/>
        <v>10992.800000000001</v>
      </c>
      <c r="AA598" s="31">
        <f t="shared" si="104"/>
        <v>30441.600000000006</v>
      </c>
    </row>
    <row r="599" spans="1:27" s="34" customFormat="1" ht="15.75" x14ac:dyDescent="0.25">
      <c r="A599" s="51">
        <v>596</v>
      </c>
      <c r="B599" s="22">
        <v>46019</v>
      </c>
      <c r="C599" s="22">
        <v>46019</v>
      </c>
      <c r="D599" s="148" t="s">
        <v>1249</v>
      </c>
      <c r="E599" s="24"/>
      <c r="F599" s="24"/>
      <c r="G599" s="24"/>
      <c r="H599" s="45"/>
      <c r="I599" s="150" t="s">
        <v>1238</v>
      </c>
      <c r="J599" s="176" t="s">
        <v>23</v>
      </c>
      <c r="K599" s="168" t="s">
        <v>32</v>
      </c>
      <c r="L599" s="101" t="s">
        <v>1183</v>
      </c>
      <c r="M599" s="24" t="s">
        <v>36</v>
      </c>
      <c r="N599" s="37">
        <v>8.64</v>
      </c>
      <c r="O599" s="37">
        <v>3.46</v>
      </c>
      <c r="P599" s="28">
        <f t="shared" si="100"/>
        <v>5.1800000000000006</v>
      </c>
      <c r="Q599" s="29">
        <v>500</v>
      </c>
      <c r="R599" s="30">
        <f t="shared" si="101"/>
        <v>2590.0000000000005</v>
      </c>
      <c r="S599" s="29"/>
      <c r="T599" s="31"/>
      <c r="V599" s="31" t="s">
        <v>24</v>
      </c>
      <c r="W599" s="29"/>
      <c r="X599" s="32">
        <f t="shared" si="102"/>
        <v>0</v>
      </c>
      <c r="Y599" s="33"/>
      <c r="Z599" s="31">
        <f t="shared" si="103"/>
        <v>0</v>
      </c>
      <c r="AA599" s="31">
        <f t="shared" si="104"/>
        <v>2590.0000000000005</v>
      </c>
    </row>
    <row r="600" spans="1:27" s="34" customFormat="1" ht="15.75" x14ac:dyDescent="0.25">
      <c r="A600" s="51">
        <v>597</v>
      </c>
      <c r="B600" s="22">
        <v>46019</v>
      </c>
      <c r="C600" s="22">
        <v>46019</v>
      </c>
      <c r="D600" s="148">
        <v>251228035</v>
      </c>
      <c r="E600" s="24" t="s">
        <v>1250</v>
      </c>
      <c r="F600" s="24"/>
      <c r="G600" s="24"/>
      <c r="H600" s="35">
        <v>115</v>
      </c>
      <c r="I600" s="43" t="s">
        <v>35</v>
      </c>
      <c r="J600" s="147" t="s">
        <v>23</v>
      </c>
      <c r="K600" s="171" t="s">
        <v>32</v>
      </c>
      <c r="L600" s="101" t="s">
        <v>1144</v>
      </c>
      <c r="M600" s="24" t="s">
        <v>34</v>
      </c>
      <c r="N600" s="37">
        <v>51.26</v>
      </c>
      <c r="O600" s="37">
        <v>13.24</v>
      </c>
      <c r="P600" s="28">
        <f t="shared" si="100"/>
        <v>38.019999999999996</v>
      </c>
      <c r="Q600" s="29">
        <v>315</v>
      </c>
      <c r="R600" s="30">
        <f t="shared" si="101"/>
        <v>11976.3</v>
      </c>
      <c r="S600" s="29"/>
      <c r="T600" s="31"/>
      <c r="V600" s="31" t="s">
        <v>24</v>
      </c>
      <c r="W600" s="29">
        <v>145</v>
      </c>
      <c r="X600" s="32">
        <f t="shared" si="102"/>
        <v>5512.9</v>
      </c>
      <c r="Y600" s="33">
        <v>260</v>
      </c>
      <c r="Z600" s="31">
        <f t="shared" si="103"/>
        <v>9885.1999999999989</v>
      </c>
      <c r="AA600" s="31">
        <f t="shared" si="104"/>
        <v>27374.399999999994</v>
      </c>
    </row>
    <row r="601" spans="1:27" s="38" customFormat="1" ht="15.75" x14ac:dyDescent="0.25">
      <c r="A601" s="51">
        <v>598</v>
      </c>
      <c r="B601" s="22">
        <v>46019</v>
      </c>
      <c r="C601" s="22">
        <v>46019</v>
      </c>
      <c r="D601" s="148" t="s">
        <v>1251</v>
      </c>
      <c r="E601" s="24"/>
      <c r="F601" s="24"/>
      <c r="G601" s="24"/>
      <c r="H601" s="45"/>
      <c r="I601" s="165" t="s">
        <v>48</v>
      </c>
      <c r="J601" s="147" t="s">
        <v>23</v>
      </c>
      <c r="K601" s="43" t="s">
        <v>32</v>
      </c>
      <c r="L601" s="101" t="s">
        <v>93</v>
      </c>
      <c r="M601" s="24" t="s">
        <v>49</v>
      </c>
      <c r="N601" s="37">
        <v>29.5</v>
      </c>
      <c r="O601" s="37">
        <v>14.86</v>
      </c>
      <c r="P601" s="28">
        <f t="shared" si="100"/>
        <v>14.64</v>
      </c>
      <c r="Q601" s="29">
        <v>0</v>
      </c>
      <c r="R601" s="30">
        <f t="shared" si="101"/>
        <v>0</v>
      </c>
      <c r="S601" s="24"/>
      <c r="T601" s="31"/>
      <c r="V601" s="31" t="s">
        <v>24</v>
      </c>
      <c r="W601" s="29"/>
      <c r="X601" s="32">
        <f t="shared" si="102"/>
        <v>0</v>
      </c>
      <c r="Y601" s="33"/>
      <c r="Z601" s="31">
        <f t="shared" si="103"/>
        <v>0</v>
      </c>
      <c r="AA601" s="31">
        <f t="shared" si="104"/>
        <v>0</v>
      </c>
    </row>
    <row r="602" spans="1:27" s="38" customFormat="1" ht="15.75" x14ac:dyDescent="0.25">
      <c r="A602" s="51">
        <v>599</v>
      </c>
      <c r="B602" s="22">
        <v>46019</v>
      </c>
      <c r="C602" s="22">
        <v>46019</v>
      </c>
      <c r="D602" s="148" t="s">
        <v>1252</v>
      </c>
      <c r="E602" s="24"/>
      <c r="F602" s="24"/>
      <c r="G602" s="24"/>
      <c r="H602" s="45"/>
      <c r="I602" s="150" t="s">
        <v>1238</v>
      </c>
      <c r="J602" s="176" t="s">
        <v>23</v>
      </c>
      <c r="K602" s="168" t="s">
        <v>32</v>
      </c>
      <c r="L602" s="101" t="s">
        <v>1183</v>
      </c>
      <c r="M602" s="24" t="s">
        <v>36</v>
      </c>
      <c r="N602" s="37">
        <v>8.86</v>
      </c>
      <c r="O602" s="37">
        <v>3.48</v>
      </c>
      <c r="P602" s="28">
        <f t="shared" si="100"/>
        <v>5.379999999999999</v>
      </c>
      <c r="Q602" s="24">
        <v>500</v>
      </c>
      <c r="R602" s="30">
        <f t="shared" si="101"/>
        <v>2689.9999999999995</v>
      </c>
      <c r="S602" s="24"/>
      <c r="T602" s="31"/>
      <c r="V602" s="31" t="s">
        <v>24</v>
      </c>
      <c r="W602" s="29"/>
      <c r="X602" s="32">
        <f t="shared" si="102"/>
        <v>0</v>
      </c>
      <c r="Y602" s="33"/>
      <c r="Z602" s="31">
        <f t="shared" si="103"/>
        <v>0</v>
      </c>
      <c r="AA602" s="31">
        <f t="shared" si="104"/>
        <v>2689.9999999999995</v>
      </c>
    </row>
    <row r="603" spans="1:27" s="38" customFormat="1" ht="15.75" x14ac:dyDescent="0.25">
      <c r="A603" s="51">
        <v>600</v>
      </c>
      <c r="B603" s="22">
        <v>46019</v>
      </c>
      <c r="C603" s="22">
        <v>46019</v>
      </c>
      <c r="D603" s="148" t="s">
        <v>1253</v>
      </c>
      <c r="E603" s="24"/>
      <c r="F603" s="24"/>
      <c r="G603" s="24"/>
      <c r="H603" s="45"/>
      <c r="I603" s="165" t="s">
        <v>48</v>
      </c>
      <c r="J603" s="147" t="s">
        <v>23</v>
      </c>
      <c r="K603" s="43" t="s">
        <v>32</v>
      </c>
      <c r="L603" s="101" t="s">
        <v>1096</v>
      </c>
      <c r="M603" s="24" t="s">
        <v>49</v>
      </c>
      <c r="N603" s="37">
        <v>26.46</v>
      </c>
      <c r="O603" s="37">
        <v>14.1</v>
      </c>
      <c r="P603" s="28">
        <f t="shared" si="100"/>
        <v>12.360000000000001</v>
      </c>
      <c r="Q603" s="24">
        <v>0</v>
      </c>
      <c r="R603" s="30">
        <f t="shared" si="101"/>
        <v>0</v>
      </c>
      <c r="S603" s="24"/>
      <c r="T603" s="31"/>
      <c r="V603" s="31" t="s">
        <v>24</v>
      </c>
      <c r="W603" s="29"/>
      <c r="X603" s="32">
        <f t="shared" si="102"/>
        <v>0</v>
      </c>
      <c r="Y603" s="33"/>
      <c r="Z603" s="31">
        <f t="shared" si="103"/>
        <v>0</v>
      </c>
      <c r="AA603" s="31">
        <f t="shared" si="104"/>
        <v>0</v>
      </c>
    </row>
    <row r="604" spans="1:27" s="38" customFormat="1" ht="15.75" x14ac:dyDescent="0.25">
      <c r="A604" s="51">
        <v>601</v>
      </c>
      <c r="B604" s="22">
        <v>46019</v>
      </c>
      <c r="C604" s="22">
        <v>46019</v>
      </c>
      <c r="D604" s="178">
        <v>251228036</v>
      </c>
      <c r="E604" s="24" t="s">
        <v>1254</v>
      </c>
      <c r="F604" s="24"/>
      <c r="G604" s="24"/>
      <c r="H604" s="35">
        <v>115</v>
      </c>
      <c r="I604" s="43" t="s">
        <v>35</v>
      </c>
      <c r="J604" s="147" t="s">
        <v>23</v>
      </c>
      <c r="K604" s="171" t="s">
        <v>32</v>
      </c>
      <c r="L604" s="108" t="s">
        <v>46</v>
      </c>
      <c r="M604" s="24" t="s">
        <v>34</v>
      </c>
      <c r="N604" s="37">
        <v>78.28</v>
      </c>
      <c r="O604" s="37">
        <v>17.3</v>
      </c>
      <c r="P604" s="28">
        <f t="shared" si="100"/>
        <v>60.980000000000004</v>
      </c>
      <c r="Q604" s="24">
        <v>315</v>
      </c>
      <c r="R604" s="30">
        <f t="shared" si="101"/>
        <v>19208.7</v>
      </c>
      <c r="S604" s="24"/>
      <c r="T604" s="31"/>
      <c r="V604" s="31" t="s">
        <v>24</v>
      </c>
      <c r="W604" s="29">
        <v>145</v>
      </c>
      <c r="X604" s="32">
        <f t="shared" si="102"/>
        <v>8842.1</v>
      </c>
      <c r="Y604" s="33">
        <v>260</v>
      </c>
      <c r="Z604" s="31">
        <f t="shared" si="103"/>
        <v>15854.800000000001</v>
      </c>
      <c r="AA604" s="31">
        <f t="shared" si="104"/>
        <v>43905.600000000006</v>
      </c>
    </row>
    <row r="605" spans="1:27" s="38" customFormat="1" ht="15.75" x14ac:dyDescent="0.25">
      <c r="A605" s="51">
        <v>602</v>
      </c>
      <c r="B605" s="22">
        <v>46019</v>
      </c>
      <c r="C605" s="22">
        <v>46019</v>
      </c>
      <c r="D605" s="101">
        <v>251228037</v>
      </c>
      <c r="E605" s="24" t="s">
        <v>1255</v>
      </c>
      <c r="F605" s="24"/>
      <c r="G605" s="24"/>
      <c r="H605" s="64">
        <v>125</v>
      </c>
      <c r="I605" s="43" t="s">
        <v>584</v>
      </c>
      <c r="J605" s="147" t="s">
        <v>23</v>
      </c>
      <c r="K605" s="43" t="s">
        <v>32</v>
      </c>
      <c r="L605" s="101" t="s">
        <v>1221</v>
      </c>
      <c r="M605" s="24" t="s">
        <v>515</v>
      </c>
      <c r="N605" s="37">
        <v>57.14</v>
      </c>
      <c r="O605" s="24">
        <v>15.64</v>
      </c>
      <c r="P605" s="28">
        <f t="shared" si="100"/>
        <v>41.5</v>
      </c>
      <c r="Q605" s="24">
        <v>475</v>
      </c>
      <c r="R605" s="30">
        <f t="shared" si="101"/>
        <v>19712.5</v>
      </c>
      <c r="S605" s="24"/>
      <c r="T605" s="31"/>
      <c r="V605" s="31" t="s">
        <v>24</v>
      </c>
      <c r="W605" s="29">
        <v>145</v>
      </c>
      <c r="X605" s="32">
        <f t="shared" si="102"/>
        <v>6017.5</v>
      </c>
      <c r="Y605" s="33">
        <v>150</v>
      </c>
      <c r="Z605" s="31">
        <f t="shared" si="103"/>
        <v>6225</v>
      </c>
      <c r="AA605" s="31">
        <f t="shared" si="104"/>
        <v>31955</v>
      </c>
    </row>
    <row r="606" spans="1:27" s="38" customFormat="1" ht="15.75" x14ac:dyDescent="0.25">
      <c r="A606" s="51">
        <v>603</v>
      </c>
      <c r="B606" s="22">
        <v>46019</v>
      </c>
      <c r="C606" s="22">
        <v>46019</v>
      </c>
      <c r="D606" s="101">
        <v>251228038</v>
      </c>
      <c r="E606" s="24" t="s">
        <v>1256</v>
      </c>
      <c r="F606" s="24"/>
      <c r="G606" s="24"/>
      <c r="H606" s="64">
        <v>125</v>
      </c>
      <c r="I606" s="43" t="s">
        <v>584</v>
      </c>
      <c r="J606" s="147" t="s">
        <v>23</v>
      </c>
      <c r="K606" s="43" t="s">
        <v>32</v>
      </c>
      <c r="L606" s="101" t="s">
        <v>41</v>
      </c>
      <c r="M606" s="24" t="s">
        <v>36</v>
      </c>
      <c r="N606" s="37">
        <v>45.98</v>
      </c>
      <c r="O606" s="37">
        <v>11.82</v>
      </c>
      <c r="P606" s="28">
        <f t="shared" si="100"/>
        <v>34.159999999999997</v>
      </c>
      <c r="Q606" s="24">
        <v>575</v>
      </c>
      <c r="R606" s="30">
        <f t="shared" si="101"/>
        <v>19641.999999999996</v>
      </c>
      <c r="S606" s="24"/>
      <c r="T606" s="31"/>
      <c r="V606" s="31" t="s">
        <v>24</v>
      </c>
      <c r="W606" s="29">
        <v>145</v>
      </c>
      <c r="X606" s="32">
        <f t="shared" si="102"/>
        <v>4953.2</v>
      </c>
      <c r="Y606" s="33">
        <v>150</v>
      </c>
      <c r="Z606" s="31">
        <f t="shared" si="103"/>
        <v>5123.9999999999991</v>
      </c>
      <c r="AA606" s="31">
        <f t="shared" si="104"/>
        <v>29719.199999999997</v>
      </c>
    </row>
    <row r="607" spans="1:27" s="34" customFormat="1" ht="15.75" x14ac:dyDescent="0.25">
      <c r="A607" s="51">
        <v>604</v>
      </c>
      <c r="B607" s="22">
        <v>46019</v>
      </c>
      <c r="C607" s="22">
        <v>46019</v>
      </c>
      <c r="D607" s="101">
        <v>251228039</v>
      </c>
      <c r="E607" s="24" t="s">
        <v>1257</v>
      </c>
      <c r="F607" s="24"/>
      <c r="G607" s="24"/>
      <c r="H607" s="64">
        <v>125</v>
      </c>
      <c r="I607" s="43" t="s">
        <v>584</v>
      </c>
      <c r="J607" s="147" t="s">
        <v>23</v>
      </c>
      <c r="K607" s="43" t="s">
        <v>32</v>
      </c>
      <c r="L607" s="24" t="s">
        <v>286</v>
      </c>
      <c r="M607" s="24" t="s">
        <v>36</v>
      </c>
      <c r="N607" s="37">
        <v>46</v>
      </c>
      <c r="O607" s="37">
        <v>11.46</v>
      </c>
      <c r="P607" s="28">
        <f t="shared" si="100"/>
        <v>34.54</v>
      </c>
      <c r="Q607" s="29">
        <v>575</v>
      </c>
      <c r="R607" s="30">
        <f t="shared" si="101"/>
        <v>19860.5</v>
      </c>
      <c r="S607" s="29"/>
      <c r="T607" s="31"/>
      <c r="V607" s="31" t="s">
        <v>24</v>
      </c>
      <c r="W607" s="29">
        <v>145</v>
      </c>
      <c r="X607" s="32">
        <f t="shared" si="102"/>
        <v>5008.3</v>
      </c>
      <c r="Y607" s="33">
        <v>150</v>
      </c>
      <c r="Z607" s="31">
        <f t="shared" si="103"/>
        <v>5181</v>
      </c>
      <c r="AA607" s="31">
        <f t="shared" si="104"/>
        <v>30049.8</v>
      </c>
    </row>
    <row r="608" spans="1:27" s="34" customFormat="1" ht="15.75" x14ac:dyDescent="0.25">
      <c r="A608" s="51">
        <v>605</v>
      </c>
      <c r="B608" s="22">
        <v>46019</v>
      </c>
      <c r="C608" s="22">
        <v>46019</v>
      </c>
      <c r="D608" s="101">
        <v>251228040</v>
      </c>
      <c r="E608" s="24" t="s">
        <v>1258</v>
      </c>
      <c r="F608" s="24"/>
      <c r="G608" s="24"/>
      <c r="H608" s="64">
        <v>125</v>
      </c>
      <c r="I608" s="43" t="s">
        <v>584</v>
      </c>
      <c r="J608" s="147" t="s">
        <v>23</v>
      </c>
      <c r="K608" s="43" t="s">
        <v>32</v>
      </c>
      <c r="L608" s="101" t="s">
        <v>418</v>
      </c>
      <c r="M608" s="24" t="s">
        <v>515</v>
      </c>
      <c r="N608" s="37">
        <v>66.239999999999995</v>
      </c>
      <c r="O608" s="37">
        <v>18.16</v>
      </c>
      <c r="P608" s="28">
        <f t="shared" si="100"/>
        <v>48.08</v>
      </c>
      <c r="Q608" s="29">
        <v>475</v>
      </c>
      <c r="R608" s="30">
        <f t="shared" si="101"/>
        <v>22838</v>
      </c>
      <c r="S608" s="29"/>
      <c r="T608" s="31"/>
      <c r="V608" s="31" t="s">
        <v>24</v>
      </c>
      <c r="W608" s="29">
        <v>145</v>
      </c>
      <c r="X608" s="32">
        <f t="shared" si="102"/>
        <v>6971.5999999999995</v>
      </c>
      <c r="Y608" s="33">
        <v>150</v>
      </c>
      <c r="Z608" s="31">
        <f t="shared" si="103"/>
        <v>7212</v>
      </c>
      <c r="AA608" s="31">
        <f t="shared" si="104"/>
        <v>37021.599999999999</v>
      </c>
    </row>
    <row r="609" spans="1:27" s="38" customFormat="1" ht="15.75" x14ac:dyDescent="0.25">
      <c r="A609" s="51">
        <v>606</v>
      </c>
      <c r="B609" s="22">
        <v>46019</v>
      </c>
      <c r="C609" s="22">
        <v>46019</v>
      </c>
      <c r="D609" s="101">
        <v>251228041</v>
      </c>
      <c r="E609" s="24" t="s">
        <v>1259</v>
      </c>
      <c r="F609" s="24"/>
      <c r="G609" s="24"/>
      <c r="H609" s="64">
        <v>125</v>
      </c>
      <c r="I609" s="43" t="s">
        <v>584</v>
      </c>
      <c r="J609" s="147" t="s">
        <v>23</v>
      </c>
      <c r="K609" s="43" t="s">
        <v>32</v>
      </c>
      <c r="L609" s="101" t="s">
        <v>43</v>
      </c>
      <c r="M609" s="24" t="s">
        <v>515</v>
      </c>
      <c r="N609" s="37">
        <v>59.34</v>
      </c>
      <c r="O609" s="37">
        <v>15.84</v>
      </c>
      <c r="P609" s="28">
        <f t="shared" si="100"/>
        <v>43.5</v>
      </c>
      <c r="Q609" s="29">
        <v>475</v>
      </c>
      <c r="R609" s="30">
        <f t="shared" si="101"/>
        <v>20662.5</v>
      </c>
      <c r="S609" s="29"/>
      <c r="T609" s="31"/>
      <c r="V609" s="31" t="s">
        <v>24</v>
      </c>
      <c r="W609" s="29">
        <v>145</v>
      </c>
      <c r="X609" s="32">
        <f t="shared" si="102"/>
        <v>6307.5</v>
      </c>
      <c r="Y609" s="33">
        <v>150</v>
      </c>
      <c r="Z609" s="33">
        <f t="shared" si="103"/>
        <v>6525</v>
      </c>
      <c r="AA609" s="31">
        <f t="shared" si="104"/>
        <v>33495</v>
      </c>
    </row>
    <row r="610" spans="1:27" s="34" customFormat="1" ht="15.75" x14ac:dyDescent="0.25">
      <c r="A610" s="51">
        <v>607</v>
      </c>
      <c r="B610" s="22">
        <v>46019</v>
      </c>
      <c r="C610" s="22">
        <v>46019</v>
      </c>
      <c r="D610" s="148" t="s">
        <v>1260</v>
      </c>
      <c r="E610" s="24"/>
      <c r="F610" s="24"/>
      <c r="G610" s="24"/>
      <c r="H610" s="45"/>
      <c r="I610" s="165" t="s">
        <v>48</v>
      </c>
      <c r="J610" s="147" t="s">
        <v>23</v>
      </c>
      <c r="K610" s="43" t="s">
        <v>32</v>
      </c>
      <c r="L610" s="101" t="s">
        <v>134</v>
      </c>
      <c r="M610" s="24" t="s">
        <v>49</v>
      </c>
      <c r="N610" s="37">
        <v>26.02</v>
      </c>
      <c r="O610" s="37">
        <v>14.04</v>
      </c>
      <c r="P610" s="28">
        <f t="shared" si="100"/>
        <v>11.98</v>
      </c>
      <c r="Q610" s="29">
        <v>0</v>
      </c>
      <c r="R610" s="30">
        <f t="shared" si="101"/>
        <v>0</v>
      </c>
      <c r="S610" s="29"/>
      <c r="T610" s="31"/>
      <c r="V610" s="31" t="s">
        <v>24</v>
      </c>
      <c r="W610" s="29"/>
      <c r="X610" s="32">
        <f t="shared" si="102"/>
        <v>0</v>
      </c>
      <c r="Y610" s="33"/>
      <c r="Z610" s="33">
        <f t="shared" si="103"/>
        <v>0</v>
      </c>
      <c r="AA610" s="31">
        <f t="shared" si="104"/>
        <v>0</v>
      </c>
    </row>
    <row r="611" spans="1:27" s="38" customFormat="1" ht="15.75" x14ac:dyDescent="0.25">
      <c r="A611" s="51">
        <v>608</v>
      </c>
      <c r="B611" s="22">
        <v>46019</v>
      </c>
      <c r="C611" s="22">
        <v>46019</v>
      </c>
      <c r="D611" s="101">
        <v>251228042</v>
      </c>
      <c r="E611" s="24" t="s">
        <v>1261</v>
      </c>
      <c r="F611" s="24"/>
      <c r="G611" s="24"/>
      <c r="H611" s="64">
        <v>125</v>
      </c>
      <c r="I611" s="43" t="s">
        <v>584</v>
      </c>
      <c r="J611" s="147" t="s">
        <v>23</v>
      </c>
      <c r="K611" s="43" t="s">
        <v>32</v>
      </c>
      <c r="L611" s="101" t="s">
        <v>40</v>
      </c>
      <c r="M611" s="24" t="s">
        <v>515</v>
      </c>
      <c r="N611" s="24">
        <v>60.18</v>
      </c>
      <c r="O611" s="37">
        <v>15.06</v>
      </c>
      <c r="P611" s="28">
        <f t="shared" si="100"/>
        <v>45.12</v>
      </c>
      <c r="Q611" s="29">
        <v>475</v>
      </c>
      <c r="R611" s="30">
        <f t="shared" si="101"/>
        <v>21432</v>
      </c>
      <c r="S611" s="24"/>
      <c r="T611" s="31"/>
      <c r="V611" s="31" t="s">
        <v>24</v>
      </c>
      <c r="W611" s="29">
        <v>145</v>
      </c>
      <c r="X611" s="32">
        <f t="shared" si="102"/>
        <v>6542.4</v>
      </c>
      <c r="Y611" s="33">
        <v>150</v>
      </c>
      <c r="Z611" s="31">
        <f t="shared" si="103"/>
        <v>6768</v>
      </c>
      <c r="AA611" s="31">
        <f t="shared" si="104"/>
        <v>34742.400000000001</v>
      </c>
    </row>
    <row r="612" spans="1:27" s="34" customFormat="1" ht="15.75" x14ac:dyDescent="0.25">
      <c r="A612" s="51">
        <v>609</v>
      </c>
      <c r="B612" s="22">
        <v>46019</v>
      </c>
      <c r="C612" s="22">
        <v>46020</v>
      </c>
      <c r="D612" s="101">
        <v>251228043</v>
      </c>
      <c r="E612" s="24" t="s">
        <v>1262</v>
      </c>
      <c r="F612" s="24"/>
      <c r="G612" s="24"/>
      <c r="H612" s="64">
        <v>125</v>
      </c>
      <c r="I612" s="43" t="s">
        <v>584</v>
      </c>
      <c r="J612" s="147" t="s">
        <v>23</v>
      </c>
      <c r="K612" s="43" t="s">
        <v>32</v>
      </c>
      <c r="L612" s="101" t="s">
        <v>39</v>
      </c>
      <c r="M612" s="24" t="s">
        <v>515</v>
      </c>
      <c r="N612" s="24">
        <v>58.34</v>
      </c>
      <c r="O612" s="37">
        <v>15.9</v>
      </c>
      <c r="P612" s="28">
        <f t="shared" si="100"/>
        <v>42.440000000000005</v>
      </c>
      <c r="Q612" s="29">
        <v>475</v>
      </c>
      <c r="R612" s="30">
        <f t="shared" si="101"/>
        <v>20159.000000000004</v>
      </c>
      <c r="S612" s="29"/>
      <c r="T612" s="31"/>
      <c r="V612" s="31" t="s">
        <v>24</v>
      </c>
      <c r="W612" s="29">
        <v>145</v>
      </c>
      <c r="X612" s="32">
        <f t="shared" si="102"/>
        <v>6153.8000000000011</v>
      </c>
      <c r="Y612" s="33">
        <v>150</v>
      </c>
      <c r="Z612" s="31">
        <f t="shared" si="103"/>
        <v>6366.0000000000009</v>
      </c>
      <c r="AA612" s="31">
        <f t="shared" si="104"/>
        <v>32678.800000000003</v>
      </c>
    </row>
    <row r="613" spans="1:27" s="34" customFormat="1" ht="15.75" x14ac:dyDescent="0.25">
      <c r="A613" s="51">
        <v>610</v>
      </c>
      <c r="B613" s="22">
        <v>46019</v>
      </c>
      <c r="C613" s="22">
        <v>46020</v>
      </c>
      <c r="D613" s="101">
        <v>251229001</v>
      </c>
      <c r="E613" s="24" t="s">
        <v>1263</v>
      </c>
      <c r="F613" s="24"/>
      <c r="G613" s="24"/>
      <c r="H613" s="64">
        <v>125</v>
      </c>
      <c r="I613" s="43" t="s">
        <v>584</v>
      </c>
      <c r="J613" s="147" t="s">
        <v>23</v>
      </c>
      <c r="K613" s="43" t="s">
        <v>32</v>
      </c>
      <c r="L613" s="101" t="s">
        <v>41</v>
      </c>
      <c r="M613" s="24" t="s">
        <v>36</v>
      </c>
      <c r="N613" s="24">
        <v>46.28</v>
      </c>
      <c r="O613" s="37">
        <v>11.8</v>
      </c>
      <c r="P613" s="28">
        <f t="shared" si="100"/>
        <v>34.480000000000004</v>
      </c>
      <c r="Q613" s="29">
        <v>575</v>
      </c>
      <c r="R613" s="30">
        <f t="shared" si="101"/>
        <v>19826.000000000004</v>
      </c>
      <c r="S613" s="29"/>
      <c r="T613" s="31"/>
      <c r="V613" s="31" t="s">
        <v>24</v>
      </c>
      <c r="W613" s="29">
        <v>145</v>
      </c>
      <c r="X613" s="32">
        <f t="shared" si="102"/>
        <v>4999.6000000000004</v>
      </c>
      <c r="Y613" s="33">
        <v>150</v>
      </c>
      <c r="Z613" s="31">
        <f t="shared" si="103"/>
        <v>5172.0000000000009</v>
      </c>
      <c r="AA613" s="31">
        <f t="shared" si="104"/>
        <v>29997.600000000006</v>
      </c>
    </row>
    <row r="614" spans="1:27" s="34" customFormat="1" ht="15.75" x14ac:dyDescent="0.25">
      <c r="A614" s="51">
        <v>611</v>
      </c>
      <c r="B614" s="22">
        <v>46019</v>
      </c>
      <c r="C614" s="22">
        <v>46020</v>
      </c>
      <c r="D614" s="101">
        <v>251229002</v>
      </c>
      <c r="E614" s="24" t="s">
        <v>1264</v>
      </c>
      <c r="F614" s="24"/>
      <c r="G614" s="24"/>
      <c r="H614" s="64">
        <v>125</v>
      </c>
      <c r="I614" s="43" t="s">
        <v>584</v>
      </c>
      <c r="J614" s="147" t="s">
        <v>23</v>
      </c>
      <c r="K614" s="43" t="s">
        <v>32</v>
      </c>
      <c r="L614" s="101" t="s">
        <v>418</v>
      </c>
      <c r="M614" s="24" t="s">
        <v>515</v>
      </c>
      <c r="N614" s="24">
        <v>64.5</v>
      </c>
      <c r="O614" s="37">
        <v>18.12</v>
      </c>
      <c r="P614" s="28">
        <f t="shared" si="100"/>
        <v>46.379999999999995</v>
      </c>
      <c r="Q614" s="29">
        <v>475</v>
      </c>
      <c r="R614" s="30">
        <f t="shared" si="101"/>
        <v>22030.499999999996</v>
      </c>
      <c r="S614" s="29"/>
      <c r="T614" s="31"/>
      <c r="V614" s="31" t="s">
        <v>24</v>
      </c>
      <c r="W614" s="29">
        <v>145</v>
      </c>
      <c r="X614" s="32">
        <f t="shared" si="102"/>
        <v>6725.0999999999995</v>
      </c>
      <c r="Y614" s="33">
        <v>150</v>
      </c>
      <c r="Z614" s="33">
        <f t="shared" si="103"/>
        <v>6956.9999999999991</v>
      </c>
      <c r="AA614" s="31">
        <f t="shared" si="104"/>
        <v>35712.599999999991</v>
      </c>
    </row>
    <row r="615" spans="1:27" s="34" customFormat="1" ht="15.75" x14ac:dyDescent="0.25">
      <c r="A615" s="51">
        <v>612</v>
      </c>
      <c r="B615" s="22">
        <v>46019</v>
      </c>
      <c r="C615" s="22">
        <v>46020</v>
      </c>
      <c r="D615" s="101">
        <v>251229003</v>
      </c>
      <c r="E615" s="24" t="s">
        <v>1265</v>
      </c>
      <c r="F615" s="24"/>
      <c r="G615" s="24"/>
      <c r="H615" s="64">
        <v>125</v>
      </c>
      <c r="I615" s="43" t="s">
        <v>584</v>
      </c>
      <c r="J615" s="147" t="s">
        <v>23</v>
      </c>
      <c r="K615" s="43" t="s">
        <v>32</v>
      </c>
      <c r="L615" s="101" t="s">
        <v>286</v>
      </c>
      <c r="M615" s="24" t="s">
        <v>36</v>
      </c>
      <c r="N615" s="37">
        <v>45.96</v>
      </c>
      <c r="O615" s="24">
        <v>11.44</v>
      </c>
      <c r="P615" s="28">
        <f t="shared" si="100"/>
        <v>34.520000000000003</v>
      </c>
      <c r="Q615" s="29">
        <v>575</v>
      </c>
      <c r="R615" s="30">
        <f t="shared" si="101"/>
        <v>19849</v>
      </c>
      <c r="S615" s="29"/>
      <c r="T615" s="31"/>
      <c r="V615" s="31" t="s">
        <v>24</v>
      </c>
      <c r="W615" s="29">
        <v>145</v>
      </c>
      <c r="X615" s="32">
        <f t="shared" si="102"/>
        <v>5005.4000000000005</v>
      </c>
      <c r="Y615" s="33">
        <v>150</v>
      </c>
      <c r="Z615" s="33">
        <f t="shared" si="103"/>
        <v>5178.0000000000009</v>
      </c>
      <c r="AA615" s="31">
        <f t="shared" si="104"/>
        <v>30032.400000000001</v>
      </c>
    </row>
    <row r="616" spans="1:27" s="34" customFormat="1" ht="15.75" x14ac:dyDescent="0.25">
      <c r="A616" s="51">
        <v>613</v>
      </c>
      <c r="B616" s="22">
        <v>46019</v>
      </c>
      <c r="C616" s="22">
        <v>46020</v>
      </c>
      <c r="D616" s="101">
        <v>251229004</v>
      </c>
      <c r="E616" s="24" t="s">
        <v>1266</v>
      </c>
      <c r="F616" s="24"/>
      <c r="G616" s="24"/>
      <c r="H616" s="25">
        <v>84</v>
      </c>
      <c r="I616" s="26" t="s">
        <v>50</v>
      </c>
      <c r="J616" s="151" t="s">
        <v>23</v>
      </c>
      <c r="K616" s="43" t="s">
        <v>32</v>
      </c>
      <c r="L616" s="24" t="s">
        <v>423</v>
      </c>
      <c r="M616" s="24" t="s">
        <v>36</v>
      </c>
      <c r="N616" s="37">
        <v>51.3</v>
      </c>
      <c r="O616" s="37">
        <v>12.74</v>
      </c>
      <c r="P616" s="28">
        <f t="shared" si="100"/>
        <v>38.559999999999995</v>
      </c>
      <c r="Q616" s="29">
        <v>515</v>
      </c>
      <c r="R616" s="30">
        <f t="shared" si="101"/>
        <v>19858.399999999998</v>
      </c>
      <c r="S616" s="29"/>
      <c r="T616" s="31"/>
      <c r="V616" s="31" t="s">
        <v>24</v>
      </c>
      <c r="W616" s="29">
        <v>145</v>
      </c>
      <c r="X616" s="32">
        <f t="shared" si="102"/>
        <v>5591.1999999999989</v>
      </c>
      <c r="Y616" s="33">
        <v>200</v>
      </c>
      <c r="Z616" s="33">
        <f t="shared" si="103"/>
        <v>7711.9999999999991</v>
      </c>
      <c r="AA616" s="31">
        <f t="shared" si="104"/>
        <v>33161.599999999999</v>
      </c>
    </row>
    <row r="617" spans="1:27" s="38" customFormat="1" ht="15.75" x14ac:dyDescent="0.25">
      <c r="A617" s="51">
        <v>614</v>
      </c>
      <c r="B617" s="22">
        <v>46019</v>
      </c>
      <c r="C617" s="22">
        <v>46020</v>
      </c>
      <c r="D617" s="101">
        <v>251229005</v>
      </c>
      <c r="E617" s="24" t="s">
        <v>1267</v>
      </c>
      <c r="F617" s="24"/>
      <c r="G617" s="24"/>
      <c r="H617" s="25">
        <v>84</v>
      </c>
      <c r="I617" s="26" t="s">
        <v>50</v>
      </c>
      <c r="J617" s="151" t="s">
        <v>23</v>
      </c>
      <c r="K617" s="43" t="s">
        <v>32</v>
      </c>
      <c r="L617" s="24" t="s">
        <v>1221</v>
      </c>
      <c r="M617" s="24" t="s">
        <v>34</v>
      </c>
      <c r="N617" s="37">
        <v>56.46</v>
      </c>
      <c r="O617" s="37">
        <v>15.62</v>
      </c>
      <c r="P617" s="28">
        <f t="shared" si="100"/>
        <v>40.840000000000003</v>
      </c>
      <c r="Q617" s="29">
        <v>305</v>
      </c>
      <c r="R617" s="30">
        <f t="shared" si="101"/>
        <v>12456.2</v>
      </c>
      <c r="S617" s="29"/>
      <c r="T617" s="31"/>
      <c r="V617" s="31" t="s">
        <v>24</v>
      </c>
      <c r="W617" s="29">
        <v>145</v>
      </c>
      <c r="X617" s="32">
        <f t="shared" si="102"/>
        <v>5921.8</v>
      </c>
      <c r="Y617" s="33">
        <v>200</v>
      </c>
      <c r="Z617" s="33">
        <f t="shared" si="103"/>
        <v>8168.0000000000009</v>
      </c>
      <c r="AA617" s="31">
        <f t="shared" si="104"/>
        <v>26546</v>
      </c>
    </row>
    <row r="618" spans="1:27" s="34" customFormat="1" ht="15.75" x14ac:dyDescent="0.25">
      <c r="A618" s="51">
        <v>615</v>
      </c>
      <c r="B618" s="22">
        <v>46019</v>
      </c>
      <c r="C618" s="22">
        <v>46020</v>
      </c>
      <c r="D618" s="101">
        <v>251229006</v>
      </c>
      <c r="E618" s="24" t="s">
        <v>1268</v>
      </c>
      <c r="F618" s="24"/>
      <c r="G618" s="24"/>
      <c r="H618" s="25">
        <v>84</v>
      </c>
      <c r="I618" s="26" t="s">
        <v>50</v>
      </c>
      <c r="J618" s="151" t="s">
        <v>23</v>
      </c>
      <c r="K618" s="43" t="s">
        <v>32</v>
      </c>
      <c r="L618" s="24" t="s">
        <v>39</v>
      </c>
      <c r="M618" s="24" t="s">
        <v>34</v>
      </c>
      <c r="N618" s="37">
        <v>59.84</v>
      </c>
      <c r="O618" s="37">
        <v>15.86</v>
      </c>
      <c r="P618" s="28">
        <f t="shared" si="100"/>
        <v>43.980000000000004</v>
      </c>
      <c r="Q618" s="29">
        <v>305</v>
      </c>
      <c r="R618" s="30">
        <f t="shared" si="101"/>
        <v>13413.900000000001</v>
      </c>
      <c r="S618" s="29"/>
      <c r="T618" s="31"/>
      <c r="V618" s="31" t="s">
        <v>24</v>
      </c>
      <c r="W618" s="29">
        <v>145</v>
      </c>
      <c r="X618" s="32">
        <f t="shared" si="102"/>
        <v>6377.1</v>
      </c>
      <c r="Y618" s="33">
        <v>200</v>
      </c>
      <c r="Z618" s="33">
        <f t="shared" si="103"/>
        <v>8796</v>
      </c>
      <c r="AA618" s="31">
        <f t="shared" si="104"/>
        <v>28587</v>
      </c>
    </row>
    <row r="619" spans="1:27" s="34" customFormat="1" ht="15.75" x14ac:dyDescent="0.25">
      <c r="A619" s="51">
        <v>616</v>
      </c>
      <c r="B619" s="22">
        <v>46019</v>
      </c>
      <c r="C619" s="22">
        <v>46020</v>
      </c>
      <c r="D619" s="101">
        <v>251229007</v>
      </c>
      <c r="E619" s="24" t="s">
        <v>1269</v>
      </c>
      <c r="F619" s="24" t="s">
        <v>1270</v>
      </c>
      <c r="G619" s="24">
        <v>43</v>
      </c>
      <c r="H619" s="25">
        <v>84</v>
      </c>
      <c r="I619" s="26" t="s">
        <v>50</v>
      </c>
      <c r="J619" s="151" t="s">
        <v>23</v>
      </c>
      <c r="K619" s="43" t="s">
        <v>32</v>
      </c>
      <c r="L619" s="24" t="s">
        <v>418</v>
      </c>
      <c r="M619" s="24" t="s">
        <v>34</v>
      </c>
      <c r="N619" s="24">
        <v>65.08</v>
      </c>
      <c r="O619" s="37">
        <v>18.100000000000001</v>
      </c>
      <c r="P619" s="28">
        <f t="shared" si="100"/>
        <v>46.98</v>
      </c>
      <c r="Q619" s="29">
        <v>305</v>
      </c>
      <c r="R619" s="30">
        <f t="shared" si="101"/>
        <v>14328.9</v>
      </c>
      <c r="S619" s="29"/>
      <c r="T619" s="31"/>
      <c r="V619" s="31" t="s">
        <v>24</v>
      </c>
      <c r="W619" s="29">
        <v>145</v>
      </c>
      <c r="X619" s="32">
        <f t="shared" si="102"/>
        <v>6812.0999999999995</v>
      </c>
      <c r="Y619" s="33">
        <v>200</v>
      </c>
      <c r="Z619" s="33">
        <f t="shared" si="103"/>
        <v>9396</v>
      </c>
      <c r="AA619" s="31">
        <f t="shared" si="104"/>
        <v>30537</v>
      </c>
    </row>
    <row r="620" spans="1:27" s="34" customFormat="1" ht="15.75" x14ac:dyDescent="0.25">
      <c r="A620" s="51">
        <v>617</v>
      </c>
      <c r="B620" s="22">
        <v>46019</v>
      </c>
      <c r="C620" s="22">
        <v>46020</v>
      </c>
      <c r="D620" s="101">
        <v>251229008</v>
      </c>
      <c r="E620" s="24" t="s">
        <v>1271</v>
      </c>
      <c r="F620" s="24" t="s">
        <v>1272</v>
      </c>
      <c r="G620" s="24">
        <v>45</v>
      </c>
      <c r="H620" s="25">
        <v>84</v>
      </c>
      <c r="I620" s="26" t="s">
        <v>50</v>
      </c>
      <c r="J620" s="151" t="s">
        <v>23</v>
      </c>
      <c r="K620" s="43" t="s">
        <v>32</v>
      </c>
      <c r="L620" s="24" t="s">
        <v>40</v>
      </c>
      <c r="M620" s="24" t="s">
        <v>36</v>
      </c>
      <c r="N620" s="24">
        <v>60.84</v>
      </c>
      <c r="O620" s="24">
        <v>15.04</v>
      </c>
      <c r="P620" s="28">
        <f t="shared" si="100"/>
        <v>45.800000000000004</v>
      </c>
      <c r="Q620" s="29">
        <v>515</v>
      </c>
      <c r="R620" s="30">
        <f t="shared" si="101"/>
        <v>23587.000000000004</v>
      </c>
      <c r="S620" s="29"/>
      <c r="T620" s="31"/>
      <c r="V620" s="31" t="s">
        <v>24</v>
      </c>
      <c r="W620" s="29">
        <v>145</v>
      </c>
      <c r="X620" s="32">
        <f t="shared" si="102"/>
        <v>6641.0000000000009</v>
      </c>
      <c r="Y620" s="33">
        <v>200</v>
      </c>
      <c r="Z620" s="33">
        <f t="shared" si="103"/>
        <v>9160</v>
      </c>
      <c r="AA620" s="31">
        <f t="shared" si="104"/>
        <v>39388</v>
      </c>
    </row>
    <row r="621" spans="1:27" s="34" customFormat="1" ht="15.75" x14ac:dyDescent="0.25">
      <c r="A621" s="51">
        <v>618</v>
      </c>
      <c r="B621" s="22">
        <v>46019</v>
      </c>
      <c r="C621" s="22">
        <v>46020</v>
      </c>
      <c r="D621" s="101">
        <v>251229009</v>
      </c>
      <c r="E621" s="24" t="s">
        <v>1273</v>
      </c>
      <c r="F621" s="24" t="s">
        <v>1274</v>
      </c>
      <c r="G621" s="24">
        <v>45</v>
      </c>
      <c r="H621" s="25">
        <v>84</v>
      </c>
      <c r="I621" s="26" t="s">
        <v>50</v>
      </c>
      <c r="J621" s="151" t="s">
        <v>23</v>
      </c>
      <c r="K621" s="43" t="s">
        <v>32</v>
      </c>
      <c r="L621" s="24" t="s">
        <v>514</v>
      </c>
      <c r="M621" s="24" t="s">
        <v>36</v>
      </c>
      <c r="N621" s="24">
        <v>60.14</v>
      </c>
      <c r="O621" s="24">
        <v>15.34</v>
      </c>
      <c r="P621" s="28">
        <f t="shared" si="100"/>
        <v>44.8</v>
      </c>
      <c r="Q621" s="29">
        <v>515</v>
      </c>
      <c r="R621" s="30">
        <f t="shared" si="101"/>
        <v>23072</v>
      </c>
      <c r="S621" s="29"/>
      <c r="T621" s="31"/>
      <c r="V621" s="31" t="s">
        <v>24</v>
      </c>
      <c r="W621" s="29">
        <v>145</v>
      </c>
      <c r="X621" s="32">
        <f t="shared" ref="X621:X629" si="105">W621*P621</f>
        <v>6496</v>
      </c>
      <c r="Y621" s="33">
        <v>200</v>
      </c>
      <c r="Z621" s="33">
        <f t="shared" ref="Z621:Z629" si="106">Y621*P621</f>
        <v>8960</v>
      </c>
      <c r="AA621" s="31">
        <f t="shared" ref="AA621:AA629" si="107">R621+X621+Z621</f>
        <v>38528</v>
      </c>
    </row>
    <row r="622" spans="1:27" s="38" customFormat="1" ht="15.75" x14ac:dyDescent="0.25">
      <c r="A622" s="51">
        <v>619</v>
      </c>
      <c r="B622" s="22">
        <v>46019</v>
      </c>
      <c r="C622" s="22">
        <v>46020</v>
      </c>
      <c r="D622" s="101">
        <v>251229010</v>
      </c>
      <c r="E622" s="24" t="s">
        <v>1275</v>
      </c>
      <c r="F622" s="24"/>
      <c r="G622" s="24"/>
      <c r="H622" s="25">
        <v>84</v>
      </c>
      <c r="I622" s="26" t="s">
        <v>50</v>
      </c>
      <c r="J622" s="151" t="s">
        <v>23</v>
      </c>
      <c r="K622" s="43" t="s">
        <v>32</v>
      </c>
      <c r="L622" s="24" t="s">
        <v>43</v>
      </c>
      <c r="M622" s="24" t="s">
        <v>36</v>
      </c>
      <c r="N622" s="37">
        <v>60.6</v>
      </c>
      <c r="O622" s="37">
        <v>15.82</v>
      </c>
      <c r="P622" s="28">
        <f t="shared" si="100"/>
        <v>44.78</v>
      </c>
      <c r="Q622" s="29">
        <v>515</v>
      </c>
      <c r="R622" s="30">
        <f t="shared" si="101"/>
        <v>23061.7</v>
      </c>
      <c r="S622" s="29"/>
      <c r="T622" s="31"/>
      <c r="V622" s="31" t="s">
        <v>24</v>
      </c>
      <c r="W622" s="29">
        <v>145</v>
      </c>
      <c r="X622" s="32">
        <f t="shared" si="105"/>
        <v>6493.1</v>
      </c>
      <c r="Y622" s="33">
        <v>200</v>
      </c>
      <c r="Z622" s="33">
        <f t="shared" si="106"/>
        <v>8956</v>
      </c>
      <c r="AA622" s="31">
        <f t="shared" si="107"/>
        <v>38510.800000000003</v>
      </c>
    </row>
    <row r="623" spans="1:27" s="34" customFormat="1" ht="15.75" x14ac:dyDescent="0.25">
      <c r="A623" s="51">
        <v>620</v>
      </c>
      <c r="B623" s="22">
        <v>46019</v>
      </c>
      <c r="C623" s="22">
        <v>46020</v>
      </c>
      <c r="D623" s="101">
        <v>251229011</v>
      </c>
      <c r="E623" s="24" t="s">
        <v>1276</v>
      </c>
      <c r="F623" s="24"/>
      <c r="G623" s="24"/>
      <c r="H623" s="25">
        <v>84</v>
      </c>
      <c r="I623" s="26" t="s">
        <v>50</v>
      </c>
      <c r="J623" s="151" t="s">
        <v>23</v>
      </c>
      <c r="K623" s="43" t="s">
        <v>32</v>
      </c>
      <c r="L623" s="24" t="s">
        <v>1144</v>
      </c>
      <c r="M623" s="24" t="s">
        <v>36</v>
      </c>
      <c r="N623" s="37">
        <v>53.64</v>
      </c>
      <c r="O623" s="24">
        <v>13.22</v>
      </c>
      <c r="P623" s="28">
        <f t="shared" si="100"/>
        <v>40.42</v>
      </c>
      <c r="Q623" s="29">
        <v>515</v>
      </c>
      <c r="R623" s="30">
        <f t="shared" si="101"/>
        <v>20816.3</v>
      </c>
      <c r="S623" s="29"/>
      <c r="T623" s="31"/>
      <c r="V623" s="31" t="s">
        <v>24</v>
      </c>
      <c r="W623" s="29">
        <v>145</v>
      </c>
      <c r="X623" s="32">
        <f t="shared" si="105"/>
        <v>5860.9000000000005</v>
      </c>
      <c r="Y623" s="33">
        <v>200</v>
      </c>
      <c r="Z623" s="33">
        <f t="shared" si="106"/>
        <v>8084</v>
      </c>
      <c r="AA623" s="31">
        <f t="shared" si="107"/>
        <v>34761.199999999997</v>
      </c>
    </row>
    <row r="624" spans="1:27" s="38" customFormat="1" ht="15.75" x14ac:dyDescent="0.25">
      <c r="A624" s="51">
        <v>621</v>
      </c>
      <c r="B624" s="22">
        <v>46019</v>
      </c>
      <c r="C624" s="22">
        <v>46020</v>
      </c>
      <c r="D624" s="101">
        <v>251229012</v>
      </c>
      <c r="E624" s="24" t="s">
        <v>1277</v>
      </c>
      <c r="F624" s="24" t="s">
        <v>1278</v>
      </c>
      <c r="G624" s="24">
        <v>45</v>
      </c>
      <c r="H624" s="25">
        <v>57</v>
      </c>
      <c r="I624" s="26" t="s">
        <v>756</v>
      </c>
      <c r="J624" s="151" t="s">
        <v>23</v>
      </c>
      <c r="K624" s="43" t="s">
        <v>32</v>
      </c>
      <c r="L624" s="179" t="s">
        <v>286</v>
      </c>
      <c r="M624" s="24" t="s">
        <v>515</v>
      </c>
      <c r="N624" s="24">
        <v>44.26</v>
      </c>
      <c r="O624" s="24">
        <v>11.44</v>
      </c>
      <c r="P624" s="28">
        <f t="shared" si="100"/>
        <v>32.82</v>
      </c>
      <c r="Q624" s="29">
        <v>355</v>
      </c>
      <c r="R624" s="30">
        <f t="shared" si="101"/>
        <v>11651.1</v>
      </c>
      <c r="S624" s="24"/>
      <c r="T624" s="31"/>
      <c r="V624" s="31" t="s">
        <v>24</v>
      </c>
      <c r="W624" s="29">
        <v>145</v>
      </c>
      <c r="X624" s="32">
        <f t="shared" si="105"/>
        <v>4758.8999999999996</v>
      </c>
      <c r="Y624" s="33">
        <v>200</v>
      </c>
      <c r="Z624" s="31">
        <f t="shared" si="106"/>
        <v>6564</v>
      </c>
      <c r="AA624" s="31">
        <f t="shared" si="107"/>
        <v>22974</v>
      </c>
    </row>
    <row r="625" spans="1:38" s="34" customFormat="1" ht="15.75" x14ac:dyDescent="0.25">
      <c r="A625" s="51">
        <v>622</v>
      </c>
      <c r="B625" s="22">
        <v>46019</v>
      </c>
      <c r="C625" s="22">
        <v>46020</v>
      </c>
      <c r="D625" s="101">
        <v>251229013</v>
      </c>
      <c r="E625" s="24" t="s">
        <v>1279</v>
      </c>
      <c r="F625" s="24" t="s">
        <v>1280</v>
      </c>
      <c r="G625" s="24">
        <v>45</v>
      </c>
      <c r="H625" s="64">
        <v>131</v>
      </c>
      <c r="I625" s="43" t="s">
        <v>700</v>
      </c>
      <c r="J625" s="147" t="s">
        <v>23</v>
      </c>
      <c r="K625" s="43" t="s">
        <v>32</v>
      </c>
      <c r="L625" s="24" t="s">
        <v>41</v>
      </c>
      <c r="M625" s="24" t="s">
        <v>36</v>
      </c>
      <c r="N625" s="37">
        <v>46.8</v>
      </c>
      <c r="O625" s="24">
        <v>11.76</v>
      </c>
      <c r="P625" s="28">
        <f t="shared" si="100"/>
        <v>35.04</v>
      </c>
      <c r="Q625" s="29">
        <v>535</v>
      </c>
      <c r="R625" s="30">
        <f t="shared" si="101"/>
        <v>18746.399999999998</v>
      </c>
      <c r="S625" s="29"/>
      <c r="T625" s="31"/>
      <c r="V625" s="31" t="s">
        <v>24</v>
      </c>
      <c r="W625" s="29">
        <v>145</v>
      </c>
      <c r="X625" s="32">
        <f t="shared" si="105"/>
        <v>5080.8</v>
      </c>
      <c r="Y625" s="33">
        <v>200</v>
      </c>
      <c r="Z625" s="33">
        <f t="shared" si="106"/>
        <v>7008</v>
      </c>
      <c r="AA625" s="31">
        <f t="shared" si="107"/>
        <v>30835.199999999997</v>
      </c>
    </row>
    <row r="626" spans="1:38" s="34" customFormat="1" ht="15.75" x14ac:dyDescent="0.25">
      <c r="A626" s="51">
        <v>623</v>
      </c>
      <c r="B626" s="22">
        <v>46019</v>
      </c>
      <c r="C626" s="22">
        <v>46020</v>
      </c>
      <c r="D626" s="101">
        <v>251229014</v>
      </c>
      <c r="E626" s="24" t="s">
        <v>1281</v>
      </c>
      <c r="F626" s="24" t="s">
        <v>1282</v>
      </c>
      <c r="G626" s="24">
        <v>45</v>
      </c>
      <c r="H626" s="35">
        <v>117</v>
      </c>
      <c r="I626" s="44" t="s">
        <v>55</v>
      </c>
      <c r="J626" s="147" t="s">
        <v>23</v>
      </c>
      <c r="K626" s="43" t="s">
        <v>32</v>
      </c>
      <c r="L626" s="24" t="s">
        <v>38</v>
      </c>
      <c r="M626" s="24" t="s">
        <v>36</v>
      </c>
      <c r="N626" s="24">
        <v>60.36</v>
      </c>
      <c r="O626" s="24">
        <v>15.78</v>
      </c>
      <c r="P626" s="28">
        <f t="shared" si="100"/>
        <v>44.58</v>
      </c>
      <c r="Q626" s="29">
        <v>555</v>
      </c>
      <c r="R626" s="30">
        <f t="shared" si="101"/>
        <v>24741.899999999998</v>
      </c>
      <c r="S626" s="29"/>
      <c r="T626" s="31"/>
      <c r="V626" s="31" t="s">
        <v>24</v>
      </c>
      <c r="W626" s="29">
        <v>145</v>
      </c>
      <c r="X626" s="32">
        <f t="shared" si="105"/>
        <v>6464.0999999999995</v>
      </c>
      <c r="Y626" s="33">
        <v>230</v>
      </c>
      <c r="Z626" s="33">
        <f t="shared" si="106"/>
        <v>10253.4</v>
      </c>
      <c r="AA626" s="31">
        <f t="shared" si="107"/>
        <v>41459.399999999994</v>
      </c>
    </row>
    <row r="627" spans="1:38" s="34" customFormat="1" ht="15.75" x14ac:dyDescent="0.25">
      <c r="A627" s="51">
        <v>624</v>
      </c>
      <c r="B627" s="22">
        <v>46019</v>
      </c>
      <c r="C627" s="22">
        <v>46020</v>
      </c>
      <c r="D627" s="101">
        <v>251229015</v>
      </c>
      <c r="E627" s="24" t="s">
        <v>1283</v>
      </c>
      <c r="F627" s="24"/>
      <c r="G627" s="24"/>
      <c r="H627" s="25">
        <v>84</v>
      </c>
      <c r="I627" s="26" t="s">
        <v>50</v>
      </c>
      <c r="J627" s="151" t="s">
        <v>23</v>
      </c>
      <c r="K627" s="43" t="s">
        <v>32</v>
      </c>
      <c r="L627" s="24" t="s">
        <v>426</v>
      </c>
      <c r="M627" s="24" t="s">
        <v>36</v>
      </c>
      <c r="N627" s="24">
        <v>68.22</v>
      </c>
      <c r="O627" s="24">
        <v>18.96</v>
      </c>
      <c r="P627" s="28">
        <f t="shared" si="100"/>
        <v>49.26</v>
      </c>
      <c r="Q627" s="29">
        <v>515</v>
      </c>
      <c r="R627" s="30">
        <f t="shared" si="101"/>
        <v>25368.899999999998</v>
      </c>
      <c r="S627" s="29"/>
      <c r="T627" s="31"/>
      <c r="V627" s="31" t="s">
        <v>24</v>
      </c>
      <c r="W627" s="29">
        <v>145</v>
      </c>
      <c r="X627" s="32">
        <f t="shared" si="105"/>
        <v>7142.7</v>
      </c>
      <c r="Y627" s="33">
        <v>200</v>
      </c>
      <c r="Z627" s="33">
        <f t="shared" si="106"/>
        <v>9852</v>
      </c>
      <c r="AA627" s="31">
        <f t="shared" si="107"/>
        <v>42363.6</v>
      </c>
    </row>
    <row r="628" spans="1:38" s="34" customFormat="1" ht="15.75" x14ac:dyDescent="0.25">
      <c r="A628" s="51">
        <v>625</v>
      </c>
      <c r="B628" s="22">
        <v>46019</v>
      </c>
      <c r="C628" s="22">
        <v>46020</v>
      </c>
      <c r="D628" s="101">
        <v>251229016</v>
      </c>
      <c r="E628" s="24" t="s">
        <v>1284</v>
      </c>
      <c r="F628" s="24"/>
      <c r="G628" s="24"/>
      <c r="H628" s="25">
        <v>84</v>
      </c>
      <c r="I628" s="26" t="s">
        <v>50</v>
      </c>
      <c r="J628" s="151" t="s">
        <v>23</v>
      </c>
      <c r="K628" s="43" t="s">
        <v>32</v>
      </c>
      <c r="L628" s="24" t="s">
        <v>467</v>
      </c>
      <c r="M628" s="24" t="s">
        <v>34</v>
      </c>
      <c r="N628" s="24">
        <v>63.56</v>
      </c>
      <c r="O628" s="24">
        <v>16.32</v>
      </c>
      <c r="P628" s="28">
        <f t="shared" si="100"/>
        <v>47.24</v>
      </c>
      <c r="Q628" s="29">
        <v>305</v>
      </c>
      <c r="R628" s="30">
        <f t="shared" si="101"/>
        <v>14408.2</v>
      </c>
      <c r="S628" s="29"/>
      <c r="T628" s="31"/>
      <c r="V628" s="31" t="s">
        <v>24</v>
      </c>
      <c r="W628" s="29">
        <v>145</v>
      </c>
      <c r="X628" s="175">
        <f t="shared" si="105"/>
        <v>6849.8</v>
      </c>
      <c r="Y628" s="33">
        <v>200</v>
      </c>
      <c r="Z628" s="31">
        <f t="shared" si="106"/>
        <v>9448</v>
      </c>
      <c r="AA628" s="31">
        <f t="shared" si="107"/>
        <v>30706</v>
      </c>
    </row>
    <row r="629" spans="1:38" s="34" customFormat="1" ht="15.75" x14ac:dyDescent="0.25">
      <c r="A629" s="51">
        <v>626</v>
      </c>
      <c r="B629" s="22">
        <v>46019</v>
      </c>
      <c r="C629" s="22">
        <v>46020</v>
      </c>
      <c r="D629" s="101">
        <v>251229017</v>
      </c>
      <c r="E629" s="24" t="s">
        <v>1285</v>
      </c>
      <c r="F629" s="24"/>
      <c r="G629" s="24"/>
      <c r="H629" s="25">
        <v>84</v>
      </c>
      <c r="I629" s="26" t="s">
        <v>50</v>
      </c>
      <c r="J629" s="151" t="s">
        <v>23</v>
      </c>
      <c r="K629" s="43" t="s">
        <v>32</v>
      </c>
      <c r="L629" s="24" t="s">
        <v>444</v>
      </c>
      <c r="M629" s="24" t="s">
        <v>34</v>
      </c>
      <c r="N629" s="24">
        <v>62.08</v>
      </c>
      <c r="O629" s="24">
        <v>15.68</v>
      </c>
      <c r="P629" s="28">
        <f t="shared" si="100"/>
        <v>46.4</v>
      </c>
      <c r="Q629" s="29">
        <v>305</v>
      </c>
      <c r="R629" s="30">
        <f t="shared" si="101"/>
        <v>14152</v>
      </c>
      <c r="S629" s="29"/>
      <c r="T629" s="31"/>
      <c r="V629" s="31" t="s">
        <v>24</v>
      </c>
      <c r="W629" s="29">
        <v>145</v>
      </c>
      <c r="X629" s="32">
        <f t="shared" si="105"/>
        <v>6728</v>
      </c>
      <c r="Y629" s="33">
        <v>200</v>
      </c>
      <c r="Z629" s="33">
        <f t="shared" si="106"/>
        <v>9280</v>
      </c>
      <c r="AA629" s="31">
        <f t="shared" si="107"/>
        <v>30160</v>
      </c>
    </row>
    <row r="630" spans="1:38" s="34" customFormat="1" ht="15.75" x14ac:dyDescent="0.25">
      <c r="A630" s="51">
        <v>627</v>
      </c>
      <c r="B630" s="22">
        <v>46020</v>
      </c>
      <c r="C630" s="22">
        <v>46020</v>
      </c>
      <c r="D630" s="148" t="s">
        <v>1286</v>
      </c>
      <c r="E630" s="24"/>
      <c r="F630" s="24"/>
      <c r="G630" s="24"/>
      <c r="H630" s="35"/>
      <c r="I630" s="43" t="s">
        <v>48</v>
      </c>
      <c r="J630" s="147" t="s">
        <v>23</v>
      </c>
      <c r="K630" s="171" t="s">
        <v>32</v>
      </c>
      <c r="L630" s="101" t="s">
        <v>1020</v>
      </c>
      <c r="M630" s="24" t="s">
        <v>49</v>
      </c>
      <c r="N630" s="24">
        <v>26.16</v>
      </c>
      <c r="O630" s="24">
        <v>14.28</v>
      </c>
      <c r="P630" s="28">
        <f>N630-O630</f>
        <v>11.88</v>
      </c>
      <c r="Q630" s="29">
        <v>0</v>
      </c>
      <c r="R630" s="30">
        <f t="shared" si="101"/>
        <v>0</v>
      </c>
      <c r="S630" s="29"/>
      <c r="T630" s="31"/>
      <c r="V630" s="31" t="s">
        <v>24</v>
      </c>
      <c r="W630" s="29"/>
      <c r="X630" s="32"/>
      <c r="Y630" s="33"/>
      <c r="Z630" s="33"/>
      <c r="AA630" s="31"/>
    </row>
    <row r="631" spans="1:38" s="34" customFormat="1" ht="15.75" x14ac:dyDescent="0.25">
      <c r="A631" s="51">
        <v>628</v>
      </c>
      <c r="B631" s="22">
        <v>46020</v>
      </c>
      <c r="C631" s="22">
        <v>46020</v>
      </c>
      <c r="D631" s="148" t="s">
        <v>1287</v>
      </c>
      <c r="E631" s="24"/>
      <c r="F631" s="24"/>
      <c r="G631" s="24"/>
      <c r="H631" s="35"/>
      <c r="I631" s="43" t="s">
        <v>1288</v>
      </c>
      <c r="J631" s="147" t="s">
        <v>23</v>
      </c>
      <c r="K631" s="171" t="s">
        <v>30</v>
      </c>
      <c r="L631" s="101" t="s">
        <v>1289</v>
      </c>
      <c r="M631" s="24" t="s">
        <v>36</v>
      </c>
      <c r="N631" s="24">
        <v>8.3800000000000008</v>
      </c>
      <c r="O631" s="24">
        <v>3.38</v>
      </c>
      <c r="P631" s="28">
        <f>N631-O631</f>
        <v>5.0000000000000009</v>
      </c>
      <c r="Q631" s="29">
        <v>550</v>
      </c>
      <c r="R631" s="30">
        <f t="shared" si="101"/>
        <v>2750.0000000000005</v>
      </c>
      <c r="S631" s="29">
        <v>2750</v>
      </c>
      <c r="T631" s="31"/>
      <c r="V631" s="31" t="s">
        <v>24</v>
      </c>
      <c r="W631" s="29">
        <v>145</v>
      </c>
      <c r="X631" s="32">
        <f t="shared" ref="X631:X661" si="108">W631*P631</f>
        <v>725.00000000000011</v>
      </c>
      <c r="Y631" s="33">
        <v>260</v>
      </c>
      <c r="Z631" s="33">
        <f t="shared" ref="Z631:Z661" si="109">Y631*P631</f>
        <v>1300.0000000000002</v>
      </c>
      <c r="AA631" s="31">
        <f t="shared" ref="AA631:AA661" si="110">R631+X631+Z631</f>
        <v>4775.0000000000009</v>
      </c>
    </row>
    <row r="632" spans="1:38" s="34" customFormat="1" ht="15.75" x14ac:dyDescent="0.25">
      <c r="A632" s="51">
        <v>629</v>
      </c>
      <c r="B632" s="22">
        <v>46020</v>
      </c>
      <c r="C632" s="22">
        <v>46020</v>
      </c>
      <c r="D632" s="148">
        <v>251229018</v>
      </c>
      <c r="E632" s="24" t="s">
        <v>1290</v>
      </c>
      <c r="F632" s="24" t="s">
        <v>1291</v>
      </c>
      <c r="G632" s="24">
        <v>43</v>
      </c>
      <c r="H632" s="35">
        <v>117</v>
      </c>
      <c r="I632" s="44" t="s">
        <v>55</v>
      </c>
      <c r="J632" s="147" t="s">
        <v>23</v>
      </c>
      <c r="K632" s="43" t="s">
        <v>32</v>
      </c>
      <c r="L632" s="101" t="s">
        <v>379</v>
      </c>
      <c r="M632" s="24" t="s">
        <v>34</v>
      </c>
      <c r="N632" s="24">
        <v>59.78</v>
      </c>
      <c r="O632" s="24">
        <v>15.78</v>
      </c>
      <c r="P632" s="28">
        <f>N632-O632</f>
        <v>44</v>
      </c>
      <c r="Q632" s="29">
        <v>335</v>
      </c>
      <c r="R632" s="30">
        <f t="shared" si="101"/>
        <v>14740</v>
      </c>
      <c r="S632" s="29"/>
      <c r="T632" s="31"/>
      <c r="V632" s="31" t="s">
        <v>24</v>
      </c>
      <c r="W632" s="29">
        <v>145</v>
      </c>
      <c r="X632" s="32">
        <f t="shared" si="108"/>
        <v>6380</v>
      </c>
      <c r="Y632" s="33">
        <v>230</v>
      </c>
      <c r="Z632" s="33">
        <f t="shared" si="109"/>
        <v>10120</v>
      </c>
      <c r="AA632" s="31">
        <f t="shared" si="110"/>
        <v>31240</v>
      </c>
    </row>
    <row r="633" spans="1:38" s="38" customFormat="1" ht="15.75" x14ac:dyDescent="0.25">
      <c r="A633" s="51">
        <v>630</v>
      </c>
      <c r="B633" s="22">
        <v>46020</v>
      </c>
      <c r="C633" s="22">
        <v>46020</v>
      </c>
      <c r="D633" s="148">
        <v>251229019</v>
      </c>
      <c r="E633" s="24" t="s">
        <v>1292</v>
      </c>
      <c r="F633" s="24" t="s">
        <v>1293</v>
      </c>
      <c r="G633" s="24">
        <v>33</v>
      </c>
      <c r="H633" s="64">
        <v>119</v>
      </c>
      <c r="I633" s="43" t="s">
        <v>870</v>
      </c>
      <c r="J633" s="147" t="s">
        <v>23</v>
      </c>
      <c r="K633" s="43" t="s">
        <v>32</v>
      </c>
      <c r="L633" s="101" t="s">
        <v>1074</v>
      </c>
      <c r="M633" s="24" t="s">
        <v>306</v>
      </c>
      <c r="N633" s="37">
        <v>52.24</v>
      </c>
      <c r="O633" s="24">
        <v>13.74</v>
      </c>
      <c r="P633" s="28">
        <f t="shared" ref="P633:P688" si="111">N633-O633</f>
        <v>38.5</v>
      </c>
      <c r="Q633" s="29">
        <v>425</v>
      </c>
      <c r="R633" s="30">
        <f t="shared" si="101"/>
        <v>16362.5</v>
      </c>
      <c r="S633" s="29"/>
      <c r="T633" s="31"/>
      <c r="V633" s="31" t="s">
        <v>24</v>
      </c>
      <c r="W633" s="29">
        <v>145</v>
      </c>
      <c r="X633" s="32">
        <f t="shared" si="108"/>
        <v>5582.5</v>
      </c>
      <c r="Y633" s="33">
        <v>150</v>
      </c>
      <c r="Z633" s="33">
        <f t="shared" si="109"/>
        <v>5775</v>
      </c>
      <c r="AA633" s="31">
        <f t="shared" si="110"/>
        <v>27720</v>
      </c>
    </row>
    <row r="634" spans="1:38" s="34" customFormat="1" ht="15.75" x14ac:dyDescent="0.25">
      <c r="A634" s="51">
        <v>631</v>
      </c>
      <c r="B634" s="22">
        <v>46020</v>
      </c>
      <c r="C634" s="22">
        <v>46020</v>
      </c>
      <c r="D634" s="148">
        <v>251229020</v>
      </c>
      <c r="E634" s="24" t="s">
        <v>1294</v>
      </c>
      <c r="F634" s="24" t="s">
        <v>1295</v>
      </c>
      <c r="G634" s="24">
        <v>33</v>
      </c>
      <c r="H634" s="64">
        <v>119</v>
      </c>
      <c r="I634" s="43" t="s">
        <v>870</v>
      </c>
      <c r="J634" s="147" t="s">
        <v>23</v>
      </c>
      <c r="K634" s="43" t="s">
        <v>32</v>
      </c>
      <c r="L634" s="101" t="s">
        <v>965</v>
      </c>
      <c r="M634" s="24" t="s">
        <v>306</v>
      </c>
      <c r="N634" s="37">
        <v>57.96</v>
      </c>
      <c r="O634" s="24">
        <v>15.28</v>
      </c>
      <c r="P634" s="28">
        <f t="shared" si="111"/>
        <v>42.68</v>
      </c>
      <c r="Q634" s="29">
        <v>425</v>
      </c>
      <c r="R634" s="30">
        <f t="shared" si="101"/>
        <v>18139</v>
      </c>
      <c r="S634" s="29"/>
      <c r="T634" s="31"/>
      <c r="V634" s="31" t="s">
        <v>24</v>
      </c>
      <c r="W634" s="29">
        <v>145</v>
      </c>
      <c r="X634" s="32">
        <f t="shared" si="108"/>
        <v>6188.6</v>
      </c>
      <c r="Y634" s="33">
        <v>150</v>
      </c>
      <c r="Z634" s="33">
        <f t="shared" si="109"/>
        <v>6402</v>
      </c>
      <c r="AA634" s="31">
        <f t="shared" si="110"/>
        <v>30729.599999999999</v>
      </c>
    </row>
    <row r="635" spans="1:38" s="34" customFormat="1" ht="15.75" x14ac:dyDescent="0.2">
      <c r="A635" s="51">
        <v>632</v>
      </c>
      <c r="B635" s="22">
        <v>46020</v>
      </c>
      <c r="C635" s="22">
        <v>46020</v>
      </c>
      <c r="D635" s="148">
        <v>251229021</v>
      </c>
      <c r="E635" s="24" t="s">
        <v>1296</v>
      </c>
      <c r="F635" s="24"/>
      <c r="G635" s="24"/>
      <c r="H635" s="169">
        <v>84</v>
      </c>
      <c r="I635" s="165" t="s">
        <v>50</v>
      </c>
      <c r="J635" s="170" t="s">
        <v>23</v>
      </c>
      <c r="K635" s="162" t="s">
        <v>32</v>
      </c>
      <c r="L635" s="101" t="s">
        <v>40</v>
      </c>
      <c r="M635" s="24" t="s">
        <v>36</v>
      </c>
      <c r="N635" s="37">
        <v>62.56</v>
      </c>
      <c r="O635" s="37">
        <v>14.94</v>
      </c>
      <c r="P635" s="28">
        <f t="shared" si="111"/>
        <v>47.620000000000005</v>
      </c>
      <c r="Q635" s="29">
        <v>515</v>
      </c>
      <c r="R635" s="30">
        <f t="shared" si="101"/>
        <v>24524.300000000003</v>
      </c>
      <c r="S635" s="29"/>
      <c r="T635" s="31"/>
      <c r="V635" s="31" t="s">
        <v>24</v>
      </c>
      <c r="W635" s="29">
        <v>145</v>
      </c>
      <c r="X635" s="32">
        <f t="shared" si="108"/>
        <v>6904.9000000000005</v>
      </c>
      <c r="Y635" s="33">
        <v>210</v>
      </c>
      <c r="Z635" s="33">
        <f t="shared" si="109"/>
        <v>10000.200000000001</v>
      </c>
      <c r="AA635" s="31">
        <f t="shared" si="110"/>
        <v>41429.400000000009</v>
      </c>
    </row>
    <row r="636" spans="1:38" s="34" customFormat="1" ht="15.75" x14ac:dyDescent="0.2">
      <c r="A636" s="51">
        <v>633</v>
      </c>
      <c r="B636" s="22">
        <v>46020</v>
      </c>
      <c r="C636" s="22">
        <v>46020</v>
      </c>
      <c r="D636" s="148">
        <v>251229022</v>
      </c>
      <c r="E636" s="24" t="s">
        <v>1297</v>
      </c>
      <c r="F636" s="24"/>
      <c r="G636" s="24"/>
      <c r="H636" s="169">
        <v>84</v>
      </c>
      <c r="I636" s="165" t="s">
        <v>50</v>
      </c>
      <c r="J636" s="170" t="s">
        <v>23</v>
      </c>
      <c r="K636" s="162" t="s">
        <v>32</v>
      </c>
      <c r="L636" s="101" t="s">
        <v>39</v>
      </c>
      <c r="M636" s="24" t="s">
        <v>36</v>
      </c>
      <c r="N636" s="37">
        <v>59.8</v>
      </c>
      <c r="O636" s="37">
        <v>15.72</v>
      </c>
      <c r="P636" s="28">
        <f t="shared" si="111"/>
        <v>44.08</v>
      </c>
      <c r="Q636" s="29">
        <v>515</v>
      </c>
      <c r="R636" s="30">
        <f t="shared" si="101"/>
        <v>22701.200000000001</v>
      </c>
      <c r="S636" s="29"/>
      <c r="T636" s="31"/>
      <c r="V636" s="31" t="s">
        <v>24</v>
      </c>
      <c r="W636" s="29">
        <v>145</v>
      </c>
      <c r="X636" s="32">
        <f t="shared" si="108"/>
        <v>6391.5999999999995</v>
      </c>
      <c r="Y636" s="33">
        <v>210</v>
      </c>
      <c r="Z636" s="33">
        <f t="shared" si="109"/>
        <v>9256.7999999999993</v>
      </c>
      <c r="AA636" s="31">
        <f t="shared" si="110"/>
        <v>38349.599999999999</v>
      </c>
    </row>
    <row r="637" spans="1:38" s="34" customFormat="1" ht="20.100000000000001" customHeight="1" x14ac:dyDescent="0.2">
      <c r="A637" s="51">
        <v>634</v>
      </c>
      <c r="B637" s="22">
        <v>46020</v>
      </c>
      <c r="C637" s="22">
        <v>46020</v>
      </c>
      <c r="D637" s="148">
        <v>251229023</v>
      </c>
      <c r="E637" s="24" t="s">
        <v>1298</v>
      </c>
      <c r="F637" s="24"/>
      <c r="G637" s="24"/>
      <c r="H637" s="169">
        <v>84</v>
      </c>
      <c r="I637" s="165" t="s">
        <v>50</v>
      </c>
      <c r="J637" s="170" t="s">
        <v>23</v>
      </c>
      <c r="K637" s="162" t="s">
        <v>32</v>
      </c>
      <c r="L637" s="101" t="s">
        <v>43</v>
      </c>
      <c r="M637" s="24" t="s">
        <v>36</v>
      </c>
      <c r="N637" s="37">
        <v>60.92</v>
      </c>
      <c r="O637" s="37">
        <v>15.78</v>
      </c>
      <c r="P637" s="28">
        <f t="shared" si="111"/>
        <v>45.14</v>
      </c>
      <c r="Q637" s="29">
        <v>515</v>
      </c>
      <c r="R637" s="30">
        <f t="shared" si="101"/>
        <v>23247.1</v>
      </c>
      <c r="S637" s="29"/>
      <c r="T637" s="31"/>
      <c r="V637" s="31" t="s">
        <v>24</v>
      </c>
      <c r="W637" s="29">
        <v>145</v>
      </c>
      <c r="X637" s="32">
        <f t="shared" si="108"/>
        <v>6545.3</v>
      </c>
      <c r="Y637" s="33">
        <v>210</v>
      </c>
      <c r="Z637" s="33">
        <f t="shared" si="109"/>
        <v>9479.4</v>
      </c>
      <c r="AA637" s="31">
        <f t="shared" si="110"/>
        <v>39271.799999999996</v>
      </c>
      <c r="AB637" s="40"/>
      <c r="AC637" s="39"/>
      <c r="AD637" s="41"/>
      <c r="AE637" s="42"/>
      <c r="AF637" s="39"/>
      <c r="AG637" s="42"/>
      <c r="AH637" s="39"/>
      <c r="AI637" s="41"/>
      <c r="AJ637" s="39"/>
      <c r="AK637" s="41"/>
      <c r="AL637" s="41"/>
    </row>
    <row r="638" spans="1:38" s="34" customFormat="1" ht="15.75" x14ac:dyDescent="0.2">
      <c r="A638" s="51">
        <v>635</v>
      </c>
      <c r="B638" s="22">
        <v>46020</v>
      </c>
      <c r="C638" s="22">
        <v>46020</v>
      </c>
      <c r="D638" s="148">
        <v>251229024</v>
      </c>
      <c r="E638" s="24" t="s">
        <v>1299</v>
      </c>
      <c r="F638" s="24"/>
      <c r="G638" s="24"/>
      <c r="H638" s="169">
        <v>84</v>
      </c>
      <c r="I638" s="165" t="s">
        <v>50</v>
      </c>
      <c r="J638" s="170" t="s">
        <v>23</v>
      </c>
      <c r="K638" s="162" t="s">
        <v>32</v>
      </c>
      <c r="L638" s="101" t="s">
        <v>418</v>
      </c>
      <c r="M638" s="24" t="s">
        <v>36</v>
      </c>
      <c r="N638" s="37">
        <v>68.900000000000006</v>
      </c>
      <c r="O638" s="37">
        <v>18.079999999999998</v>
      </c>
      <c r="P638" s="28">
        <f t="shared" si="111"/>
        <v>50.820000000000007</v>
      </c>
      <c r="Q638" s="29">
        <v>515</v>
      </c>
      <c r="R638" s="30">
        <f t="shared" si="101"/>
        <v>26172.300000000003</v>
      </c>
      <c r="S638" s="29"/>
      <c r="T638" s="31"/>
      <c r="V638" s="31" t="s">
        <v>24</v>
      </c>
      <c r="W638" s="29">
        <v>145</v>
      </c>
      <c r="X638" s="32">
        <f t="shared" si="108"/>
        <v>7368.9000000000015</v>
      </c>
      <c r="Y638" s="33">
        <v>210</v>
      </c>
      <c r="Z638" s="33">
        <f t="shared" si="109"/>
        <v>10672.2</v>
      </c>
      <c r="AA638" s="31">
        <f t="shared" si="110"/>
        <v>44213.400000000009</v>
      </c>
    </row>
    <row r="639" spans="1:38" s="34" customFormat="1" ht="15.75" x14ac:dyDescent="0.25">
      <c r="A639" s="51">
        <v>636</v>
      </c>
      <c r="B639" s="22">
        <v>46020</v>
      </c>
      <c r="C639" s="22">
        <v>46020</v>
      </c>
      <c r="D639" s="148">
        <v>251229025</v>
      </c>
      <c r="E639" s="24" t="s">
        <v>1300</v>
      </c>
      <c r="F639" s="24" t="s">
        <v>1301</v>
      </c>
      <c r="G639" s="24">
        <v>45</v>
      </c>
      <c r="H639" s="35">
        <v>117</v>
      </c>
      <c r="I639" s="44" t="s">
        <v>55</v>
      </c>
      <c r="J639" s="147" t="s">
        <v>23</v>
      </c>
      <c r="K639" s="43" t="s">
        <v>32</v>
      </c>
      <c r="L639" s="101" t="s">
        <v>331</v>
      </c>
      <c r="M639" s="24" t="s">
        <v>36</v>
      </c>
      <c r="N639" s="37">
        <v>46.52</v>
      </c>
      <c r="O639" s="37">
        <v>11.38</v>
      </c>
      <c r="P639" s="28">
        <f t="shared" si="111"/>
        <v>35.14</v>
      </c>
      <c r="Q639" s="29">
        <v>555</v>
      </c>
      <c r="R639" s="30">
        <f t="shared" si="101"/>
        <v>19502.7</v>
      </c>
      <c r="S639" s="29"/>
      <c r="T639" s="31"/>
      <c r="V639" s="31" t="s">
        <v>24</v>
      </c>
      <c r="W639" s="29">
        <v>145</v>
      </c>
      <c r="X639" s="32">
        <f t="shared" si="108"/>
        <v>5095.3</v>
      </c>
      <c r="Y639" s="33">
        <v>230</v>
      </c>
      <c r="Z639" s="33">
        <f t="shared" si="109"/>
        <v>8082.2</v>
      </c>
      <c r="AA639" s="31">
        <f t="shared" si="110"/>
        <v>32680.2</v>
      </c>
    </row>
    <row r="640" spans="1:38" s="34" customFormat="1" ht="15.75" x14ac:dyDescent="0.2">
      <c r="A640" s="51">
        <v>637</v>
      </c>
      <c r="B640" s="22">
        <v>46020</v>
      </c>
      <c r="C640" s="22">
        <v>46020</v>
      </c>
      <c r="D640" s="148">
        <v>251229026</v>
      </c>
      <c r="E640" s="24" t="s">
        <v>1302</v>
      </c>
      <c r="F640" s="24"/>
      <c r="G640" s="24"/>
      <c r="H640" s="169">
        <v>84</v>
      </c>
      <c r="I640" s="165" t="s">
        <v>50</v>
      </c>
      <c r="J640" s="170" t="s">
        <v>23</v>
      </c>
      <c r="K640" s="162" t="s">
        <v>32</v>
      </c>
      <c r="L640" s="101" t="s">
        <v>467</v>
      </c>
      <c r="M640" s="24" t="s">
        <v>36</v>
      </c>
      <c r="N640" s="37">
        <v>65.38</v>
      </c>
      <c r="O640" s="37">
        <v>16.260000000000002</v>
      </c>
      <c r="P640" s="28">
        <f t="shared" si="111"/>
        <v>49.11999999999999</v>
      </c>
      <c r="Q640" s="29">
        <v>515</v>
      </c>
      <c r="R640" s="30">
        <f t="shared" si="101"/>
        <v>25296.799999999996</v>
      </c>
      <c r="S640" s="29"/>
      <c r="T640" s="31"/>
      <c r="V640" s="31" t="s">
        <v>24</v>
      </c>
      <c r="W640" s="29">
        <v>145</v>
      </c>
      <c r="X640" s="32">
        <f t="shared" si="108"/>
        <v>7122.3999999999987</v>
      </c>
      <c r="Y640" s="33">
        <v>210</v>
      </c>
      <c r="Z640" s="33">
        <f t="shared" si="109"/>
        <v>10315.199999999997</v>
      </c>
      <c r="AA640" s="31">
        <f t="shared" si="110"/>
        <v>42734.399999999994</v>
      </c>
    </row>
    <row r="641" spans="1:27" s="34" customFormat="1" ht="15.75" x14ac:dyDescent="0.25">
      <c r="A641" s="51">
        <v>638</v>
      </c>
      <c r="B641" s="22">
        <v>46020</v>
      </c>
      <c r="C641" s="22">
        <v>46020</v>
      </c>
      <c r="D641" s="148">
        <v>251229027</v>
      </c>
      <c r="E641" s="24" t="s">
        <v>1303</v>
      </c>
      <c r="F641" s="24"/>
      <c r="G641" s="24"/>
      <c r="H641" s="25">
        <v>42</v>
      </c>
      <c r="I641" s="162" t="s">
        <v>52</v>
      </c>
      <c r="J641" s="180" t="s">
        <v>23</v>
      </c>
      <c r="K641" s="162" t="s">
        <v>32</v>
      </c>
      <c r="L641" s="101" t="s">
        <v>585</v>
      </c>
      <c r="M641" s="24" t="s">
        <v>34</v>
      </c>
      <c r="N641" s="37">
        <v>58.42</v>
      </c>
      <c r="O641" s="37">
        <v>14.88</v>
      </c>
      <c r="P641" s="28">
        <f t="shared" si="111"/>
        <v>43.54</v>
      </c>
      <c r="Q641" s="29">
        <v>285</v>
      </c>
      <c r="R641" s="30">
        <f t="shared" si="101"/>
        <v>12408.9</v>
      </c>
      <c r="S641" s="29"/>
      <c r="T641" s="31"/>
      <c r="V641" s="31" t="s">
        <v>24</v>
      </c>
      <c r="W641" s="29">
        <v>145</v>
      </c>
      <c r="X641" s="32">
        <f t="shared" si="108"/>
        <v>6313.3</v>
      </c>
      <c r="Y641" s="33">
        <v>260</v>
      </c>
      <c r="Z641" s="33">
        <f t="shared" si="109"/>
        <v>11320.4</v>
      </c>
      <c r="AA641" s="31">
        <f t="shared" si="110"/>
        <v>30042.6</v>
      </c>
    </row>
    <row r="642" spans="1:27" s="38" customFormat="1" ht="15.75" x14ac:dyDescent="0.25">
      <c r="A642" s="51">
        <v>639</v>
      </c>
      <c r="B642" s="22">
        <v>46020</v>
      </c>
      <c r="C642" s="22">
        <v>46020</v>
      </c>
      <c r="D642" s="148">
        <v>251229028</v>
      </c>
      <c r="E642" s="24" t="s">
        <v>1304</v>
      </c>
      <c r="F642" s="24"/>
      <c r="G642" s="24"/>
      <c r="H642" s="25">
        <v>42</v>
      </c>
      <c r="I642" s="162" t="s">
        <v>52</v>
      </c>
      <c r="J642" s="180" t="s">
        <v>23</v>
      </c>
      <c r="K642" s="162" t="s">
        <v>32</v>
      </c>
      <c r="L642" s="101" t="s">
        <v>46</v>
      </c>
      <c r="M642" s="24" t="s">
        <v>36</v>
      </c>
      <c r="N642" s="37">
        <v>78.5</v>
      </c>
      <c r="O642" s="37">
        <v>17.2</v>
      </c>
      <c r="P642" s="28">
        <f t="shared" si="111"/>
        <v>61.3</v>
      </c>
      <c r="Q642" s="29">
        <v>525</v>
      </c>
      <c r="R642" s="30">
        <f t="shared" ref="R642:R705" si="112">Q642*P642</f>
        <v>32182.5</v>
      </c>
      <c r="S642" s="29"/>
      <c r="T642" s="31"/>
      <c r="V642" s="31" t="s">
        <v>24</v>
      </c>
      <c r="W642" s="29">
        <v>145</v>
      </c>
      <c r="X642" s="32">
        <f t="shared" si="108"/>
        <v>8888.5</v>
      </c>
      <c r="Y642" s="33">
        <v>260</v>
      </c>
      <c r="Z642" s="31">
        <f t="shared" si="109"/>
        <v>15938</v>
      </c>
      <c r="AA642" s="31">
        <f t="shared" si="110"/>
        <v>57009</v>
      </c>
    </row>
    <row r="643" spans="1:27" s="38" customFormat="1" ht="15.75" x14ac:dyDescent="0.25">
      <c r="A643" s="51">
        <v>640</v>
      </c>
      <c r="B643" s="22">
        <v>46020</v>
      </c>
      <c r="C643" s="22">
        <v>46020</v>
      </c>
      <c r="D643" s="148">
        <v>251229029</v>
      </c>
      <c r="E643" s="24" t="s">
        <v>1305</v>
      </c>
      <c r="F643" s="24"/>
      <c r="G643" s="24"/>
      <c r="H643" s="25">
        <v>42</v>
      </c>
      <c r="I643" s="162" t="s">
        <v>52</v>
      </c>
      <c r="J643" s="180" t="s">
        <v>23</v>
      </c>
      <c r="K643" s="162" t="s">
        <v>32</v>
      </c>
      <c r="L643" s="101" t="s">
        <v>514</v>
      </c>
      <c r="M643" s="24" t="s">
        <v>37</v>
      </c>
      <c r="N643" s="37">
        <v>62.36</v>
      </c>
      <c r="O643" s="37">
        <v>15.34</v>
      </c>
      <c r="P643" s="28">
        <f t="shared" si="111"/>
        <v>47.019999999999996</v>
      </c>
      <c r="Q643" s="29">
        <v>495</v>
      </c>
      <c r="R643" s="30">
        <f t="shared" si="112"/>
        <v>23274.899999999998</v>
      </c>
      <c r="S643" s="29"/>
      <c r="T643" s="31"/>
      <c r="V643" s="31" t="s">
        <v>24</v>
      </c>
      <c r="W643" s="29">
        <v>145</v>
      </c>
      <c r="X643" s="32">
        <f t="shared" si="108"/>
        <v>6817.9</v>
      </c>
      <c r="Y643" s="33">
        <v>260</v>
      </c>
      <c r="Z643" s="31">
        <f t="shared" si="109"/>
        <v>12225.199999999999</v>
      </c>
      <c r="AA643" s="31">
        <f t="shared" si="110"/>
        <v>42317.999999999993</v>
      </c>
    </row>
    <row r="644" spans="1:27" s="34" customFormat="1" ht="15.75" x14ac:dyDescent="0.25">
      <c r="A644" s="51">
        <v>641</v>
      </c>
      <c r="B644" s="22">
        <v>46020</v>
      </c>
      <c r="C644" s="22">
        <v>46020</v>
      </c>
      <c r="D644" s="148">
        <v>251229030</v>
      </c>
      <c r="E644" s="24" t="s">
        <v>1306</v>
      </c>
      <c r="F644" s="24"/>
      <c r="G644" s="24"/>
      <c r="H644" s="25">
        <v>42</v>
      </c>
      <c r="I644" s="162" t="s">
        <v>52</v>
      </c>
      <c r="J644" s="180" t="s">
        <v>23</v>
      </c>
      <c r="K644" s="162" t="s">
        <v>32</v>
      </c>
      <c r="L644" s="101" t="s">
        <v>41</v>
      </c>
      <c r="M644" s="24" t="s">
        <v>37</v>
      </c>
      <c r="N644" s="37">
        <v>49.3</v>
      </c>
      <c r="O644" s="37">
        <v>11.68</v>
      </c>
      <c r="P644" s="28">
        <f t="shared" si="111"/>
        <v>37.619999999999997</v>
      </c>
      <c r="Q644" s="29">
        <v>495</v>
      </c>
      <c r="R644" s="30">
        <f t="shared" si="112"/>
        <v>18621.899999999998</v>
      </c>
      <c r="S644" s="29"/>
      <c r="T644" s="31"/>
      <c r="V644" s="31" t="s">
        <v>24</v>
      </c>
      <c r="W644" s="29">
        <v>145</v>
      </c>
      <c r="X644" s="32">
        <f t="shared" si="108"/>
        <v>5454.9</v>
      </c>
      <c r="Y644" s="33">
        <v>260</v>
      </c>
      <c r="Z644" s="31">
        <f t="shared" si="109"/>
        <v>9781.1999999999989</v>
      </c>
      <c r="AA644" s="31">
        <f t="shared" si="110"/>
        <v>33857.999999999993</v>
      </c>
    </row>
    <row r="645" spans="1:27" s="34" customFormat="1" ht="15.75" x14ac:dyDescent="0.25">
      <c r="A645" s="51">
        <v>642</v>
      </c>
      <c r="B645" s="22">
        <v>46020</v>
      </c>
      <c r="C645" s="22">
        <v>46020</v>
      </c>
      <c r="D645" s="148">
        <v>251229031</v>
      </c>
      <c r="E645" s="24" t="s">
        <v>1307</v>
      </c>
      <c r="F645" s="24"/>
      <c r="G645" s="24"/>
      <c r="H645" s="25">
        <v>42</v>
      </c>
      <c r="I645" s="162" t="s">
        <v>52</v>
      </c>
      <c r="J645" s="180" t="s">
        <v>23</v>
      </c>
      <c r="K645" s="162" t="s">
        <v>32</v>
      </c>
      <c r="L645" s="101" t="s">
        <v>54</v>
      </c>
      <c r="M645" s="24" t="s">
        <v>37</v>
      </c>
      <c r="N645" s="37">
        <v>63.44</v>
      </c>
      <c r="O645" s="37">
        <v>14.9</v>
      </c>
      <c r="P645" s="28">
        <f t="shared" si="111"/>
        <v>48.54</v>
      </c>
      <c r="Q645" s="29">
        <v>495</v>
      </c>
      <c r="R645" s="30">
        <f t="shared" si="112"/>
        <v>24027.3</v>
      </c>
      <c r="S645" s="29"/>
      <c r="T645" s="31"/>
      <c r="V645" s="31" t="s">
        <v>24</v>
      </c>
      <c r="W645" s="29">
        <v>145</v>
      </c>
      <c r="X645" s="32">
        <f t="shared" si="108"/>
        <v>7038.3</v>
      </c>
      <c r="Y645" s="33">
        <v>260</v>
      </c>
      <c r="Z645" s="31">
        <f t="shared" si="109"/>
        <v>12620.4</v>
      </c>
      <c r="AA645" s="31">
        <f t="shared" si="110"/>
        <v>43686</v>
      </c>
    </row>
    <row r="646" spans="1:27" s="34" customFormat="1" ht="15.75" x14ac:dyDescent="0.25">
      <c r="A646" s="51">
        <v>643</v>
      </c>
      <c r="B646" s="22">
        <v>46020</v>
      </c>
      <c r="C646" s="22">
        <v>46020</v>
      </c>
      <c r="D646" s="148" t="s">
        <v>1308</v>
      </c>
      <c r="E646" s="24"/>
      <c r="F646" s="24"/>
      <c r="G646" s="24"/>
      <c r="H646" s="181"/>
      <c r="I646" s="43" t="s">
        <v>48</v>
      </c>
      <c r="J646" s="147" t="s">
        <v>23</v>
      </c>
      <c r="K646" s="171" t="s">
        <v>32</v>
      </c>
      <c r="L646" s="101" t="s">
        <v>60</v>
      </c>
      <c r="M646" s="24" t="s">
        <v>49</v>
      </c>
      <c r="N646" s="37">
        <v>26.18</v>
      </c>
      <c r="O646" s="37">
        <v>14.9</v>
      </c>
      <c r="P646" s="28">
        <f t="shared" si="111"/>
        <v>11.28</v>
      </c>
      <c r="Q646" s="29">
        <v>0</v>
      </c>
      <c r="R646" s="30">
        <f t="shared" si="112"/>
        <v>0</v>
      </c>
      <c r="S646" s="29"/>
      <c r="T646" s="31"/>
      <c r="V646" s="31" t="s">
        <v>24</v>
      </c>
      <c r="W646" s="29"/>
      <c r="X646" s="32">
        <f t="shared" si="108"/>
        <v>0</v>
      </c>
      <c r="Y646" s="33"/>
      <c r="Z646" s="31">
        <f t="shared" si="109"/>
        <v>0</v>
      </c>
      <c r="AA646" s="31">
        <f t="shared" si="110"/>
        <v>0</v>
      </c>
    </row>
    <row r="647" spans="1:27" s="38" customFormat="1" ht="15.75" x14ac:dyDescent="0.25">
      <c r="A647" s="51">
        <v>644</v>
      </c>
      <c r="B647" s="22">
        <v>46020</v>
      </c>
      <c r="C647" s="22">
        <v>46020</v>
      </c>
      <c r="D647" s="148" t="s">
        <v>1309</v>
      </c>
      <c r="E647" s="24"/>
      <c r="F647" s="24"/>
      <c r="G647" s="24"/>
      <c r="H647" s="181"/>
      <c r="I647" s="43" t="s">
        <v>48</v>
      </c>
      <c r="J647" s="147" t="s">
        <v>23</v>
      </c>
      <c r="K647" s="171" t="s">
        <v>32</v>
      </c>
      <c r="L647" s="101" t="s">
        <v>51</v>
      </c>
      <c r="M647" s="24" t="s">
        <v>49</v>
      </c>
      <c r="N647" s="37">
        <v>26.26</v>
      </c>
      <c r="O647" s="37">
        <v>14.88</v>
      </c>
      <c r="P647" s="28">
        <f t="shared" si="111"/>
        <v>11.38</v>
      </c>
      <c r="Q647" s="29">
        <v>0</v>
      </c>
      <c r="R647" s="30">
        <f t="shared" si="112"/>
        <v>0</v>
      </c>
      <c r="S647" s="29"/>
      <c r="T647" s="31"/>
      <c r="V647" s="31" t="s">
        <v>24</v>
      </c>
      <c r="W647" s="29"/>
      <c r="X647" s="32">
        <f t="shared" si="108"/>
        <v>0</v>
      </c>
      <c r="Y647" s="33"/>
      <c r="Z647" s="31">
        <f t="shared" si="109"/>
        <v>0</v>
      </c>
      <c r="AA647" s="31">
        <f t="shared" si="110"/>
        <v>0</v>
      </c>
    </row>
    <row r="648" spans="1:27" s="38" customFormat="1" ht="15.75" x14ac:dyDescent="0.25">
      <c r="A648" s="51">
        <v>645</v>
      </c>
      <c r="B648" s="22">
        <v>46020</v>
      </c>
      <c r="C648" s="22">
        <v>46020</v>
      </c>
      <c r="D648" s="182">
        <v>251229032</v>
      </c>
      <c r="E648" s="24" t="s">
        <v>1310</v>
      </c>
      <c r="F648" s="24"/>
      <c r="G648" s="24"/>
      <c r="H648" s="25">
        <v>42</v>
      </c>
      <c r="I648" s="162" t="s">
        <v>52</v>
      </c>
      <c r="J648" s="180" t="s">
        <v>23</v>
      </c>
      <c r="K648" s="162" t="s">
        <v>32</v>
      </c>
      <c r="L648" s="101" t="s">
        <v>54</v>
      </c>
      <c r="M648" s="24" t="s">
        <v>37</v>
      </c>
      <c r="N648" s="37">
        <v>61.98</v>
      </c>
      <c r="O648" s="37">
        <v>14.9</v>
      </c>
      <c r="P648" s="28">
        <f t="shared" si="111"/>
        <v>47.08</v>
      </c>
      <c r="Q648" s="29">
        <v>495</v>
      </c>
      <c r="R648" s="30">
        <f t="shared" si="112"/>
        <v>23304.6</v>
      </c>
      <c r="S648" s="29"/>
      <c r="T648" s="31"/>
      <c r="V648" s="31" t="s">
        <v>24</v>
      </c>
      <c r="W648" s="29">
        <v>145</v>
      </c>
      <c r="X648" s="32">
        <f t="shared" si="108"/>
        <v>6826.5999999999995</v>
      </c>
      <c r="Y648" s="33">
        <v>260</v>
      </c>
      <c r="Z648" s="31">
        <f t="shared" si="109"/>
        <v>12240.8</v>
      </c>
      <c r="AA648" s="31">
        <f t="shared" si="110"/>
        <v>42372</v>
      </c>
    </row>
    <row r="649" spans="1:27" s="34" customFormat="1" ht="15.75" x14ac:dyDescent="0.25">
      <c r="A649" s="51">
        <v>646</v>
      </c>
      <c r="B649" s="22">
        <v>46020</v>
      </c>
      <c r="C649" s="22">
        <v>46020</v>
      </c>
      <c r="D649" s="148">
        <v>251229033</v>
      </c>
      <c r="E649" s="24" t="s">
        <v>1311</v>
      </c>
      <c r="F649" s="24"/>
      <c r="G649" s="24"/>
      <c r="H649" s="25">
        <v>42</v>
      </c>
      <c r="I649" s="162" t="s">
        <v>52</v>
      </c>
      <c r="J649" s="180" t="s">
        <v>23</v>
      </c>
      <c r="K649" s="162" t="s">
        <v>32</v>
      </c>
      <c r="L649" s="101" t="s">
        <v>423</v>
      </c>
      <c r="M649" s="24" t="s">
        <v>36</v>
      </c>
      <c r="N649" s="37">
        <v>50.78</v>
      </c>
      <c r="O649" s="37">
        <v>12.7</v>
      </c>
      <c r="P649" s="28">
        <f t="shared" si="111"/>
        <v>38.08</v>
      </c>
      <c r="Q649" s="29">
        <v>525</v>
      </c>
      <c r="R649" s="30">
        <f t="shared" si="112"/>
        <v>19992</v>
      </c>
      <c r="S649" s="29"/>
      <c r="T649" s="31"/>
      <c r="V649" s="31" t="s">
        <v>24</v>
      </c>
      <c r="W649" s="29">
        <v>145</v>
      </c>
      <c r="X649" s="32">
        <f t="shared" si="108"/>
        <v>5521.5999999999995</v>
      </c>
      <c r="Y649" s="33">
        <v>260</v>
      </c>
      <c r="Z649" s="31">
        <f t="shared" si="109"/>
        <v>9900.7999999999993</v>
      </c>
      <c r="AA649" s="31">
        <f t="shared" si="110"/>
        <v>35414.399999999994</v>
      </c>
    </row>
    <row r="650" spans="1:27" s="34" customFormat="1" ht="15.75" x14ac:dyDescent="0.25">
      <c r="A650" s="51">
        <v>647</v>
      </c>
      <c r="B650" s="22">
        <v>46020</v>
      </c>
      <c r="C650" s="22">
        <v>46020</v>
      </c>
      <c r="D650" s="148">
        <v>251229034</v>
      </c>
      <c r="E650" s="24" t="s">
        <v>1312</v>
      </c>
      <c r="F650" s="24"/>
      <c r="G650" s="24"/>
      <c r="H650" s="25">
        <v>42</v>
      </c>
      <c r="I650" s="162" t="s">
        <v>52</v>
      </c>
      <c r="J650" s="180" t="s">
        <v>23</v>
      </c>
      <c r="K650" s="162" t="s">
        <v>32</v>
      </c>
      <c r="L650" s="101" t="s">
        <v>286</v>
      </c>
      <c r="M650" s="24" t="s">
        <v>37</v>
      </c>
      <c r="N650" s="37">
        <v>49.78</v>
      </c>
      <c r="O650" s="37">
        <v>11.48</v>
      </c>
      <c r="P650" s="28">
        <f t="shared" si="111"/>
        <v>38.299999999999997</v>
      </c>
      <c r="Q650" s="29">
        <v>495</v>
      </c>
      <c r="R650" s="30">
        <f t="shared" si="112"/>
        <v>18958.5</v>
      </c>
      <c r="S650" s="29"/>
      <c r="T650" s="31"/>
      <c r="V650" s="31" t="s">
        <v>24</v>
      </c>
      <c r="W650" s="29">
        <v>145</v>
      </c>
      <c r="X650" s="32">
        <f t="shared" si="108"/>
        <v>5553.5</v>
      </c>
      <c r="Y650" s="33">
        <v>260</v>
      </c>
      <c r="Z650" s="31">
        <f t="shared" si="109"/>
        <v>9958</v>
      </c>
      <c r="AA650" s="31">
        <f t="shared" si="110"/>
        <v>34470</v>
      </c>
    </row>
    <row r="651" spans="1:27" s="34" customFormat="1" ht="15.75" x14ac:dyDescent="0.25">
      <c r="A651" s="51">
        <v>648</v>
      </c>
      <c r="B651" s="22">
        <v>46020</v>
      </c>
      <c r="C651" s="22">
        <v>46020</v>
      </c>
      <c r="D651" s="148">
        <v>251229035</v>
      </c>
      <c r="E651" s="24" t="s">
        <v>1313</v>
      </c>
      <c r="F651" s="24"/>
      <c r="G651" s="24"/>
      <c r="H651" s="25">
        <v>42</v>
      </c>
      <c r="I651" s="162" t="s">
        <v>52</v>
      </c>
      <c r="J651" s="180" t="s">
        <v>23</v>
      </c>
      <c r="K651" s="162" t="s">
        <v>32</v>
      </c>
      <c r="L651" s="101" t="s">
        <v>40</v>
      </c>
      <c r="M651" s="24" t="s">
        <v>37</v>
      </c>
      <c r="N651" s="37">
        <v>63.38</v>
      </c>
      <c r="O651" s="37">
        <v>14.98</v>
      </c>
      <c r="P651" s="28">
        <f t="shared" si="111"/>
        <v>48.400000000000006</v>
      </c>
      <c r="Q651" s="29">
        <v>495</v>
      </c>
      <c r="R651" s="30">
        <f t="shared" si="112"/>
        <v>23958.000000000004</v>
      </c>
      <c r="S651" s="29"/>
      <c r="T651" s="31"/>
      <c r="V651" s="31" t="s">
        <v>24</v>
      </c>
      <c r="W651" s="29">
        <v>145</v>
      </c>
      <c r="X651" s="32">
        <f t="shared" si="108"/>
        <v>7018.0000000000009</v>
      </c>
      <c r="Y651" s="33">
        <v>260</v>
      </c>
      <c r="Z651" s="31">
        <f t="shared" si="109"/>
        <v>12584.000000000002</v>
      </c>
      <c r="AA651" s="31">
        <f t="shared" si="110"/>
        <v>43560.000000000007</v>
      </c>
    </row>
    <row r="652" spans="1:27" s="34" customFormat="1" ht="15.75" x14ac:dyDescent="0.25">
      <c r="A652" s="51">
        <v>649</v>
      </c>
      <c r="B652" s="22">
        <v>46020</v>
      </c>
      <c r="C652" s="22">
        <v>46020</v>
      </c>
      <c r="D652" s="148">
        <v>251229036</v>
      </c>
      <c r="E652" s="24" t="s">
        <v>1314</v>
      </c>
      <c r="F652" s="24"/>
      <c r="G652" s="24"/>
      <c r="H652" s="25">
        <v>42</v>
      </c>
      <c r="I652" s="162" t="s">
        <v>52</v>
      </c>
      <c r="J652" s="180" t="s">
        <v>23</v>
      </c>
      <c r="K652" s="162" t="s">
        <v>32</v>
      </c>
      <c r="L652" s="101" t="s">
        <v>39</v>
      </c>
      <c r="M652" s="24" t="s">
        <v>37</v>
      </c>
      <c r="N652" s="37">
        <v>66.599999999999994</v>
      </c>
      <c r="O652" s="37">
        <v>15.78</v>
      </c>
      <c r="P652" s="28">
        <f t="shared" si="111"/>
        <v>50.819999999999993</v>
      </c>
      <c r="Q652" s="29">
        <v>495</v>
      </c>
      <c r="R652" s="30">
        <f t="shared" si="112"/>
        <v>25155.899999999998</v>
      </c>
      <c r="S652" s="29"/>
      <c r="T652" s="31"/>
      <c r="V652" s="31" t="s">
        <v>24</v>
      </c>
      <c r="W652" s="29">
        <v>145</v>
      </c>
      <c r="X652" s="32">
        <f t="shared" si="108"/>
        <v>7368.8999999999987</v>
      </c>
      <c r="Y652" s="33">
        <v>260</v>
      </c>
      <c r="Z652" s="31">
        <f t="shared" si="109"/>
        <v>13213.199999999999</v>
      </c>
      <c r="AA652" s="31">
        <f t="shared" si="110"/>
        <v>45737.999999999993</v>
      </c>
    </row>
    <row r="653" spans="1:27" s="38" customFormat="1" ht="15.75" x14ac:dyDescent="0.25">
      <c r="A653" s="51">
        <v>650</v>
      </c>
      <c r="B653" s="22">
        <v>46020</v>
      </c>
      <c r="C653" s="22">
        <v>46020</v>
      </c>
      <c r="D653" s="148">
        <v>251229037</v>
      </c>
      <c r="E653" s="24" t="s">
        <v>1315</v>
      </c>
      <c r="F653" s="24"/>
      <c r="G653" s="24"/>
      <c r="H653" s="25">
        <v>42</v>
      </c>
      <c r="I653" s="162" t="s">
        <v>52</v>
      </c>
      <c r="J653" s="180" t="s">
        <v>23</v>
      </c>
      <c r="K653" s="162" t="s">
        <v>32</v>
      </c>
      <c r="L653" s="101" t="s">
        <v>1133</v>
      </c>
      <c r="M653" s="24" t="s">
        <v>34</v>
      </c>
      <c r="N653" s="37">
        <v>66.540000000000006</v>
      </c>
      <c r="O653" s="37">
        <v>15.52</v>
      </c>
      <c r="P653" s="28">
        <f t="shared" si="111"/>
        <v>51.02000000000001</v>
      </c>
      <c r="Q653" s="29">
        <v>285</v>
      </c>
      <c r="R653" s="30">
        <f t="shared" si="112"/>
        <v>14540.700000000003</v>
      </c>
      <c r="S653" s="29"/>
      <c r="T653" s="31"/>
      <c r="V653" s="31" t="s">
        <v>24</v>
      </c>
      <c r="W653" s="29">
        <v>145</v>
      </c>
      <c r="X653" s="32">
        <f t="shared" si="108"/>
        <v>7397.9000000000015</v>
      </c>
      <c r="Y653" s="33">
        <v>260</v>
      </c>
      <c r="Z653" s="31">
        <f t="shared" si="109"/>
        <v>13265.200000000003</v>
      </c>
      <c r="AA653" s="31">
        <f t="shared" si="110"/>
        <v>35203.80000000001</v>
      </c>
    </row>
    <row r="654" spans="1:27" s="34" customFormat="1" ht="15.75" x14ac:dyDescent="0.25">
      <c r="A654" s="51">
        <v>651</v>
      </c>
      <c r="B654" s="22">
        <v>46020</v>
      </c>
      <c r="C654" s="22">
        <v>46020</v>
      </c>
      <c r="D654" s="148">
        <v>251229038</v>
      </c>
      <c r="E654" s="24" t="s">
        <v>1316</v>
      </c>
      <c r="F654" s="24"/>
      <c r="G654" s="24"/>
      <c r="H654" s="25">
        <v>42</v>
      </c>
      <c r="I654" s="162" t="s">
        <v>52</v>
      </c>
      <c r="J654" s="180" t="s">
        <v>23</v>
      </c>
      <c r="K654" s="162" t="s">
        <v>32</v>
      </c>
      <c r="L654" s="101" t="s">
        <v>418</v>
      </c>
      <c r="M654" s="24" t="s">
        <v>37</v>
      </c>
      <c r="N654" s="37">
        <v>70.22</v>
      </c>
      <c r="O654" s="37">
        <v>18.02</v>
      </c>
      <c r="P654" s="28">
        <f t="shared" si="111"/>
        <v>52.2</v>
      </c>
      <c r="Q654" s="29">
        <v>495</v>
      </c>
      <c r="R654" s="30">
        <f t="shared" si="112"/>
        <v>25839</v>
      </c>
      <c r="S654" s="29"/>
      <c r="T654" s="31"/>
      <c r="V654" s="31" t="s">
        <v>24</v>
      </c>
      <c r="W654" s="29">
        <v>145</v>
      </c>
      <c r="X654" s="32">
        <f t="shared" si="108"/>
        <v>7569</v>
      </c>
      <c r="Y654" s="33">
        <v>260</v>
      </c>
      <c r="Z654" s="31">
        <f t="shared" si="109"/>
        <v>13572</v>
      </c>
      <c r="AA654" s="31">
        <f t="shared" si="110"/>
        <v>46980</v>
      </c>
    </row>
    <row r="655" spans="1:27" s="34" customFormat="1" ht="15.75" x14ac:dyDescent="0.25">
      <c r="A655" s="51">
        <v>652</v>
      </c>
      <c r="B655" s="22">
        <v>46020</v>
      </c>
      <c r="C655" s="22">
        <v>46020</v>
      </c>
      <c r="D655" s="148">
        <v>251229039</v>
      </c>
      <c r="E655" s="24" t="s">
        <v>1317</v>
      </c>
      <c r="F655" s="24"/>
      <c r="G655" s="24"/>
      <c r="H655" s="25">
        <v>42</v>
      </c>
      <c r="I655" s="162" t="s">
        <v>52</v>
      </c>
      <c r="J655" s="180" t="s">
        <v>23</v>
      </c>
      <c r="K655" s="162" t="s">
        <v>32</v>
      </c>
      <c r="L655" s="101" t="s">
        <v>467</v>
      </c>
      <c r="M655" s="24" t="s">
        <v>36</v>
      </c>
      <c r="N655" s="37">
        <v>64.239999999999995</v>
      </c>
      <c r="O655" s="37">
        <v>16.260000000000002</v>
      </c>
      <c r="P655" s="28">
        <f t="shared" si="111"/>
        <v>47.97999999999999</v>
      </c>
      <c r="Q655" s="29">
        <v>525</v>
      </c>
      <c r="R655" s="30">
        <f t="shared" si="112"/>
        <v>25189.499999999996</v>
      </c>
      <c r="S655" s="29"/>
      <c r="T655" s="31"/>
      <c r="V655" s="31" t="s">
        <v>24</v>
      </c>
      <c r="W655" s="29">
        <v>145</v>
      </c>
      <c r="X655" s="32">
        <f t="shared" si="108"/>
        <v>6957.0999999999985</v>
      </c>
      <c r="Y655" s="33">
        <v>260</v>
      </c>
      <c r="Z655" s="31">
        <f t="shared" si="109"/>
        <v>12474.799999999997</v>
      </c>
      <c r="AA655" s="31">
        <f t="shared" si="110"/>
        <v>44621.399999999994</v>
      </c>
    </row>
    <row r="656" spans="1:27" s="38" customFormat="1" ht="15.75" x14ac:dyDescent="0.25">
      <c r="A656" s="51">
        <v>653</v>
      </c>
      <c r="B656" s="22">
        <v>46020</v>
      </c>
      <c r="C656" s="22">
        <v>46020</v>
      </c>
      <c r="D656" s="148">
        <v>251229040</v>
      </c>
      <c r="E656" s="24" t="s">
        <v>1318</v>
      </c>
      <c r="F656" s="24"/>
      <c r="G656" s="24"/>
      <c r="H656" s="25">
        <v>42</v>
      </c>
      <c r="I656" s="162" t="s">
        <v>52</v>
      </c>
      <c r="J656" s="180" t="s">
        <v>23</v>
      </c>
      <c r="K656" s="162" t="s">
        <v>32</v>
      </c>
      <c r="L656" s="101" t="s">
        <v>75</v>
      </c>
      <c r="M656" s="24" t="s">
        <v>36</v>
      </c>
      <c r="N656" s="37">
        <v>64.819999999999993</v>
      </c>
      <c r="O656" s="37">
        <v>16.62</v>
      </c>
      <c r="P656" s="28">
        <f t="shared" si="111"/>
        <v>48.199999999999989</v>
      </c>
      <c r="Q656" s="29">
        <v>525</v>
      </c>
      <c r="R656" s="30">
        <f t="shared" si="112"/>
        <v>25304.999999999993</v>
      </c>
      <c r="S656" s="24"/>
      <c r="T656" s="31"/>
      <c r="V656" s="31" t="s">
        <v>24</v>
      </c>
      <c r="W656" s="29">
        <v>145</v>
      </c>
      <c r="X656" s="32">
        <f t="shared" si="108"/>
        <v>6988.9999999999982</v>
      </c>
      <c r="Y656" s="33">
        <v>260</v>
      </c>
      <c r="Z656" s="31">
        <f t="shared" si="109"/>
        <v>12531.999999999996</v>
      </c>
      <c r="AA656" s="31">
        <f t="shared" si="110"/>
        <v>44825.999999999985</v>
      </c>
    </row>
    <row r="657" spans="1:27" s="38" customFormat="1" ht="15.75" x14ac:dyDescent="0.25">
      <c r="A657" s="51">
        <v>654</v>
      </c>
      <c r="B657" s="22">
        <v>46020</v>
      </c>
      <c r="C657" s="22">
        <v>46020</v>
      </c>
      <c r="D657" s="148">
        <v>251229041</v>
      </c>
      <c r="E657" s="24" t="s">
        <v>1319</v>
      </c>
      <c r="F657" s="24"/>
      <c r="G657" s="24"/>
      <c r="H657" s="25">
        <v>42</v>
      </c>
      <c r="I657" s="162" t="s">
        <v>52</v>
      </c>
      <c r="J657" s="180" t="s">
        <v>23</v>
      </c>
      <c r="K657" s="162" t="s">
        <v>32</v>
      </c>
      <c r="L657" s="101" t="s">
        <v>61</v>
      </c>
      <c r="M657" s="24" t="s">
        <v>36</v>
      </c>
      <c r="N657" s="37">
        <v>60.62</v>
      </c>
      <c r="O657" s="37">
        <v>15.68</v>
      </c>
      <c r="P657" s="28">
        <f t="shared" si="111"/>
        <v>44.94</v>
      </c>
      <c r="Q657" s="29">
        <v>525</v>
      </c>
      <c r="R657" s="30">
        <f t="shared" si="112"/>
        <v>23593.5</v>
      </c>
      <c r="S657" s="24"/>
      <c r="T657" s="31"/>
      <c r="V657" s="31" t="s">
        <v>24</v>
      </c>
      <c r="W657" s="29">
        <v>145</v>
      </c>
      <c r="X657" s="32">
        <f t="shared" si="108"/>
        <v>6516.2999999999993</v>
      </c>
      <c r="Y657" s="33">
        <v>260</v>
      </c>
      <c r="Z657" s="31">
        <f t="shared" si="109"/>
        <v>11684.4</v>
      </c>
      <c r="AA657" s="31">
        <f t="shared" si="110"/>
        <v>41794.199999999997</v>
      </c>
    </row>
    <row r="658" spans="1:27" s="38" customFormat="1" ht="15.75" x14ac:dyDescent="0.25">
      <c r="A658" s="51">
        <v>655</v>
      </c>
      <c r="B658" s="22">
        <v>46020</v>
      </c>
      <c r="C658" s="22">
        <v>46020</v>
      </c>
      <c r="D658" s="148">
        <v>251229042</v>
      </c>
      <c r="E658" s="24" t="s">
        <v>1320</v>
      </c>
      <c r="F658" s="24"/>
      <c r="G658" s="24"/>
      <c r="H658" s="25">
        <v>42</v>
      </c>
      <c r="I658" s="162" t="s">
        <v>52</v>
      </c>
      <c r="J658" s="180" t="s">
        <v>23</v>
      </c>
      <c r="K658" s="162" t="s">
        <v>32</v>
      </c>
      <c r="L658" s="101" t="s">
        <v>222</v>
      </c>
      <c r="M658" s="24" t="s">
        <v>36</v>
      </c>
      <c r="N658" s="37">
        <v>60.84</v>
      </c>
      <c r="O658" s="37">
        <v>15.54</v>
      </c>
      <c r="P658" s="28">
        <f t="shared" si="111"/>
        <v>45.300000000000004</v>
      </c>
      <c r="Q658" s="29">
        <v>525</v>
      </c>
      <c r="R658" s="30">
        <f t="shared" si="112"/>
        <v>23782.500000000004</v>
      </c>
      <c r="S658" s="24"/>
      <c r="T658" s="31"/>
      <c r="V658" s="31" t="s">
        <v>24</v>
      </c>
      <c r="W658" s="29">
        <v>145</v>
      </c>
      <c r="X658" s="32">
        <f t="shared" si="108"/>
        <v>6568.5000000000009</v>
      </c>
      <c r="Y658" s="33">
        <v>260</v>
      </c>
      <c r="Z658" s="31">
        <f t="shared" si="109"/>
        <v>11778.000000000002</v>
      </c>
      <c r="AA658" s="31">
        <f t="shared" si="110"/>
        <v>42129.000000000007</v>
      </c>
    </row>
    <row r="659" spans="1:27" s="38" customFormat="1" ht="15.75" x14ac:dyDescent="0.25">
      <c r="A659" s="51">
        <v>656</v>
      </c>
      <c r="B659" s="22">
        <v>46020</v>
      </c>
      <c r="C659" s="22">
        <v>46020</v>
      </c>
      <c r="D659" s="148">
        <v>251229043</v>
      </c>
      <c r="E659" s="24" t="s">
        <v>1321</v>
      </c>
      <c r="F659" s="24"/>
      <c r="G659" s="24"/>
      <c r="H659" s="25">
        <v>42</v>
      </c>
      <c r="I659" s="162" t="s">
        <v>52</v>
      </c>
      <c r="J659" s="180" t="s">
        <v>23</v>
      </c>
      <c r="K659" s="162" t="s">
        <v>32</v>
      </c>
      <c r="L659" s="108" t="s">
        <v>1158</v>
      </c>
      <c r="M659" s="24" t="s">
        <v>34</v>
      </c>
      <c r="N659" s="37">
        <v>56.6</v>
      </c>
      <c r="O659" s="37">
        <v>15.1</v>
      </c>
      <c r="P659" s="28">
        <f t="shared" si="111"/>
        <v>41.5</v>
      </c>
      <c r="Q659" s="29">
        <v>285</v>
      </c>
      <c r="R659" s="30">
        <f t="shared" si="112"/>
        <v>11827.5</v>
      </c>
      <c r="S659" s="24"/>
      <c r="T659" s="31"/>
      <c r="V659" s="31" t="s">
        <v>24</v>
      </c>
      <c r="W659" s="29">
        <v>145</v>
      </c>
      <c r="X659" s="32">
        <f t="shared" si="108"/>
        <v>6017.5</v>
      </c>
      <c r="Y659" s="33">
        <v>260</v>
      </c>
      <c r="Z659" s="31">
        <f t="shared" si="109"/>
        <v>10790</v>
      </c>
      <c r="AA659" s="31">
        <f t="shared" si="110"/>
        <v>28635</v>
      </c>
    </row>
    <row r="660" spans="1:27" s="38" customFormat="1" ht="15.75" x14ac:dyDescent="0.25">
      <c r="A660" s="51">
        <v>657</v>
      </c>
      <c r="B660" s="22">
        <v>46020</v>
      </c>
      <c r="C660" s="22">
        <v>46020</v>
      </c>
      <c r="D660" s="101">
        <v>251229044</v>
      </c>
      <c r="E660" s="24" t="s">
        <v>1322</v>
      </c>
      <c r="F660" s="24"/>
      <c r="G660" s="24"/>
      <c r="H660" s="25">
        <v>42</v>
      </c>
      <c r="I660" s="162" t="s">
        <v>52</v>
      </c>
      <c r="J660" s="180" t="s">
        <v>23</v>
      </c>
      <c r="K660" s="162" t="s">
        <v>32</v>
      </c>
      <c r="L660" s="101" t="s">
        <v>585</v>
      </c>
      <c r="M660" s="24" t="s">
        <v>34</v>
      </c>
      <c r="N660" s="37">
        <v>59.46</v>
      </c>
      <c r="O660" s="24">
        <v>14.86</v>
      </c>
      <c r="P660" s="28">
        <f t="shared" si="111"/>
        <v>44.6</v>
      </c>
      <c r="Q660" s="29">
        <v>285</v>
      </c>
      <c r="R660" s="30">
        <f t="shared" si="112"/>
        <v>12711</v>
      </c>
      <c r="S660" s="24"/>
      <c r="T660" s="31"/>
      <c r="V660" s="31" t="s">
        <v>24</v>
      </c>
      <c r="W660" s="29">
        <v>145</v>
      </c>
      <c r="X660" s="32">
        <f t="shared" si="108"/>
        <v>6467</v>
      </c>
      <c r="Y660" s="33">
        <v>260</v>
      </c>
      <c r="Z660" s="31">
        <f t="shared" si="109"/>
        <v>11596</v>
      </c>
      <c r="AA660" s="31">
        <f t="shared" si="110"/>
        <v>30774</v>
      </c>
    </row>
    <row r="661" spans="1:27" s="38" customFormat="1" ht="15.75" x14ac:dyDescent="0.25">
      <c r="A661" s="51">
        <v>658</v>
      </c>
      <c r="B661" s="22">
        <v>46020</v>
      </c>
      <c r="C661" s="22">
        <v>46020</v>
      </c>
      <c r="D661" s="101">
        <v>251229045</v>
      </c>
      <c r="E661" s="24" t="s">
        <v>1323</v>
      </c>
      <c r="F661" s="24"/>
      <c r="G661" s="24"/>
      <c r="H661" s="25">
        <v>42</v>
      </c>
      <c r="I661" s="162" t="s">
        <v>52</v>
      </c>
      <c r="J661" s="180" t="s">
        <v>23</v>
      </c>
      <c r="K661" s="162" t="s">
        <v>32</v>
      </c>
      <c r="L661" s="101" t="s">
        <v>41</v>
      </c>
      <c r="M661" s="24" t="s">
        <v>37</v>
      </c>
      <c r="N661" s="37">
        <v>50.48</v>
      </c>
      <c r="O661" s="37">
        <v>11.78</v>
      </c>
      <c r="P661" s="28">
        <f t="shared" si="111"/>
        <v>38.699999999999996</v>
      </c>
      <c r="Q661" s="29">
        <v>495</v>
      </c>
      <c r="R661" s="30">
        <f t="shared" si="112"/>
        <v>19156.499999999996</v>
      </c>
      <c r="S661" s="24"/>
      <c r="T661" s="31"/>
      <c r="V661" s="31" t="s">
        <v>24</v>
      </c>
      <c r="W661" s="29">
        <v>145</v>
      </c>
      <c r="X661" s="32">
        <f t="shared" si="108"/>
        <v>5611.4999999999991</v>
      </c>
      <c r="Y661" s="33">
        <v>260</v>
      </c>
      <c r="Z661" s="31">
        <f t="shared" si="109"/>
        <v>10061.999999999998</v>
      </c>
      <c r="AA661" s="31">
        <f t="shared" si="110"/>
        <v>34829.999999999993</v>
      </c>
    </row>
    <row r="662" spans="1:27" s="34" customFormat="1" ht="15.75" x14ac:dyDescent="0.25">
      <c r="A662" s="51">
        <v>659</v>
      </c>
      <c r="B662" s="22">
        <v>46020</v>
      </c>
      <c r="C662" s="22">
        <v>46020</v>
      </c>
      <c r="D662" s="101">
        <v>251229046</v>
      </c>
      <c r="E662" s="24" t="s">
        <v>1324</v>
      </c>
      <c r="F662" s="24"/>
      <c r="G662" s="24"/>
      <c r="H662" s="25">
        <v>42</v>
      </c>
      <c r="I662" s="162" t="s">
        <v>52</v>
      </c>
      <c r="J662" s="180" t="s">
        <v>23</v>
      </c>
      <c r="K662" s="162" t="s">
        <v>32</v>
      </c>
      <c r="L662" s="24" t="s">
        <v>46</v>
      </c>
      <c r="M662" s="24" t="s">
        <v>36</v>
      </c>
      <c r="N662" s="37">
        <v>76.78</v>
      </c>
      <c r="O662" s="37">
        <v>17.2</v>
      </c>
      <c r="P662" s="28">
        <f t="shared" si="111"/>
        <v>59.58</v>
      </c>
      <c r="Q662" s="29">
        <v>525</v>
      </c>
      <c r="R662" s="30">
        <f t="shared" si="112"/>
        <v>31279.5</v>
      </c>
      <c r="S662" s="29"/>
      <c r="T662" s="31"/>
      <c r="V662" s="31" t="s">
        <v>24</v>
      </c>
      <c r="W662" s="29">
        <v>145</v>
      </c>
      <c r="X662" s="32">
        <f t="shared" ref="X662:X684" si="113">W662*P662</f>
        <v>8639.1</v>
      </c>
      <c r="Y662" s="33">
        <v>260</v>
      </c>
      <c r="Z662" s="31">
        <f t="shared" ref="Z662:Z684" si="114">Y662*P662</f>
        <v>15490.8</v>
      </c>
      <c r="AA662" s="31">
        <f t="shared" ref="AA662:AA688" si="115">R662+X662+Z662</f>
        <v>55409.399999999994</v>
      </c>
    </row>
    <row r="663" spans="1:27" s="34" customFormat="1" ht="15.75" x14ac:dyDescent="0.25">
      <c r="A663" s="51">
        <v>660</v>
      </c>
      <c r="B663" s="22">
        <v>46020</v>
      </c>
      <c r="C663" s="22">
        <v>46020</v>
      </c>
      <c r="D663" s="101">
        <v>251229047</v>
      </c>
      <c r="E663" s="24" t="s">
        <v>1325</v>
      </c>
      <c r="F663" s="24"/>
      <c r="G663" s="24"/>
      <c r="H663" s="25">
        <v>42</v>
      </c>
      <c r="I663" s="162" t="s">
        <v>52</v>
      </c>
      <c r="J663" s="180" t="s">
        <v>23</v>
      </c>
      <c r="K663" s="162" t="s">
        <v>32</v>
      </c>
      <c r="L663" s="101" t="s">
        <v>1326</v>
      </c>
      <c r="M663" s="24" t="s">
        <v>37</v>
      </c>
      <c r="N663" s="37">
        <v>60.52</v>
      </c>
      <c r="O663" s="37">
        <v>15.52</v>
      </c>
      <c r="P663" s="28">
        <f t="shared" si="111"/>
        <v>45</v>
      </c>
      <c r="Q663" s="29">
        <v>495</v>
      </c>
      <c r="R663" s="30">
        <f t="shared" si="112"/>
        <v>22275</v>
      </c>
      <c r="S663" s="29"/>
      <c r="T663" s="31"/>
      <c r="V663" s="31" t="s">
        <v>24</v>
      </c>
      <c r="W663" s="29">
        <v>145</v>
      </c>
      <c r="X663" s="32">
        <f t="shared" si="113"/>
        <v>6525</v>
      </c>
      <c r="Y663" s="33">
        <v>260</v>
      </c>
      <c r="Z663" s="31">
        <f t="shared" si="114"/>
        <v>11700</v>
      </c>
      <c r="AA663" s="31">
        <f t="shared" si="115"/>
        <v>40500</v>
      </c>
    </row>
    <row r="664" spans="1:27" s="38" customFormat="1" ht="15.75" x14ac:dyDescent="0.25">
      <c r="A664" s="51">
        <v>661</v>
      </c>
      <c r="B664" s="22">
        <v>46020</v>
      </c>
      <c r="C664" s="22">
        <v>46020</v>
      </c>
      <c r="D664" s="101" t="s">
        <v>1327</v>
      </c>
      <c r="E664" s="24"/>
      <c r="F664" s="24"/>
      <c r="G664" s="24"/>
      <c r="H664" s="181"/>
      <c r="I664" s="43" t="s">
        <v>48</v>
      </c>
      <c r="J664" s="180" t="s">
        <v>23</v>
      </c>
      <c r="K664" s="162" t="s">
        <v>32</v>
      </c>
      <c r="L664" s="101" t="s">
        <v>132</v>
      </c>
      <c r="M664" s="24" t="s">
        <v>49</v>
      </c>
      <c r="N664" s="37">
        <v>28.2</v>
      </c>
      <c r="O664" s="37">
        <v>14.22</v>
      </c>
      <c r="P664" s="28">
        <f t="shared" si="111"/>
        <v>13.979999999999999</v>
      </c>
      <c r="Q664" s="29">
        <v>0</v>
      </c>
      <c r="R664" s="30">
        <f t="shared" si="112"/>
        <v>0</v>
      </c>
      <c r="S664" s="29"/>
      <c r="T664" s="31"/>
      <c r="V664" s="31" t="s">
        <v>24</v>
      </c>
      <c r="W664" s="29"/>
      <c r="X664" s="32">
        <f t="shared" si="113"/>
        <v>0</v>
      </c>
      <c r="Y664" s="33"/>
      <c r="Z664" s="33">
        <f t="shared" si="114"/>
        <v>0</v>
      </c>
      <c r="AA664" s="31">
        <f t="shared" si="115"/>
        <v>0</v>
      </c>
    </row>
    <row r="665" spans="1:27" s="34" customFormat="1" ht="15.75" x14ac:dyDescent="0.25">
      <c r="A665" s="51">
        <v>662</v>
      </c>
      <c r="B665" s="22">
        <v>46020</v>
      </c>
      <c r="C665" s="22">
        <v>46020</v>
      </c>
      <c r="D665" s="148" t="s">
        <v>1328</v>
      </c>
      <c r="E665" s="24"/>
      <c r="F665" s="24"/>
      <c r="G665" s="24"/>
      <c r="H665" s="181"/>
      <c r="I665" s="43" t="s">
        <v>48</v>
      </c>
      <c r="J665" s="180" t="s">
        <v>23</v>
      </c>
      <c r="K665" s="162" t="s">
        <v>32</v>
      </c>
      <c r="L665" s="101" t="s">
        <v>253</v>
      </c>
      <c r="M665" s="24" t="s">
        <v>49</v>
      </c>
      <c r="N665" s="37">
        <v>28.54</v>
      </c>
      <c r="O665" s="37">
        <v>14.18</v>
      </c>
      <c r="P665" s="28">
        <f t="shared" si="111"/>
        <v>14.36</v>
      </c>
      <c r="Q665" s="29">
        <v>0</v>
      </c>
      <c r="R665" s="30">
        <f t="shared" si="112"/>
        <v>0</v>
      </c>
      <c r="S665" s="29"/>
      <c r="T665" s="31"/>
      <c r="V665" s="31" t="s">
        <v>24</v>
      </c>
      <c r="W665" s="29"/>
      <c r="X665" s="32">
        <f t="shared" si="113"/>
        <v>0</v>
      </c>
      <c r="Y665" s="33"/>
      <c r="Z665" s="33">
        <f t="shared" si="114"/>
        <v>0</v>
      </c>
      <c r="AA665" s="31">
        <f t="shared" si="115"/>
        <v>0</v>
      </c>
    </row>
    <row r="666" spans="1:27" s="38" customFormat="1" ht="15.75" x14ac:dyDescent="0.25">
      <c r="A666" s="51">
        <v>663</v>
      </c>
      <c r="B666" s="22">
        <v>46020</v>
      </c>
      <c r="C666" s="22">
        <v>46020</v>
      </c>
      <c r="D666" s="101" t="s">
        <v>1329</v>
      </c>
      <c r="E666" s="24"/>
      <c r="F666" s="24"/>
      <c r="G666" s="24"/>
      <c r="H666" s="46">
        <v>83</v>
      </c>
      <c r="I666" s="43" t="s">
        <v>1330</v>
      </c>
      <c r="J666" s="183" t="s">
        <v>23</v>
      </c>
      <c r="K666" s="171" t="s">
        <v>30</v>
      </c>
      <c r="L666" s="101" t="s">
        <v>1331</v>
      </c>
      <c r="M666" s="24" t="s">
        <v>306</v>
      </c>
      <c r="N666" s="24">
        <v>15.83</v>
      </c>
      <c r="O666" s="37">
        <v>7.52</v>
      </c>
      <c r="P666" s="28">
        <f t="shared" si="111"/>
        <v>8.31</v>
      </c>
      <c r="Q666" s="29">
        <v>450</v>
      </c>
      <c r="R666" s="30">
        <f t="shared" si="112"/>
        <v>3739.5</v>
      </c>
      <c r="S666" s="24">
        <v>3740</v>
      </c>
      <c r="T666" s="31"/>
      <c r="V666" s="31" t="s">
        <v>1332</v>
      </c>
      <c r="W666" s="29"/>
      <c r="X666" s="32">
        <f t="shared" si="113"/>
        <v>0</v>
      </c>
      <c r="Y666" s="33"/>
      <c r="Z666" s="31">
        <f t="shared" si="114"/>
        <v>0</v>
      </c>
      <c r="AA666" s="31">
        <f t="shared" si="115"/>
        <v>3739.5</v>
      </c>
    </row>
    <row r="667" spans="1:27" s="34" customFormat="1" ht="15.75" x14ac:dyDescent="0.25">
      <c r="A667" s="51">
        <v>664</v>
      </c>
      <c r="B667" s="22">
        <v>46020</v>
      </c>
      <c r="C667" s="22">
        <v>46020</v>
      </c>
      <c r="D667" s="101" t="s">
        <v>1333</v>
      </c>
      <c r="E667" s="24"/>
      <c r="F667" s="24"/>
      <c r="G667" s="24"/>
      <c r="H667" s="46">
        <v>241</v>
      </c>
      <c r="I667" s="43" t="s">
        <v>1334</v>
      </c>
      <c r="J667" s="147" t="s">
        <v>23</v>
      </c>
      <c r="K667" s="162" t="s">
        <v>32</v>
      </c>
      <c r="L667" s="101" t="s">
        <v>396</v>
      </c>
      <c r="M667" s="24" t="s">
        <v>36</v>
      </c>
      <c r="N667" s="24">
        <v>19.48</v>
      </c>
      <c r="O667" s="37">
        <v>7.3</v>
      </c>
      <c r="P667" s="28">
        <f t="shared" si="111"/>
        <v>12.18</v>
      </c>
      <c r="Q667" s="29">
        <v>530</v>
      </c>
      <c r="R667" s="30">
        <f t="shared" si="112"/>
        <v>6455.4</v>
      </c>
      <c r="S667" s="29"/>
      <c r="T667" s="31"/>
      <c r="V667" s="31" t="s">
        <v>1332</v>
      </c>
      <c r="W667" s="29"/>
      <c r="X667" s="32">
        <f t="shared" si="113"/>
        <v>0</v>
      </c>
      <c r="Y667" s="33"/>
      <c r="Z667" s="31">
        <f t="shared" si="114"/>
        <v>0</v>
      </c>
      <c r="AA667" s="31">
        <f t="shared" si="115"/>
        <v>6455.4</v>
      </c>
    </row>
    <row r="668" spans="1:27" s="34" customFormat="1" ht="15.75" x14ac:dyDescent="0.25">
      <c r="A668" s="51">
        <v>665</v>
      </c>
      <c r="B668" s="22">
        <v>46020</v>
      </c>
      <c r="C668" s="22">
        <v>46020</v>
      </c>
      <c r="D668" s="101" t="s">
        <v>1335</v>
      </c>
      <c r="E668" s="24"/>
      <c r="F668" s="24"/>
      <c r="G668" s="24"/>
      <c r="H668" s="46">
        <v>235</v>
      </c>
      <c r="I668" s="43" t="s">
        <v>1336</v>
      </c>
      <c r="J668" s="147" t="s">
        <v>23</v>
      </c>
      <c r="K668" s="162" t="s">
        <v>32</v>
      </c>
      <c r="L668" s="101" t="s">
        <v>514</v>
      </c>
      <c r="M668" s="24" t="s">
        <v>31</v>
      </c>
      <c r="N668" s="24">
        <v>60.98</v>
      </c>
      <c r="O668" s="37">
        <v>15.38</v>
      </c>
      <c r="P668" s="28">
        <f t="shared" si="111"/>
        <v>45.599999999999994</v>
      </c>
      <c r="Q668" s="29">
        <v>130</v>
      </c>
      <c r="R668" s="30">
        <f t="shared" si="112"/>
        <v>5927.9999999999991</v>
      </c>
      <c r="S668" s="29"/>
      <c r="T668" s="31"/>
      <c r="V668" s="31" t="s">
        <v>1332</v>
      </c>
      <c r="W668" s="29"/>
      <c r="X668" s="32">
        <f t="shared" si="113"/>
        <v>0</v>
      </c>
      <c r="Y668" s="33"/>
      <c r="Z668" s="31">
        <f t="shared" si="114"/>
        <v>0</v>
      </c>
      <c r="AA668" s="31">
        <f t="shared" si="115"/>
        <v>5927.9999999999991</v>
      </c>
    </row>
    <row r="669" spans="1:27" s="34" customFormat="1" ht="15.75" x14ac:dyDescent="0.25">
      <c r="A669" s="51">
        <v>666</v>
      </c>
      <c r="B669" s="22">
        <v>46020</v>
      </c>
      <c r="C669" s="22">
        <v>46021</v>
      </c>
      <c r="D669" s="101">
        <v>251230001</v>
      </c>
      <c r="E669" s="24" t="s">
        <v>1337</v>
      </c>
      <c r="F669" s="24"/>
      <c r="G669" s="24"/>
      <c r="H669" s="25">
        <v>42</v>
      </c>
      <c r="I669" s="162" t="s">
        <v>52</v>
      </c>
      <c r="J669" s="180" t="s">
        <v>23</v>
      </c>
      <c r="K669" s="162" t="s">
        <v>32</v>
      </c>
      <c r="L669" s="101" t="s">
        <v>42</v>
      </c>
      <c r="M669" s="24" t="s">
        <v>37</v>
      </c>
      <c r="N669" s="24">
        <v>49.56</v>
      </c>
      <c r="O669" s="37">
        <v>11.34</v>
      </c>
      <c r="P669" s="28">
        <f t="shared" si="111"/>
        <v>38.22</v>
      </c>
      <c r="Q669" s="29">
        <v>495</v>
      </c>
      <c r="R669" s="30">
        <f t="shared" si="112"/>
        <v>18918.899999999998</v>
      </c>
      <c r="S669" s="29"/>
      <c r="T669" s="31"/>
      <c r="V669" s="31" t="s">
        <v>24</v>
      </c>
      <c r="W669" s="29">
        <v>145</v>
      </c>
      <c r="X669" s="32">
        <f t="shared" si="113"/>
        <v>5541.9</v>
      </c>
      <c r="Y669" s="33">
        <v>260</v>
      </c>
      <c r="Z669" s="33">
        <f t="shared" si="114"/>
        <v>9937.1999999999989</v>
      </c>
      <c r="AA669" s="31">
        <f t="shared" si="115"/>
        <v>34397.999999999993</v>
      </c>
    </row>
    <row r="670" spans="1:27" s="34" customFormat="1" ht="15.75" x14ac:dyDescent="0.25">
      <c r="A670" s="51">
        <v>667</v>
      </c>
      <c r="B670" s="22">
        <v>46020</v>
      </c>
      <c r="C670" s="22">
        <v>46021</v>
      </c>
      <c r="D670" s="101">
        <v>251230002</v>
      </c>
      <c r="E670" s="24" t="s">
        <v>1338</v>
      </c>
      <c r="F670" s="24"/>
      <c r="G670" s="24"/>
      <c r="H670" s="25">
        <v>42</v>
      </c>
      <c r="I670" s="162" t="s">
        <v>52</v>
      </c>
      <c r="J670" s="180" t="s">
        <v>23</v>
      </c>
      <c r="K670" s="162" t="s">
        <v>32</v>
      </c>
      <c r="L670" s="101" t="s">
        <v>44</v>
      </c>
      <c r="M670" s="24" t="s">
        <v>37</v>
      </c>
      <c r="N670" s="37">
        <v>51.16</v>
      </c>
      <c r="O670" s="24">
        <v>11.74</v>
      </c>
      <c r="P670" s="28">
        <f t="shared" si="111"/>
        <v>39.419999999999995</v>
      </c>
      <c r="Q670" s="29">
        <v>495</v>
      </c>
      <c r="R670" s="30">
        <f t="shared" si="112"/>
        <v>19512.899999999998</v>
      </c>
      <c r="S670" s="29"/>
      <c r="T670" s="31"/>
      <c r="V670" s="31" t="s">
        <v>24</v>
      </c>
      <c r="W670" s="29">
        <v>145</v>
      </c>
      <c r="X670" s="32">
        <f t="shared" si="113"/>
        <v>5715.9</v>
      </c>
      <c r="Y670" s="33">
        <v>260</v>
      </c>
      <c r="Z670" s="33">
        <f t="shared" si="114"/>
        <v>10249.199999999999</v>
      </c>
      <c r="AA670" s="31">
        <f t="shared" si="115"/>
        <v>35477.999999999993</v>
      </c>
    </row>
    <row r="671" spans="1:27" s="34" customFormat="1" ht="15.75" x14ac:dyDescent="0.25">
      <c r="A671" s="51">
        <v>668</v>
      </c>
      <c r="B671" s="22">
        <v>46020</v>
      </c>
      <c r="C671" s="22">
        <v>46021</v>
      </c>
      <c r="D671" s="101">
        <v>251230003</v>
      </c>
      <c r="E671" s="24" t="s">
        <v>1339</v>
      </c>
      <c r="F671" s="24"/>
      <c r="G671" s="24"/>
      <c r="H671" s="25">
        <v>42</v>
      </c>
      <c r="I671" s="162" t="s">
        <v>52</v>
      </c>
      <c r="J671" s="180" t="s">
        <v>23</v>
      </c>
      <c r="K671" s="162" t="s">
        <v>32</v>
      </c>
      <c r="L671" s="24" t="s">
        <v>43</v>
      </c>
      <c r="M671" s="24" t="s">
        <v>37</v>
      </c>
      <c r="N671" s="37">
        <v>66.78</v>
      </c>
      <c r="O671" s="37">
        <v>15.68</v>
      </c>
      <c r="P671" s="28">
        <f t="shared" si="111"/>
        <v>51.1</v>
      </c>
      <c r="Q671" s="29">
        <v>495</v>
      </c>
      <c r="R671" s="30">
        <f t="shared" si="112"/>
        <v>25294.5</v>
      </c>
      <c r="S671" s="29"/>
      <c r="T671" s="31"/>
      <c r="V671" s="31" t="s">
        <v>24</v>
      </c>
      <c r="W671" s="29">
        <v>145</v>
      </c>
      <c r="X671" s="32">
        <f t="shared" si="113"/>
        <v>7409.5</v>
      </c>
      <c r="Y671" s="33">
        <v>260</v>
      </c>
      <c r="Z671" s="33">
        <f t="shared" si="114"/>
        <v>13286</v>
      </c>
      <c r="AA671" s="31">
        <f t="shared" si="115"/>
        <v>45990</v>
      </c>
    </row>
    <row r="672" spans="1:27" s="38" customFormat="1" ht="15.75" x14ac:dyDescent="0.25">
      <c r="A672" s="51">
        <v>669</v>
      </c>
      <c r="B672" s="22">
        <v>46020</v>
      </c>
      <c r="C672" s="22">
        <v>46021</v>
      </c>
      <c r="D672" s="101">
        <v>251230004</v>
      </c>
      <c r="E672" s="24" t="s">
        <v>1340</v>
      </c>
      <c r="F672" s="24"/>
      <c r="G672" s="24"/>
      <c r="H672" s="25">
        <v>42</v>
      </c>
      <c r="I672" s="162" t="s">
        <v>52</v>
      </c>
      <c r="J672" s="180" t="s">
        <v>23</v>
      </c>
      <c r="K672" s="162" t="s">
        <v>32</v>
      </c>
      <c r="L672" s="24" t="s">
        <v>444</v>
      </c>
      <c r="M672" s="24" t="s">
        <v>36</v>
      </c>
      <c r="N672" s="37">
        <v>59.56</v>
      </c>
      <c r="O672" s="37">
        <v>15.7</v>
      </c>
      <c r="P672" s="28">
        <f t="shared" si="111"/>
        <v>43.86</v>
      </c>
      <c r="Q672" s="29">
        <v>525</v>
      </c>
      <c r="R672" s="30">
        <f t="shared" si="112"/>
        <v>23026.5</v>
      </c>
      <c r="S672" s="29"/>
      <c r="T672" s="31"/>
      <c r="V672" s="31" t="s">
        <v>24</v>
      </c>
      <c r="W672" s="29">
        <v>145</v>
      </c>
      <c r="X672" s="32">
        <f t="shared" si="113"/>
        <v>6359.7</v>
      </c>
      <c r="Y672" s="33">
        <v>260</v>
      </c>
      <c r="Z672" s="33">
        <f t="shared" si="114"/>
        <v>11403.6</v>
      </c>
      <c r="AA672" s="31">
        <f t="shared" si="115"/>
        <v>40789.800000000003</v>
      </c>
    </row>
    <row r="673" spans="1:27" s="34" customFormat="1" ht="15.75" x14ac:dyDescent="0.25">
      <c r="A673" s="51">
        <v>670</v>
      </c>
      <c r="B673" s="22">
        <v>46020</v>
      </c>
      <c r="C673" s="22">
        <v>46021</v>
      </c>
      <c r="D673" s="101">
        <v>251230005</v>
      </c>
      <c r="E673" s="24" t="s">
        <v>1341</v>
      </c>
      <c r="F673" s="24"/>
      <c r="G673" s="24"/>
      <c r="H673" s="25">
        <v>42</v>
      </c>
      <c r="I673" s="162" t="s">
        <v>52</v>
      </c>
      <c r="J673" s="180" t="s">
        <v>23</v>
      </c>
      <c r="K673" s="162" t="s">
        <v>32</v>
      </c>
      <c r="L673" s="24" t="s">
        <v>426</v>
      </c>
      <c r="M673" s="24" t="s">
        <v>36</v>
      </c>
      <c r="N673" s="37">
        <v>63.84</v>
      </c>
      <c r="O673" s="37">
        <v>19.02</v>
      </c>
      <c r="P673" s="28">
        <f t="shared" si="111"/>
        <v>44.820000000000007</v>
      </c>
      <c r="Q673" s="29">
        <v>525</v>
      </c>
      <c r="R673" s="30">
        <f t="shared" si="112"/>
        <v>23530.500000000004</v>
      </c>
      <c r="S673" s="29"/>
      <c r="T673" s="31"/>
      <c r="V673" s="31" t="s">
        <v>24</v>
      </c>
      <c r="W673" s="29">
        <v>145</v>
      </c>
      <c r="X673" s="32">
        <f t="shared" si="113"/>
        <v>6498.9000000000015</v>
      </c>
      <c r="Y673" s="33">
        <v>260</v>
      </c>
      <c r="Z673" s="33">
        <f t="shared" si="114"/>
        <v>11653.200000000003</v>
      </c>
      <c r="AA673" s="31">
        <f t="shared" si="115"/>
        <v>41682.600000000006</v>
      </c>
    </row>
    <row r="674" spans="1:27" s="34" customFormat="1" ht="15.75" x14ac:dyDescent="0.25">
      <c r="A674" s="51">
        <v>671</v>
      </c>
      <c r="B674" s="22">
        <v>46020</v>
      </c>
      <c r="C674" s="22">
        <v>46021</v>
      </c>
      <c r="D674" s="101" t="s">
        <v>1342</v>
      </c>
      <c r="E674" s="24"/>
      <c r="F674" s="24"/>
      <c r="G674" s="24"/>
      <c r="H674" s="46">
        <v>241</v>
      </c>
      <c r="I674" s="43" t="s">
        <v>1334</v>
      </c>
      <c r="J674" s="147" t="s">
        <v>23</v>
      </c>
      <c r="K674" s="162" t="s">
        <v>32</v>
      </c>
      <c r="L674" s="101" t="s">
        <v>396</v>
      </c>
      <c r="M674" s="24" t="s">
        <v>36</v>
      </c>
      <c r="N674" s="24">
        <v>19.579999999999998</v>
      </c>
      <c r="O674" s="37">
        <v>7.3</v>
      </c>
      <c r="P674" s="28">
        <f t="shared" si="111"/>
        <v>12.279999999999998</v>
      </c>
      <c r="Q674" s="29">
        <v>530</v>
      </c>
      <c r="R674" s="30">
        <f t="shared" si="112"/>
        <v>6508.3999999999987</v>
      </c>
      <c r="S674" s="29"/>
      <c r="T674" s="31"/>
      <c r="V674" s="31" t="s">
        <v>24</v>
      </c>
      <c r="W674" s="29"/>
      <c r="X674" s="32">
        <f t="shared" si="113"/>
        <v>0</v>
      </c>
      <c r="Y674" s="33"/>
      <c r="Z674" s="33">
        <f t="shared" si="114"/>
        <v>0</v>
      </c>
      <c r="AA674" s="31">
        <f t="shared" si="115"/>
        <v>6508.3999999999987</v>
      </c>
    </row>
    <row r="675" spans="1:27" s="34" customFormat="1" ht="15.75" x14ac:dyDescent="0.25">
      <c r="A675" s="51">
        <v>672</v>
      </c>
      <c r="B675" s="22">
        <v>46020</v>
      </c>
      <c r="C675" s="22">
        <v>46021</v>
      </c>
      <c r="D675" s="101">
        <v>251230006</v>
      </c>
      <c r="E675" s="24" t="s">
        <v>1343</v>
      </c>
      <c r="F675" s="24"/>
      <c r="G675" s="24"/>
      <c r="H675" s="25">
        <v>42</v>
      </c>
      <c r="I675" s="162" t="s">
        <v>52</v>
      </c>
      <c r="J675" s="180" t="s">
        <v>23</v>
      </c>
      <c r="K675" s="162" t="s">
        <v>32</v>
      </c>
      <c r="L675" s="24" t="s">
        <v>39</v>
      </c>
      <c r="M675" s="24" t="s">
        <v>36</v>
      </c>
      <c r="N675" s="37">
        <v>60.4</v>
      </c>
      <c r="O675" s="24">
        <v>15.74</v>
      </c>
      <c r="P675" s="28">
        <f t="shared" si="111"/>
        <v>44.66</v>
      </c>
      <c r="Q675" s="29">
        <v>525</v>
      </c>
      <c r="R675" s="30">
        <f t="shared" si="112"/>
        <v>23446.5</v>
      </c>
      <c r="S675" s="29"/>
      <c r="T675" s="31"/>
      <c r="V675" s="31" t="s">
        <v>24</v>
      </c>
      <c r="W675" s="29">
        <v>145</v>
      </c>
      <c r="X675" s="32">
        <f t="shared" si="113"/>
        <v>6475.7</v>
      </c>
      <c r="Y675" s="33">
        <v>260</v>
      </c>
      <c r="Z675" s="33">
        <f t="shared" si="114"/>
        <v>11611.599999999999</v>
      </c>
      <c r="AA675" s="31">
        <f t="shared" si="115"/>
        <v>41533.800000000003</v>
      </c>
    </row>
    <row r="676" spans="1:27" s="34" customFormat="1" ht="15.75" x14ac:dyDescent="0.25">
      <c r="A676" s="51">
        <v>673</v>
      </c>
      <c r="B676" s="22">
        <v>46020</v>
      </c>
      <c r="C676" s="22">
        <v>46021</v>
      </c>
      <c r="D676" s="101">
        <v>251230007</v>
      </c>
      <c r="E676" s="24" t="s">
        <v>1344</v>
      </c>
      <c r="F676" s="24"/>
      <c r="G676" s="24"/>
      <c r="H676" s="35">
        <v>115</v>
      </c>
      <c r="I676" s="43" t="s">
        <v>35</v>
      </c>
      <c r="J676" s="147" t="s">
        <v>23</v>
      </c>
      <c r="K676" s="171" t="s">
        <v>32</v>
      </c>
      <c r="L676" s="24" t="s">
        <v>1345</v>
      </c>
      <c r="M676" s="24" t="s">
        <v>37</v>
      </c>
      <c r="N676" s="37">
        <v>67.900000000000006</v>
      </c>
      <c r="O676" s="24">
        <v>16.78</v>
      </c>
      <c r="P676" s="28">
        <f t="shared" si="111"/>
        <v>51.120000000000005</v>
      </c>
      <c r="Q676" s="29">
        <v>445</v>
      </c>
      <c r="R676" s="30">
        <f t="shared" si="112"/>
        <v>22748.400000000001</v>
      </c>
      <c r="S676" s="29"/>
      <c r="T676" s="31"/>
      <c r="V676" s="31" t="s">
        <v>24</v>
      </c>
      <c r="W676" s="29">
        <v>145</v>
      </c>
      <c r="X676" s="32">
        <f t="shared" si="113"/>
        <v>7412.4000000000005</v>
      </c>
      <c r="Y676" s="33">
        <v>260</v>
      </c>
      <c r="Z676" s="33">
        <f t="shared" si="114"/>
        <v>13291.2</v>
      </c>
      <c r="AA676" s="31">
        <f t="shared" si="115"/>
        <v>43452</v>
      </c>
    </row>
    <row r="677" spans="1:27" s="38" customFormat="1" ht="15.75" x14ac:dyDescent="0.25">
      <c r="A677" s="51">
        <v>674</v>
      </c>
      <c r="B677" s="22">
        <v>46020</v>
      </c>
      <c r="C677" s="22">
        <v>46021</v>
      </c>
      <c r="D677" s="101">
        <v>251230008</v>
      </c>
      <c r="E677" s="24" t="s">
        <v>1346</v>
      </c>
      <c r="F677" s="24"/>
      <c r="G677" s="24"/>
      <c r="H677" s="35">
        <v>115</v>
      </c>
      <c r="I677" s="43" t="s">
        <v>35</v>
      </c>
      <c r="J677" s="147" t="s">
        <v>23</v>
      </c>
      <c r="K677" s="171" t="s">
        <v>32</v>
      </c>
      <c r="L677" s="24" t="s">
        <v>40</v>
      </c>
      <c r="M677" s="24" t="s">
        <v>36</v>
      </c>
      <c r="N677" s="37">
        <v>61.2</v>
      </c>
      <c r="O677" s="37">
        <v>14.94</v>
      </c>
      <c r="P677" s="28">
        <f t="shared" si="111"/>
        <v>46.260000000000005</v>
      </c>
      <c r="Q677" s="29">
        <v>545</v>
      </c>
      <c r="R677" s="30">
        <f t="shared" si="112"/>
        <v>25211.700000000004</v>
      </c>
      <c r="S677" s="29"/>
      <c r="T677" s="31"/>
      <c r="V677" s="31" t="s">
        <v>24</v>
      </c>
      <c r="W677" s="29">
        <v>145</v>
      </c>
      <c r="X677" s="32">
        <f t="shared" si="113"/>
        <v>6707.7000000000007</v>
      </c>
      <c r="Y677" s="33">
        <v>260</v>
      </c>
      <c r="Z677" s="33">
        <f t="shared" si="114"/>
        <v>12027.600000000002</v>
      </c>
      <c r="AA677" s="31">
        <f t="shared" si="115"/>
        <v>43947.000000000007</v>
      </c>
    </row>
    <row r="678" spans="1:27" s="34" customFormat="1" ht="15.75" x14ac:dyDescent="0.25">
      <c r="A678" s="51">
        <v>675</v>
      </c>
      <c r="B678" s="22">
        <v>46020</v>
      </c>
      <c r="C678" s="22">
        <v>46021</v>
      </c>
      <c r="D678" s="101">
        <v>251230009</v>
      </c>
      <c r="E678" s="24" t="s">
        <v>1347</v>
      </c>
      <c r="F678" s="24"/>
      <c r="G678" s="24"/>
      <c r="H678" s="35">
        <v>115</v>
      </c>
      <c r="I678" s="43" t="s">
        <v>35</v>
      </c>
      <c r="J678" s="147" t="s">
        <v>23</v>
      </c>
      <c r="K678" s="171" t="s">
        <v>32</v>
      </c>
      <c r="L678" s="24" t="s">
        <v>418</v>
      </c>
      <c r="M678" s="24" t="s">
        <v>37</v>
      </c>
      <c r="N678" s="37">
        <v>68.66</v>
      </c>
      <c r="O678" s="24">
        <v>18.16</v>
      </c>
      <c r="P678" s="28">
        <f t="shared" si="111"/>
        <v>50.5</v>
      </c>
      <c r="Q678" s="29">
        <v>445</v>
      </c>
      <c r="R678" s="30">
        <f t="shared" si="112"/>
        <v>22472.5</v>
      </c>
      <c r="S678" s="29"/>
      <c r="T678" s="31"/>
      <c r="V678" s="31" t="s">
        <v>24</v>
      </c>
      <c r="W678" s="29">
        <v>145</v>
      </c>
      <c r="X678" s="32">
        <f t="shared" si="113"/>
        <v>7322.5</v>
      </c>
      <c r="Y678" s="33">
        <v>260</v>
      </c>
      <c r="Z678" s="33">
        <f t="shared" si="114"/>
        <v>13130</v>
      </c>
      <c r="AA678" s="31">
        <f t="shared" si="115"/>
        <v>42925</v>
      </c>
    </row>
    <row r="679" spans="1:27" s="38" customFormat="1" ht="15.75" x14ac:dyDescent="0.25">
      <c r="A679" s="51">
        <v>676</v>
      </c>
      <c r="B679" s="22">
        <v>46020</v>
      </c>
      <c r="C679" s="22">
        <v>46021</v>
      </c>
      <c r="D679" s="101">
        <v>251230010</v>
      </c>
      <c r="E679" s="24" t="s">
        <v>1348</v>
      </c>
      <c r="F679" s="24"/>
      <c r="G679" s="24"/>
      <c r="H679" s="35">
        <v>115</v>
      </c>
      <c r="I679" s="43" t="s">
        <v>35</v>
      </c>
      <c r="J679" s="147" t="s">
        <v>23</v>
      </c>
      <c r="K679" s="171" t="s">
        <v>32</v>
      </c>
      <c r="L679" s="179" t="s">
        <v>467</v>
      </c>
      <c r="M679" s="24" t="s">
        <v>36</v>
      </c>
      <c r="N679" s="37">
        <v>64.400000000000006</v>
      </c>
      <c r="O679" s="24">
        <v>16.28</v>
      </c>
      <c r="P679" s="28">
        <f t="shared" si="111"/>
        <v>48.120000000000005</v>
      </c>
      <c r="Q679" s="29">
        <v>545</v>
      </c>
      <c r="R679" s="30">
        <f t="shared" si="112"/>
        <v>26225.4</v>
      </c>
      <c r="S679" s="24"/>
      <c r="T679" s="31"/>
      <c r="V679" s="31" t="s">
        <v>24</v>
      </c>
      <c r="W679" s="29">
        <v>145</v>
      </c>
      <c r="X679" s="32">
        <f t="shared" si="113"/>
        <v>6977.4000000000005</v>
      </c>
      <c r="Y679" s="33">
        <v>260</v>
      </c>
      <c r="Z679" s="31">
        <f t="shared" si="114"/>
        <v>12511.2</v>
      </c>
      <c r="AA679" s="31">
        <f t="shared" si="115"/>
        <v>45714</v>
      </c>
    </row>
    <row r="680" spans="1:27" s="34" customFormat="1" ht="15.75" x14ac:dyDescent="0.25">
      <c r="A680" s="51">
        <v>677</v>
      </c>
      <c r="B680" s="22">
        <v>46020</v>
      </c>
      <c r="C680" s="22">
        <v>46021</v>
      </c>
      <c r="D680" s="101">
        <v>251230011</v>
      </c>
      <c r="E680" s="24" t="s">
        <v>1349</v>
      </c>
      <c r="F680" s="24"/>
      <c r="G680" s="24"/>
      <c r="H680" s="35">
        <v>115</v>
      </c>
      <c r="I680" s="43" t="s">
        <v>35</v>
      </c>
      <c r="J680" s="147" t="s">
        <v>23</v>
      </c>
      <c r="K680" s="171" t="s">
        <v>32</v>
      </c>
      <c r="L680" s="24" t="s">
        <v>286</v>
      </c>
      <c r="M680" s="24" t="s">
        <v>37</v>
      </c>
      <c r="N680" s="37">
        <v>51.28</v>
      </c>
      <c r="O680" s="24">
        <v>11.44</v>
      </c>
      <c r="P680" s="28">
        <f t="shared" si="111"/>
        <v>39.840000000000003</v>
      </c>
      <c r="Q680" s="29">
        <v>445</v>
      </c>
      <c r="R680" s="30">
        <f t="shared" si="112"/>
        <v>17728.800000000003</v>
      </c>
      <c r="S680" s="29"/>
      <c r="T680" s="31"/>
      <c r="V680" s="31" t="s">
        <v>24</v>
      </c>
      <c r="W680" s="29">
        <v>145</v>
      </c>
      <c r="X680" s="32">
        <f t="shared" si="113"/>
        <v>5776.8</v>
      </c>
      <c r="Y680" s="33">
        <v>260</v>
      </c>
      <c r="Z680" s="33">
        <f t="shared" si="114"/>
        <v>10358.400000000001</v>
      </c>
      <c r="AA680" s="31">
        <f t="shared" si="115"/>
        <v>33864</v>
      </c>
    </row>
    <row r="681" spans="1:27" s="34" customFormat="1" ht="15.75" x14ac:dyDescent="0.25">
      <c r="A681" s="51">
        <v>678</v>
      </c>
      <c r="B681" s="22">
        <v>46020</v>
      </c>
      <c r="C681" s="22">
        <v>46021</v>
      </c>
      <c r="D681" s="101">
        <v>251230012</v>
      </c>
      <c r="E681" s="24" t="s">
        <v>1350</v>
      </c>
      <c r="F681" s="24"/>
      <c r="G681" s="24"/>
      <c r="H681" s="25">
        <v>42</v>
      </c>
      <c r="I681" s="162" t="s">
        <v>52</v>
      </c>
      <c r="J681" s="180" t="s">
        <v>23</v>
      </c>
      <c r="K681" s="162" t="s">
        <v>32</v>
      </c>
      <c r="L681" s="24" t="s">
        <v>423</v>
      </c>
      <c r="M681" s="24" t="s">
        <v>36</v>
      </c>
      <c r="N681" s="24">
        <v>51.12</v>
      </c>
      <c r="O681" s="24">
        <v>12.66</v>
      </c>
      <c r="P681" s="28">
        <f t="shared" si="111"/>
        <v>38.459999999999994</v>
      </c>
      <c r="Q681" s="29">
        <v>525</v>
      </c>
      <c r="R681" s="30">
        <f t="shared" si="112"/>
        <v>20191.499999999996</v>
      </c>
      <c r="S681" s="29"/>
      <c r="T681" s="31"/>
      <c r="V681" s="31" t="s">
        <v>24</v>
      </c>
      <c r="W681" s="29">
        <v>145</v>
      </c>
      <c r="X681" s="32">
        <f t="shared" si="113"/>
        <v>5576.6999999999989</v>
      </c>
      <c r="Y681" s="33">
        <v>260</v>
      </c>
      <c r="Z681" s="33">
        <f t="shared" si="114"/>
        <v>9999.5999999999985</v>
      </c>
      <c r="AA681" s="31">
        <f t="shared" si="115"/>
        <v>35767.799999999996</v>
      </c>
    </row>
    <row r="682" spans="1:27" s="34" customFormat="1" ht="15.75" x14ac:dyDescent="0.25">
      <c r="A682" s="51">
        <v>679</v>
      </c>
      <c r="B682" s="22">
        <v>46020</v>
      </c>
      <c r="C682" s="22">
        <v>46021</v>
      </c>
      <c r="D682" s="101">
        <v>251230013</v>
      </c>
      <c r="E682" s="24" t="s">
        <v>1351</v>
      </c>
      <c r="F682" s="24"/>
      <c r="G682" s="24"/>
      <c r="H682" s="25">
        <v>42</v>
      </c>
      <c r="I682" s="162" t="s">
        <v>52</v>
      </c>
      <c r="J682" s="180" t="s">
        <v>23</v>
      </c>
      <c r="K682" s="162" t="s">
        <v>32</v>
      </c>
      <c r="L682" s="24" t="s">
        <v>514</v>
      </c>
      <c r="M682" s="24" t="s">
        <v>36</v>
      </c>
      <c r="N682" s="24">
        <v>62.34</v>
      </c>
      <c r="O682" s="24">
        <v>15.34</v>
      </c>
      <c r="P682" s="28">
        <f t="shared" si="111"/>
        <v>47</v>
      </c>
      <c r="Q682" s="29">
        <v>525</v>
      </c>
      <c r="R682" s="30">
        <f t="shared" si="112"/>
        <v>24675</v>
      </c>
      <c r="S682" s="29"/>
      <c r="T682" s="31"/>
      <c r="V682" s="31" t="s">
        <v>24</v>
      </c>
      <c r="W682" s="29">
        <v>145</v>
      </c>
      <c r="X682" s="32">
        <f t="shared" si="113"/>
        <v>6815</v>
      </c>
      <c r="Y682" s="33">
        <v>260</v>
      </c>
      <c r="Z682" s="33">
        <f t="shared" si="114"/>
        <v>12220</v>
      </c>
      <c r="AA682" s="31">
        <f t="shared" si="115"/>
        <v>43710</v>
      </c>
    </row>
    <row r="683" spans="1:27" s="34" customFormat="1" ht="15.75" x14ac:dyDescent="0.25">
      <c r="A683" s="51">
        <v>680</v>
      </c>
      <c r="B683" s="22">
        <v>46020</v>
      </c>
      <c r="C683" s="22">
        <v>46021</v>
      </c>
      <c r="D683" s="101">
        <v>251230014</v>
      </c>
      <c r="E683" s="24" t="s">
        <v>1352</v>
      </c>
      <c r="F683" s="24"/>
      <c r="G683" s="24"/>
      <c r="H683" s="35">
        <v>115</v>
      </c>
      <c r="I683" s="43" t="s">
        <v>35</v>
      </c>
      <c r="J683" s="147" t="s">
        <v>23</v>
      </c>
      <c r="K683" s="171" t="s">
        <v>32</v>
      </c>
      <c r="L683" s="24" t="s">
        <v>1133</v>
      </c>
      <c r="M683" s="24" t="s">
        <v>37</v>
      </c>
      <c r="N683" s="24">
        <v>67.34</v>
      </c>
      <c r="O683" s="24">
        <v>15.46</v>
      </c>
      <c r="P683" s="28">
        <f t="shared" si="111"/>
        <v>51.88</v>
      </c>
      <c r="Q683" s="29">
        <v>445</v>
      </c>
      <c r="R683" s="30">
        <f t="shared" si="112"/>
        <v>23086.600000000002</v>
      </c>
      <c r="S683" s="29"/>
      <c r="T683" s="31"/>
      <c r="V683" s="31" t="s">
        <v>24</v>
      </c>
      <c r="W683" s="29">
        <v>145</v>
      </c>
      <c r="X683" s="175">
        <f t="shared" si="113"/>
        <v>7522.6</v>
      </c>
      <c r="Y683" s="33">
        <v>260</v>
      </c>
      <c r="Z683" s="31">
        <f t="shared" si="114"/>
        <v>13488.800000000001</v>
      </c>
      <c r="AA683" s="31">
        <f t="shared" si="115"/>
        <v>44098.000000000007</v>
      </c>
    </row>
    <row r="684" spans="1:27" s="34" customFormat="1" ht="15.75" x14ac:dyDescent="0.25">
      <c r="A684" s="51">
        <v>681</v>
      </c>
      <c r="B684" s="22">
        <v>46020</v>
      </c>
      <c r="C684" s="22">
        <v>46021</v>
      </c>
      <c r="D684" s="101">
        <v>251230016</v>
      </c>
      <c r="E684" s="24" t="s">
        <v>1353</v>
      </c>
      <c r="F684" s="24"/>
      <c r="G684" s="24"/>
      <c r="H684" s="25">
        <v>42</v>
      </c>
      <c r="I684" s="162" t="s">
        <v>52</v>
      </c>
      <c r="J684" s="180" t="s">
        <v>23</v>
      </c>
      <c r="K684" s="162" t="s">
        <v>32</v>
      </c>
      <c r="L684" s="24" t="s">
        <v>1354</v>
      </c>
      <c r="M684" s="24" t="s">
        <v>37</v>
      </c>
      <c r="N684" s="24">
        <v>50.36</v>
      </c>
      <c r="O684" s="24">
        <v>11.64</v>
      </c>
      <c r="P684" s="28">
        <f t="shared" si="111"/>
        <v>38.72</v>
      </c>
      <c r="Q684" s="29">
        <v>495</v>
      </c>
      <c r="R684" s="30">
        <f t="shared" si="112"/>
        <v>19166.399999999998</v>
      </c>
      <c r="S684" s="29"/>
      <c r="T684" s="31"/>
      <c r="V684" s="31" t="s">
        <v>24</v>
      </c>
      <c r="W684" s="29">
        <v>145</v>
      </c>
      <c r="X684" s="32">
        <f t="shared" si="113"/>
        <v>5614.4</v>
      </c>
      <c r="Y684" s="33">
        <v>260</v>
      </c>
      <c r="Z684" s="33">
        <f t="shared" si="114"/>
        <v>10067.199999999999</v>
      </c>
      <c r="AA684" s="31">
        <f t="shared" si="115"/>
        <v>34847.999999999993</v>
      </c>
    </row>
    <row r="685" spans="1:27" s="34" customFormat="1" ht="15.75" x14ac:dyDescent="0.25">
      <c r="A685" s="51">
        <v>682</v>
      </c>
      <c r="B685" s="22">
        <v>46020</v>
      </c>
      <c r="C685" s="22">
        <v>46021</v>
      </c>
      <c r="D685" s="29">
        <v>251230015</v>
      </c>
      <c r="E685" s="24" t="s">
        <v>1355</v>
      </c>
      <c r="F685" s="29"/>
      <c r="G685" s="29"/>
      <c r="H685" s="35">
        <v>115</v>
      </c>
      <c r="I685" s="43" t="s">
        <v>35</v>
      </c>
      <c r="J685" s="147" t="s">
        <v>23</v>
      </c>
      <c r="K685" s="171" t="s">
        <v>32</v>
      </c>
      <c r="L685" s="29" t="s">
        <v>1169</v>
      </c>
      <c r="M685" s="29" t="s">
        <v>36</v>
      </c>
      <c r="N685" s="29">
        <v>58.96</v>
      </c>
      <c r="O685" s="184">
        <v>15</v>
      </c>
      <c r="P685" s="28">
        <f t="shared" si="111"/>
        <v>43.96</v>
      </c>
      <c r="Q685" s="29">
        <v>545</v>
      </c>
      <c r="R685" s="30">
        <f t="shared" si="112"/>
        <v>23958.2</v>
      </c>
      <c r="S685" s="29"/>
      <c r="T685" s="31"/>
      <c r="V685" s="31" t="s">
        <v>24</v>
      </c>
      <c r="W685" s="29">
        <v>145</v>
      </c>
      <c r="X685" s="32">
        <f>P685*W685</f>
        <v>6374.2</v>
      </c>
      <c r="Y685" s="33">
        <v>260</v>
      </c>
      <c r="Z685" s="33">
        <f>P685*Y685</f>
        <v>11429.6</v>
      </c>
      <c r="AA685" s="31">
        <f t="shared" si="115"/>
        <v>41762</v>
      </c>
    </row>
    <row r="686" spans="1:27" s="34" customFormat="1" ht="15.75" x14ac:dyDescent="0.25">
      <c r="A686" s="51">
        <v>683</v>
      </c>
      <c r="B686" s="22">
        <v>46020</v>
      </c>
      <c r="C686" s="22">
        <v>46021</v>
      </c>
      <c r="D686" s="185">
        <v>251230017</v>
      </c>
      <c r="E686" s="24" t="s">
        <v>1356</v>
      </c>
      <c r="F686" s="24"/>
      <c r="G686" s="24"/>
      <c r="H686" s="35">
        <v>115</v>
      </c>
      <c r="I686" s="43" t="s">
        <v>35</v>
      </c>
      <c r="J686" s="147" t="s">
        <v>23</v>
      </c>
      <c r="K686" s="171" t="s">
        <v>32</v>
      </c>
      <c r="L686" s="24" t="s">
        <v>1357</v>
      </c>
      <c r="M686" s="24" t="s">
        <v>36</v>
      </c>
      <c r="N686" s="24">
        <v>78.34</v>
      </c>
      <c r="O686" s="24">
        <v>17.16</v>
      </c>
      <c r="P686" s="28">
        <f t="shared" si="111"/>
        <v>61.180000000000007</v>
      </c>
      <c r="Q686" s="29">
        <v>545</v>
      </c>
      <c r="R686" s="30">
        <f t="shared" si="112"/>
        <v>33343.100000000006</v>
      </c>
      <c r="S686" s="29"/>
      <c r="T686" s="31"/>
      <c r="V686" s="31" t="s">
        <v>24</v>
      </c>
      <c r="W686" s="29">
        <v>145</v>
      </c>
      <c r="X686" s="32">
        <f>P686*W686</f>
        <v>8871.1</v>
      </c>
      <c r="Y686" s="33">
        <v>260</v>
      </c>
      <c r="Z686" s="33">
        <f>P686*Y686</f>
        <v>15906.800000000001</v>
      </c>
      <c r="AA686" s="31">
        <f t="shared" si="115"/>
        <v>58121.000000000007</v>
      </c>
    </row>
    <row r="687" spans="1:27" s="34" customFormat="1" ht="15.75" x14ac:dyDescent="0.25">
      <c r="A687" s="51">
        <v>684</v>
      </c>
      <c r="B687" s="22">
        <v>46020</v>
      </c>
      <c r="C687" s="22">
        <v>46021</v>
      </c>
      <c r="D687" s="185" t="s">
        <v>1358</v>
      </c>
      <c r="E687" s="186"/>
      <c r="F687" s="186"/>
      <c r="G687" s="24"/>
      <c r="H687" s="48">
        <v>323</v>
      </c>
      <c r="I687" s="43" t="s">
        <v>1359</v>
      </c>
      <c r="J687" s="147" t="s">
        <v>23</v>
      </c>
      <c r="K687" s="171" t="s">
        <v>32</v>
      </c>
      <c r="L687" s="24" t="s">
        <v>305</v>
      </c>
      <c r="M687" s="24" t="s">
        <v>1360</v>
      </c>
      <c r="N687" s="187">
        <v>31.74</v>
      </c>
      <c r="O687" s="187">
        <v>11.62</v>
      </c>
      <c r="P687" s="28">
        <f t="shared" si="111"/>
        <v>20.119999999999997</v>
      </c>
      <c r="Q687" s="29">
        <v>530</v>
      </c>
      <c r="R687" s="30">
        <f t="shared" si="112"/>
        <v>10663.599999999999</v>
      </c>
      <c r="S687" s="29"/>
      <c r="T687" s="31"/>
      <c r="V687" s="31" t="s">
        <v>1332</v>
      </c>
      <c r="W687" s="24"/>
      <c r="X687" s="32">
        <f>P687*W687</f>
        <v>0</v>
      </c>
      <c r="Y687" s="33"/>
      <c r="Z687" s="33">
        <f>P687*Y687</f>
        <v>0</v>
      </c>
      <c r="AA687" s="31">
        <f t="shared" si="115"/>
        <v>10663.599999999999</v>
      </c>
    </row>
    <row r="688" spans="1:27" s="34" customFormat="1" ht="15.75" x14ac:dyDescent="0.25">
      <c r="A688" s="51">
        <v>685</v>
      </c>
      <c r="B688" s="22">
        <v>46020</v>
      </c>
      <c r="C688" s="22">
        <v>46021</v>
      </c>
      <c r="D688" s="185">
        <v>251230018</v>
      </c>
      <c r="E688" s="24" t="s">
        <v>1361</v>
      </c>
      <c r="F688" s="186"/>
      <c r="G688" s="186"/>
      <c r="H688" s="25">
        <v>42</v>
      </c>
      <c r="I688" s="162" t="s">
        <v>52</v>
      </c>
      <c r="J688" s="180" t="s">
        <v>23</v>
      </c>
      <c r="K688" s="162" t="s">
        <v>32</v>
      </c>
      <c r="L688" s="29" t="s">
        <v>1158</v>
      </c>
      <c r="M688" s="29" t="s">
        <v>36</v>
      </c>
      <c r="N688" s="187">
        <v>56.26</v>
      </c>
      <c r="O688" s="187">
        <v>15.18</v>
      </c>
      <c r="P688" s="28">
        <f t="shared" si="111"/>
        <v>41.08</v>
      </c>
      <c r="Q688" s="29">
        <v>525</v>
      </c>
      <c r="R688" s="30">
        <f t="shared" si="112"/>
        <v>21567</v>
      </c>
      <c r="S688" s="29"/>
      <c r="T688" s="31"/>
      <c r="V688" s="31" t="s">
        <v>24</v>
      </c>
      <c r="W688" s="24">
        <v>145</v>
      </c>
      <c r="X688" s="32">
        <f>P688*W688</f>
        <v>5956.5999999999995</v>
      </c>
      <c r="Y688" s="31">
        <v>260</v>
      </c>
      <c r="Z688" s="33">
        <f>P688*Y688</f>
        <v>10680.8</v>
      </c>
      <c r="AA688" s="31">
        <f t="shared" si="115"/>
        <v>38204.399999999994</v>
      </c>
    </row>
    <row r="689" spans="1:38" s="34" customFormat="1" ht="15.75" x14ac:dyDescent="0.25">
      <c r="A689" s="51">
        <v>686</v>
      </c>
      <c r="B689" s="22">
        <v>46021</v>
      </c>
      <c r="C689" s="22">
        <v>46021</v>
      </c>
      <c r="D689" s="104">
        <v>251230019</v>
      </c>
      <c r="E689" s="24" t="s">
        <v>1362</v>
      </c>
      <c r="F689" s="24"/>
      <c r="G689" s="24"/>
      <c r="H689" s="35">
        <v>115</v>
      </c>
      <c r="I689" s="43" t="s">
        <v>35</v>
      </c>
      <c r="J689" s="147" t="s">
        <v>23</v>
      </c>
      <c r="K689" s="171" t="s">
        <v>32</v>
      </c>
      <c r="L689" s="101" t="s">
        <v>1363</v>
      </c>
      <c r="M689" s="24" t="s">
        <v>36</v>
      </c>
      <c r="N689" s="24">
        <v>54.9</v>
      </c>
      <c r="O689" s="24">
        <v>13.72</v>
      </c>
      <c r="P689" s="28">
        <f>N689-O689</f>
        <v>41.18</v>
      </c>
      <c r="Q689" s="29">
        <v>545</v>
      </c>
      <c r="R689" s="30">
        <f t="shared" si="112"/>
        <v>22443.1</v>
      </c>
      <c r="S689" s="29"/>
      <c r="T689" s="31"/>
      <c r="V689" s="31" t="s">
        <v>24</v>
      </c>
      <c r="W689" s="29">
        <v>145</v>
      </c>
      <c r="X689" s="32">
        <f t="shared" ref="X689:X720" si="116">W689*P689</f>
        <v>5971.1</v>
      </c>
      <c r="Y689" s="33">
        <v>260</v>
      </c>
      <c r="Z689" s="33">
        <f t="shared" ref="Z689:Z720" si="117">Y689*P689</f>
        <v>10706.8</v>
      </c>
      <c r="AA689" s="31">
        <f t="shared" ref="AA689:AA720" si="118">R689+X689+Z689</f>
        <v>39121</v>
      </c>
    </row>
    <row r="690" spans="1:38" s="34" customFormat="1" ht="15.75" x14ac:dyDescent="0.25">
      <c r="A690" s="51">
        <v>687</v>
      </c>
      <c r="B690" s="22">
        <v>46021</v>
      </c>
      <c r="C690" s="22">
        <v>46021</v>
      </c>
      <c r="D690" s="104">
        <v>251230020</v>
      </c>
      <c r="E690" s="24" t="s">
        <v>1364</v>
      </c>
      <c r="F690" s="24"/>
      <c r="G690" s="24"/>
      <c r="H690" s="35">
        <v>115</v>
      </c>
      <c r="I690" s="43" t="s">
        <v>35</v>
      </c>
      <c r="J690" s="147" t="s">
        <v>23</v>
      </c>
      <c r="K690" s="171" t="s">
        <v>32</v>
      </c>
      <c r="L690" s="101" t="s">
        <v>54</v>
      </c>
      <c r="M690" s="24" t="s">
        <v>36</v>
      </c>
      <c r="N690" s="24">
        <v>60.8</v>
      </c>
      <c r="O690" s="24">
        <v>15.48</v>
      </c>
      <c r="P690" s="28">
        <f>N690-O690</f>
        <v>45.319999999999993</v>
      </c>
      <c r="Q690" s="29">
        <v>545</v>
      </c>
      <c r="R690" s="30">
        <f t="shared" si="112"/>
        <v>24699.399999999998</v>
      </c>
      <c r="S690" s="29"/>
      <c r="T690" s="31"/>
      <c r="V690" s="31" t="s">
        <v>24</v>
      </c>
      <c r="W690" s="29">
        <v>145</v>
      </c>
      <c r="X690" s="32">
        <f t="shared" si="116"/>
        <v>6571.3999999999987</v>
      </c>
      <c r="Y690" s="33">
        <v>260</v>
      </c>
      <c r="Z690" s="33">
        <f t="shared" si="117"/>
        <v>11783.199999999999</v>
      </c>
      <c r="AA690" s="31">
        <f t="shared" si="118"/>
        <v>43053.999999999993</v>
      </c>
    </row>
    <row r="691" spans="1:38" s="34" customFormat="1" ht="15.75" x14ac:dyDescent="0.25">
      <c r="A691" s="51">
        <v>688</v>
      </c>
      <c r="B691" s="22">
        <v>46021</v>
      </c>
      <c r="C691" s="22">
        <v>46021</v>
      </c>
      <c r="D691" s="104">
        <v>251230021</v>
      </c>
      <c r="E691" s="24" t="s">
        <v>1365</v>
      </c>
      <c r="F691" s="24"/>
      <c r="G691" s="24"/>
      <c r="H691" s="35">
        <v>115</v>
      </c>
      <c r="I691" s="43" t="s">
        <v>35</v>
      </c>
      <c r="J691" s="147" t="s">
        <v>23</v>
      </c>
      <c r="K691" s="171" t="s">
        <v>32</v>
      </c>
      <c r="L691" s="101" t="s">
        <v>41</v>
      </c>
      <c r="M691" s="24" t="s">
        <v>37</v>
      </c>
      <c r="N691" s="24">
        <v>52.26</v>
      </c>
      <c r="O691" s="24">
        <v>12.76</v>
      </c>
      <c r="P691" s="28">
        <f>N691-O691</f>
        <v>39.5</v>
      </c>
      <c r="Q691" s="29">
        <v>445</v>
      </c>
      <c r="R691" s="30">
        <f t="shared" si="112"/>
        <v>17577.5</v>
      </c>
      <c r="S691" s="29"/>
      <c r="T691" s="31"/>
      <c r="V691" s="31" t="s">
        <v>24</v>
      </c>
      <c r="W691" s="29">
        <v>145</v>
      </c>
      <c r="X691" s="32">
        <f t="shared" si="116"/>
        <v>5727.5</v>
      </c>
      <c r="Y691" s="33">
        <v>260</v>
      </c>
      <c r="Z691" s="33">
        <f t="shared" si="117"/>
        <v>10270</v>
      </c>
      <c r="AA691" s="31">
        <f t="shared" si="118"/>
        <v>33575</v>
      </c>
    </row>
    <row r="692" spans="1:38" s="38" customFormat="1" ht="15.75" x14ac:dyDescent="0.25">
      <c r="A692" s="51">
        <v>689</v>
      </c>
      <c r="B692" s="22">
        <v>46021</v>
      </c>
      <c r="C692" s="22">
        <v>46021</v>
      </c>
      <c r="D692" s="104">
        <v>251230022</v>
      </c>
      <c r="E692" s="24" t="s">
        <v>1366</v>
      </c>
      <c r="F692" s="24"/>
      <c r="G692" s="24"/>
      <c r="H692" s="35">
        <v>115</v>
      </c>
      <c r="I692" s="43" t="s">
        <v>35</v>
      </c>
      <c r="J692" s="147" t="s">
        <v>23</v>
      </c>
      <c r="K692" s="171" t="s">
        <v>32</v>
      </c>
      <c r="L692" s="101" t="s">
        <v>44</v>
      </c>
      <c r="M692" s="24" t="s">
        <v>37</v>
      </c>
      <c r="N692" s="37">
        <v>50.46</v>
      </c>
      <c r="O692" s="24">
        <v>12.6</v>
      </c>
      <c r="P692" s="28">
        <f t="shared" ref="P692:P706" si="119">N692-O692</f>
        <v>37.86</v>
      </c>
      <c r="Q692" s="29">
        <v>445</v>
      </c>
      <c r="R692" s="30">
        <f t="shared" si="112"/>
        <v>16847.7</v>
      </c>
      <c r="S692" s="29"/>
      <c r="T692" s="31"/>
      <c r="V692" s="31" t="s">
        <v>24</v>
      </c>
      <c r="W692" s="29">
        <v>145</v>
      </c>
      <c r="X692" s="32">
        <f t="shared" si="116"/>
        <v>5489.7</v>
      </c>
      <c r="Y692" s="33">
        <v>260</v>
      </c>
      <c r="Z692" s="33">
        <f t="shared" si="117"/>
        <v>9843.6</v>
      </c>
      <c r="AA692" s="31">
        <f t="shared" si="118"/>
        <v>32181</v>
      </c>
    </row>
    <row r="693" spans="1:38" s="34" customFormat="1" ht="15.75" x14ac:dyDescent="0.25">
      <c r="A693" s="51">
        <v>690</v>
      </c>
      <c r="B693" s="22">
        <v>46021</v>
      </c>
      <c r="C693" s="22">
        <v>46021</v>
      </c>
      <c r="D693" s="104">
        <v>251230023</v>
      </c>
      <c r="E693" s="24" t="s">
        <v>1367</v>
      </c>
      <c r="F693" s="24"/>
      <c r="G693" s="24"/>
      <c r="H693" s="35">
        <v>115</v>
      </c>
      <c r="I693" s="43" t="s">
        <v>35</v>
      </c>
      <c r="J693" s="147" t="s">
        <v>23</v>
      </c>
      <c r="K693" s="171" t="s">
        <v>32</v>
      </c>
      <c r="L693" s="101" t="s">
        <v>444</v>
      </c>
      <c r="M693" s="24" t="s">
        <v>36</v>
      </c>
      <c r="N693" s="37">
        <v>63.44</v>
      </c>
      <c r="O693" s="24">
        <v>16.420000000000002</v>
      </c>
      <c r="P693" s="28">
        <f t="shared" si="119"/>
        <v>47.019999999999996</v>
      </c>
      <c r="Q693" s="29">
        <v>545</v>
      </c>
      <c r="R693" s="30">
        <f t="shared" si="112"/>
        <v>25625.899999999998</v>
      </c>
      <c r="S693" s="29"/>
      <c r="T693" s="31"/>
      <c r="V693" s="31" t="s">
        <v>24</v>
      </c>
      <c r="W693" s="29">
        <v>145</v>
      </c>
      <c r="X693" s="32">
        <f t="shared" si="116"/>
        <v>6817.9</v>
      </c>
      <c r="Y693" s="33">
        <v>260</v>
      </c>
      <c r="Z693" s="33">
        <f t="shared" si="117"/>
        <v>12225.199999999999</v>
      </c>
      <c r="AA693" s="31">
        <f t="shared" si="118"/>
        <v>44668.999999999993</v>
      </c>
    </row>
    <row r="694" spans="1:38" s="34" customFormat="1" ht="15.75" x14ac:dyDescent="0.25">
      <c r="A694" s="51">
        <v>691</v>
      </c>
      <c r="B694" s="22">
        <v>46021</v>
      </c>
      <c r="C694" s="22">
        <v>46021</v>
      </c>
      <c r="D694" s="104">
        <v>251230024</v>
      </c>
      <c r="E694" s="24" t="s">
        <v>1368</v>
      </c>
      <c r="F694" s="24"/>
      <c r="G694" s="24"/>
      <c r="H694" s="35">
        <v>115</v>
      </c>
      <c r="I694" s="43" t="s">
        <v>35</v>
      </c>
      <c r="J694" s="147" t="s">
        <v>23</v>
      </c>
      <c r="K694" s="171" t="s">
        <v>32</v>
      </c>
      <c r="L694" s="101" t="s">
        <v>426</v>
      </c>
      <c r="M694" s="24" t="s">
        <v>36</v>
      </c>
      <c r="N694" s="37">
        <v>67.06</v>
      </c>
      <c r="O694" s="37">
        <v>19.52</v>
      </c>
      <c r="P694" s="28">
        <f t="shared" si="119"/>
        <v>47.540000000000006</v>
      </c>
      <c r="Q694" s="29">
        <v>545</v>
      </c>
      <c r="R694" s="30">
        <f t="shared" si="112"/>
        <v>25909.300000000003</v>
      </c>
      <c r="S694" s="29"/>
      <c r="T694" s="31"/>
      <c r="V694" s="31" t="s">
        <v>24</v>
      </c>
      <c r="W694" s="29">
        <v>145</v>
      </c>
      <c r="X694" s="32">
        <f t="shared" si="116"/>
        <v>6893.3000000000011</v>
      </c>
      <c r="Y694" s="33">
        <v>260</v>
      </c>
      <c r="Z694" s="33">
        <f t="shared" si="117"/>
        <v>12360.400000000001</v>
      </c>
      <c r="AA694" s="31">
        <f t="shared" si="118"/>
        <v>45163.000000000007</v>
      </c>
    </row>
    <row r="695" spans="1:38" s="34" customFormat="1" ht="15.75" x14ac:dyDescent="0.25">
      <c r="A695" s="51">
        <v>692</v>
      </c>
      <c r="B695" s="22">
        <v>46021</v>
      </c>
      <c r="C695" s="22">
        <v>46021</v>
      </c>
      <c r="D695" s="104">
        <v>251230025</v>
      </c>
      <c r="E695" s="24" t="s">
        <v>1369</v>
      </c>
      <c r="F695" s="24"/>
      <c r="G695" s="24"/>
      <c r="H695" s="35">
        <v>115</v>
      </c>
      <c r="I695" s="43" t="s">
        <v>35</v>
      </c>
      <c r="J695" s="147" t="s">
        <v>23</v>
      </c>
      <c r="K695" s="171" t="s">
        <v>32</v>
      </c>
      <c r="L695" s="101" t="s">
        <v>1370</v>
      </c>
      <c r="M695" s="24" t="s">
        <v>36</v>
      </c>
      <c r="N695" s="37">
        <v>61.14</v>
      </c>
      <c r="O695" s="37">
        <v>15.44</v>
      </c>
      <c r="P695" s="28">
        <f t="shared" si="119"/>
        <v>45.7</v>
      </c>
      <c r="Q695" s="29">
        <v>545</v>
      </c>
      <c r="R695" s="30">
        <f t="shared" si="112"/>
        <v>24906.5</v>
      </c>
      <c r="S695" s="29"/>
      <c r="T695" s="31"/>
      <c r="V695" s="31" t="s">
        <v>24</v>
      </c>
      <c r="W695" s="29">
        <v>145</v>
      </c>
      <c r="X695" s="32">
        <f t="shared" si="116"/>
        <v>6626.5</v>
      </c>
      <c r="Y695" s="33">
        <v>260</v>
      </c>
      <c r="Z695" s="33">
        <f t="shared" si="117"/>
        <v>11882</v>
      </c>
      <c r="AA695" s="31">
        <f t="shared" si="118"/>
        <v>43415</v>
      </c>
    </row>
    <row r="696" spans="1:38" s="34" customFormat="1" ht="20.100000000000001" customHeight="1" x14ac:dyDescent="0.25">
      <c r="A696" s="51">
        <v>693</v>
      </c>
      <c r="B696" s="22">
        <v>46021</v>
      </c>
      <c r="C696" s="22">
        <v>46021</v>
      </c>
      <c r="D696" s="104">
        <v>251230026</v>
      </c>
      <c r="E696" s="24" t="s">
        <v>1371</v>
      </c>
      <c r="F696" s="24"/>
      <c r="G696" s="24"/>
      <c r="H696" s="35">
        <v>115</v>
      </c>
      <c r="I696" s="43" t="s">
        <v>35</v>
      </c>
      <c r="J696" s="147" t="s">
        <v>23</v>
      </c>
      <c r="K696" s="171" t="s">
        <v>32</v>
      </c>
      <c r="L696" s="101" t="s">
        <v>1221</v>
      </c>
      <c r="M696" s="24" t="s">
        <v>36</v>
      </c>
      <c r="N696" s="37">
        <v>60.9</v>
      </c>
      <c r="O696" s="37">
        <v>15.68</v>
      </c>
      <c r="P696" s="28">
        <f t="shared" si="119"/>
        <v>45.22</v>
      </c>
      <c r="Q696" s="29">
        <v>545</v>
      </c>
      <c r="R696" s="30">
        <f t="shared" si="112"/>
        <v>24644.899999999998</v>
      </c>
      <c r="S696" s="29"/>
      <c r="T696" s="31"/>
      <c r="V696" s="31" t="s">
        <v>24</v>
      </c>
      <c r="W696" s="29">
        <v>145</v>
      </c>
      <c r="X696" s="32">
        <f t="shared" si="116"/>
        <v>6556.9</v>
      </c>
      <c r="Y696" s="33">
        <v>260</v>
      </c>
      <c r="Z696" s="33">
        <f t="shared" si="117"/>
        <v>11757.199999999999</v>
      </c>
      <c r="AA696" s="31">
        <f t="shared" si="118"/>
        <v>42958.999999999993</v>
      </c>
      <c r="AB696" s="40"/>
      <c r="AC696" s="39"/>
      <c r="AD696" s="41"/>
      <c r="AE696" s="42"/>
      <c r="AF696" s="39"/>
      <c r="AG696" s="42"/>
      <c r="AH696" s="39"/>
      <c r="AI696" s="41"/>
      <c r="AJ696" s="39"/>
      <c r="AK696" s="41"/>
      <c r="AL696" s="41"/>
    </row>
    <row r="697" spans="1:38" s="34" customFormat="1" ht="15.75" x14ac:dyDescent="0.25">
      <c r="A697" s="51">
        <v>694</v>
      </c>
      <c r="B697" s="22">
        <v>46021</v>
      </c>
      <c r="C697" s="22">
        <v>46021</v>
      </c>
      <c r="D697" s="104">
        <v>251230027</v>
      </c>
      <c r="E697" s="24" t="s">
        <v>1372</v>
      </c>
      <c r="F697" s="24"/>
      <c r="G697" s="24"/>
      <c r="H697" s="35">
        <v>115</v>
      </c>
      <c r="I697" s="43" t="s">
        <v>35</v>
      </c>
      <c r="J697" s="147" t="s">
        <v>23</v>
      </c>
      <c r="K697" s="171" t="s">
        <v>32</v>
      </c>
      <c r="L697" s="101" t="s">
        <v>1373</v>
      </c>
      <c r="M697" s="24" t="s">
        <v>36</v>
      </c>
      <c r="N697" s="37">
        <v>68.84</v>
      </c>
      <c r="O697" s="37">
        <v>18</v>
      </c>
      <c r="P697" s="28">
        <f t="shared" si="119"/>
        <v>50.84</v>
      </c>
      <c r="Q697" s="29">
        <v>545</v>
      </c>
      <c r="R697" s="30">
        <f t="shared" si="112"/>
        <v>27707.800000000003</v>
      </c>
      <c r="S697" s="29"/>
      <c r="T697" s="31"/>
      <c r="V697" s="31" t="s">
        <v>24</v>
      </c>
      <c r="W697" s="29">
        <v>145</v>
      </c>
      <c r="X697" s="32">
        <f t="shared" si="116"/>
        <v>7371.8</v>
      </c>
      <c r="Y697" s="33">
        <v>260</v>
      </c>
      <c r="Z697" s="33">
        <f t="shared" si="117"/>
        <v>13218.400000000001</v>
      </c>
      <c r="AA697" s="31">
        <f t="shared" si="118"/>
        <v>48298.000000000007</v>
      </c>
    </row>
    <row r="698" spans="1:38" s="34" customFormat="1" ht="15.75" x14ac:dyDescent="0.25">
      <c r="A698" s="51">
        <v>695</v>
      </c>
      <c r="B698" s="22">
        <v>46021</v>
      </c>
      <c r="C698" s="22">
        <v>46021</v>
      </c>
      <c r="D698" s="104">
        <v>251230028</v>
      </c>
      <c r="E698" s="24" t="s">
        <v>1374</v>
      </c>
      <c r="F698" s="24"/>
      <c r="G698" s="24"/>
      <c r="H698" s="35">
        <v>115</v>
      </c>
      <c r="I698" s="43" t="s">
        <v>35</v>
      </c>
      <c r="J698" s="147" t="s">
        <v>23</v>
      </c>
      <c r="K698" s="171" t="s">
        <v>32</v>
      </c>
      <c r="L698" s="110" t="s">
        <v>222</v>
      </c>
      <c r="M698" s="24" t="s">
        <v>36</v>
      </c>
      <c r="N698" s="37">
        <v>61.3</v>
      </c>
      <c r="O698" s="37">
        <v>15.44</v>
      </c>
      <c r="P698" s="28">
        <f t="shared" si="119"/>
        <v>45.86</v>
      </c>
      <c r="Q698" s="29">
        <v>545</v>
      </c>
      <c r="R698" s="30">
        <f t="shared" si="112"/>
        <v>24993.7</v>
      </c>
      <c r="S698" s="29"/>
      <c r="T698" s="31"/>
      <c r="V698" s="31" t="s">
        <v>24</v>
      </c>
      <c r="W698" s="29">
        <v>145</v>
      </c>
      <c r="X698" s="32">
        <f t="shared" si="116"/>
        <v>6649.7</v>
      </c>
      <c r="Y698" s="33">
        <v>260</v>
      </c>
      <c r="Z698" s="33">
        <f t="shared" si="117"/>
        <v>11923.6</v>
      </c>
      <c r="AA698" s="31">
        <f t="shared" si="118"/>
        <v>43567</v>
      </c>
    </row>
    <row r="699" spans="1:38" s="34" customFormat="1" ht="15.75" x14ac:dyDescent="0.25">
      <c r="A699" s="51">
        <v>696</v>
      </c>
      <c r="B699" s="22">
        <v>46021</v>
      </c>
      <c r="C699" s="22">
        <v>46021</v>
      </c>
      <c r="D699" s="104">
        <v>251230029</v>
      </c>
      <c r="E699" s="24" t="s">
        <v>1375</v>
      </c>
      <c r="F699" s="24"/>
      <c r="G699" s="24"/>
      <c r="H699" s="35">
        <v>115</v>
      </c>
      <c r="I699" s="43" t="s">
        <v>35</v>
      </c>
      <c r="J699" s="147" t="s">
        <v>23</v>
      </c>
      <c r="K699" s="171" t="s">
        <v>32</v>
      </c>
      <c r="L699" s="101" t="s">
        <v>61</v>
      </c>
      <c r="M699" s="24" t="s">
        <v>36</v>
      </c>
      <c r="N699" s="37">
        <v>60.02</v>
      </c>
      <c r="O699" s="37">
        <v>15.54</v>
      </c>
      <c r="P699" s="28">
        <f t="shared" si="119"/>
        <v>44.480000000000004</v>
      </c>
      <c r="Q699" s="29">
        <v>545</v>
      </c>
      <c r="R699" s="30">
        <f t="shared" si="112"/>
        <v>24241.600000000002</v>
      </c>
      <c r="S699" s="29"/>
      <c r="T699" s="31"/>
      <c r="V699" s="31" t="s">
        <v>24</v>
      </c>
      <c r="W699" s="29">
        <v>145</v>
      </c>
      <c r="X699" s="32">
        <f t="shared" si="116"/>
        <v>6449.6</v>
      </c>
      <c r="Y699" s="33">
        <v>260</v>
      </c>
      <c r="Z699" s="33">
        <f t="shared" si="117"/>
        <v>11564.800000000001</v>
      </c>
      <c r="AA699" s="31">
        <f t="shared" si="118"/>
        <v>42256.000000000007</v>
      </c>
    </row>
    <row r="700" spans="1:38" s="34" customFormat="1" ht="15.75" x14ac:dyDescent="0.25">
      <c r="A700" s="51">
        <v>697</v>
      </c>
      <c r="B700" s="22">
        <v>46021</v>
      </c>
      <c r="C700" s="22">
        <v>46021</v>
      </c>
      <c r="D700" s="104">
        <v>251230030</v>
      </c>
      <c r="E700" s="24" t="s">
        <v>1376</v>
      </c>
      <c r="F700" s="24"/>
      <c r="G700" s="24"/>
      <c r="H700" s="35">
        <v>115</v>
      </c>
      <c r="I700" s="43" t="s">
        <v>35</v>
      </c>
      <c r="J700" s="147" t="s">
        <v>23</v>
      </c>
      <c r="K700" s="171" t="s">
        <v>32</v>
      </c>
      <c r="L700" s="101" t="s">
        <v>1326</v>
      </c>
      <c r="M700" s="24" t="s">
        <v>36</v>
      </c>
      <c r="N700" s="37">
        <v>61.14</v>
      </c>
      <c r="O700" s="37">
        <v>15.64</v>
      </c>
      <c r="P700" s="28">
        <f t="shared" si="119"/>
        <v>45.5</v>
      </c>
      <c r="Q700" s="29">
        <v>545</v>
      </c>
      <c r="R700" s="30">
        <f t="shared" si="112"/>
        <v>24797.5</v>
      </c>
      <c r="S700" s="29"/>
      <c r="T700" s="31"/>
      <c r="V700" s="31" t="s">
        <v>24</v>
      </c>
      <c r="W700" s="29">
        <v>145</v>
      </c>
      <c r="X700" s="32">
        <f t="shared" si="116"/>
        <v>6597.5</v>
      </c>
      <c r="Y700" s="33">
        <v>260</v>
      </c>
      <c r="Z700" s="33">
        <f t="shared" si="117"/>
        <v>11830</v>
      </c>
      <c r="AA700" s="31">
        <f t="shared" si="118"/>
        <v>43225</v>
      </c>
    </row>
    <row r="701" spans="1:38" s="38" customFormat="1" ht="15.75" x14ac:dyDescent="0.25">
      <c r="A701" s="51">
        <v>698</v>
      </c>
      <c r="B701" s="22">
        <v>46021</v>
      </c>
      <c r="C701" s="22">
        <v>46021</v>
      </c>
      <c r="D701" s="104">
        <v>251230031</v>
      </c>
      <c r="E701" s="24" t="s">
        <v>1377</v>
      </c>
      <c r="F701" s="24"/>
      <c r="G701" s="24"/>
      <c r="H701" s="35">
        <v>115</v>
      </c>
      <c r="I701" s="43" t="s">
        <v>35</v>
      </c>
      <c r="J701" s="147" t="s">
        <v>23</v>
      </c>
      <c r="K701" s="171" t="s">
        <v>32</v>
      </c>
      <c r="L701" s="101" t="s">
        <v>423</v>
      </c>
      <c r="M701" s="24" t="s">
        <v>36</v>
      </c>
      <c r="N701" s="37">
        <v>51.98</v>
      </c>
      <c r="O701" s="37">
        <v>12.7</v>
      </c>
      <c r="P701" s="28">
        <f t="shared" si="119"/>
        <v>39.28</v>
      </c>
      <c r="Q701" s="29">
        <v>545</v>
      </c>
      <c r="R701" s="30">
        <f t="shared" si="112"/>
        <v>21407.600000000002</v>
      </c>
      <c r="S701" s="29"/>
      <c r="T701" s="31"/>
      <c r="V701" s="31" t="s">
        <v>24</v>
      </c>
      <c r="W701" s="29">
        <v>145</v>
      </c>
      <c r="X701" s="32">
        <f t="shared" si="116"/>
        <v>5695.6</v>
      </c>
      <c r="Y701" s="33">
        <v>260</v>
      </c>
      <c r="Z701" s="31">
        <f t="shared" si="117"/>
        <v>10212.800000000001</v>
      </c>
      <c r="AA701" s="31">
        <f t="shared" si="118"/>
        <v>37316.000000000007</v>
      </c>
    </row>
    <row r="702" spans="1:38" s="38" customFormat="1" ht="15.75" x14ac:dyDescent="0.25">
      <c r="A702" s="51">
        <v>699</v>
      </c>
      <c r="B702" s="22">
        <v>46021</v>
      </c>
      <c r="C702" s="22">
        <v>46021</v>
      </c>
      <c r="D702" s="104">
        <v>251230032</v>
      </c>
      <c r="E702" s="24" t="s">
        <v>1378</v>
      </c>
      <c r="F702" s="24"/>
      <c r="G702" s="24"/>
      <c r="H702" s="35">
        <v>115</v>
      </c>
      <c r="I702" s="43" t="s">
        <v>35</v>
      </c>
      <c r="J702" s="147" t="s">
        <v>23</v>
      </c>
      <c r="K702" s="171" t="s">
        <v>32</v>
      </c>
      <c r="L702" s="101" t="s">
        <v>39</v>
      </c>
      <c r="M702" s="24" t="s">
        <v>37</v>
      </c>
      <c r="N702" s="37">
        <v>64.28</v>
      </c>
      <c r="O702" s="37">
        <v>15.68</v>
      </c>
      <c r="P702" s="28">
        <f t="shared" si="119"/>
        <v>48.6</v>
      </c>
      <c r="Q702" s="29">
        <v>445</v>
      </c>
      <c r="R702" s="30">
        <f t="shared" si="112"/>
        <v>21627</v>
      </c>
      <c r="S702" s="29"/>
      <c r="T702" s="31"/>
      <c r="V702" s="31" t="s">
        <v>24</v>
      </c>
      <c r="W702" s="29">
        <v>145</v>
      </c>
      <c r="X702" s="32">
        <f t="shared" si="116"/>
        <v>7047</v>
      </c>
      <c r="Y702" s="33">
        <v>260</v>
      </c>
      <c r="Z702" s="31">
        <f t="shared" si="117"/>
        <v>12636</v>
      </c>
      <c r="AA702" s="31">
        <f t="shared" si="118"/>
        <v>41310</v>
      </c>
    </row>
    <row r="703" spans="1:38" s="34" customFormat="1" ht="15.75" x14ac:dyDescent="0.25">
      <c r="A703" s="51">
        <v>700</v>
      </c>
      <c r="B703" s="22">
        <v>46021</v>
      </c>
      <c r="C703" s="22">
        <v>46021</v>
      </c>
      <c r="D703" s="104">
        <v>251230033</v>
      </c>
      <c r="E703" s="24" t="s">
        <v>1379</v>
      </c>
      <c r="F703" s="24"/>
      <c r="G703" s="24"/>
      <c r="H703" s="35">
        <v>115</v>
      </c>
      <c r="I703" s="43" t="s">
        <v>35</v>
      </c>
      <c r="J703" s="147" t="s">
        <v>23</v>
      </c>
      <c r="K703" s="171" t="s">
        <v>32</v>
      </c>
      <c r="L703" s="101" t="s">
        <v>42</v>
      </c>
      <c r="M703" s="24" t="s">
        <v>37</v>
      </c>
      <c r="N703" s="37">
        <v>50.14</v>
      </c>
      <c r="O703" s="37">
        <v>11.38</v>
      </c>
      <c r="P703" s="28">
        <f t="shared" si="119"/>
        <v>38.76</v>
      </c>
      <c r="Q703" s="29">
        <v>445</v>
      </c>
      <c r="R703" s="30">
        <f t="shared" si="112"/>
        <v>17248.2</v>
      </c>
      <c r="S703" s="29"/>
      <c r="T703" s="31"/>
      <c r="V703" s="31" t="s">
        <v>24</v>
      </c>
      <c r="W703" s="29">
        <v>145</v>
      </c>
      <c r="X703" s="32">
        <f t="shared" si="116"/>
        <v>5620.2</v>
      </c>
      <c r="Y703" s="33">
        <v>260</v>
      </c>
      <c r="Z703" s="31">
        <f t="shared" si="117"/>
        <v>10077.6</v>
      </c>
      <c r="AA703" s="31">
        <f t="shared" si="118"/>
        <v>32946</v>
      </c>
    </row>
    <row r="704" spans="1:38" s="34" customFormat="1" ht="15.75" x14ac:dyDescent="0.25">
      <c r="A704" s="51">
        <v>701</v>
      </c>
      <c r="B704" s="22">
        <v>46021</v>
      </c>
      <c r="C704" s="22">
        <v>46021</v>
      </c>
      <c r="D704" s="104">
        <v>251230034</v>
      </c>
      <c r="E704" s="24" t="s">
        <v>1380</v>
      </c>
      <c r="F704" s="24"/>
      <c r="G704" s="24"/>
      <c r="H704" s="35">
        <v>115</v>
      </c>
      <c r="I704" s="43" t="s">
        <v>35</v>
      </c>
      <c r="J704" s="147" t="s">
        <v>23</v>
      </c>
      <c r="K704" s="171" t="s">
        <v>32</v>
      </c>
      <c r="L704" s="101" t="s">
        <v>40</v>
      </c>
      <c r="M704" s="24" t="s">
        <v>36</v>
      </c>
      <c r="N704" s="37">
        <v>60.26</v>
      </c>
      <c r="O704" s="37">
        <v>14.86</v>
      </c>
      <c r="P704" s="28">
        <f t="shared" si="119"/>
        <v>45.4</v>
      </c>
      <c r="Q704" s="29">
        <v>545</v>
      </c>
      <c r="R704" s="30">
        <f t="shared" si="112"/>
        <v>24743</v>
      </c>
      <c r="S704" s="29"/>
      <c r="T704" s="31"/>
      <c r="V704" s="31" t="s">
        <v>24</v>
      </c>
      <c r="W704" s="29">
        <v>145</v>
      </c>
      <c r="X704" s="32">
        <f t="shared" si="116"/>
        <v>6583</v>
      </c>
      <c r="Y704" s="33">
        <v>260</v>
      </c>
      <c r="Z704" s="31">
        <f t="shared" si="117"/>
        <v>11804</v>
      </c>
      <c r="AA704" s="31">
        <f t="shared" si="118"/>
        <v>43130</v>
      </c>
    </row>
    <row r="705" spans="1:27" s="34" customFormat="1" ht="15.75" x14ac:dyDescent="0.25">
      <c r="A705" s="51">
        <v>702</v>
      </c>
      <c r="B705" s="22">
        <v>46021</v>
      </c>
      <c r="C705" s="22">
        <v>46021</v>
      </c>
      <c r="D705" s="104">
        <v>251230035</v>
      </c>
      <c r="E705" s="24" t="s">
        <v>1381</v>
      </c>
      <c r="G705" s="24"/>
      <c r="H705" s="35">
        <v>115</v>
      </c>
      <c r="I705" s="43" t="s">
        <v>35</v>
      </c>
      <c r="J705" s="147" t="s">
        <v>23</v>
      </c>
      <c r="K705" s="171" t="s">
        <v>32</v>
      </c>
      <c r="L705" s="101" t="s">
        <v>418</v>
      </c>
      <c r="M705" s="24" t="s">
        <v>36</v>
      </c>
      <c r="N705" s="37">
        <v>69</v>
      </c>
      <c r="O705" s="37">
        <v>18.36</v>
      </c>
      <c r="P705" s="28">
        <f t="shared" si="119"/>
        <v>50.64</v>
      </c>
      <c r="Q705" s="29">
        <v>545</v>
      </c>
      <c r="R705" s="30">
        <f t="shared" si="112"/>
        <v>27598.799999999999</v>
      </c>
      <c r="S705" s="29"/>
      <c r="T705" s="31"/>
      <c r="V705" s="31" t="s">
        <v>24</v>
      </c>
      <c r="W705" s="29">
        <v>145</v>
      </c>
      <c r="X705" s="32">
        <f t="shared" si="116"/>
        <v>7342.8</v>
      </c>
      <c r="Y705" s="33">
        <v>260</v>
      </c>
      <c r="Z705" s="31">
        <f t="shared" si="117"/>
        <v>13166.4</v>
      </c>
      <c r="AA705" s="31">
        <f t="shared" si="118"/>
        <v>48108</v>
      </c>
    </row>
    <row r="706" spans="1:27" s="38" customFormat="1" ht="15.75" x14ac:dyDescent="0.25">
      <c r="A706" s="51">
        <v>703</v>
      </c>
      <c r="B706" s="22">
        <v>46021</v>
      </c>
      <c r="C706" s="22">
        <v>46021</v>
      </c>
      <c r="D706" s="104">
        <v>251230036</v>
      </c>
      <c r="E706" s="24" t="s">
        <v>1382</v>
      </c>
      <c r="F706" s="24"/>
      <c r="G706" s="24"/>
      <c r="H706" s="35">
        <v>115</v>
      </c>
      <c r="I706" s="43" t="s">
        <v>35</v>
      </c>
      <c r="J706" s="147" t="s">
        <v>23</v>
      </c>
      <c r="K706" s="171" t="s">
        <v>32</v>
      </c>
      <c r="L706" s="101" t="s">
        <v>286</v>
      </c>
      <c r="M706" s="24" t="s">
        <v>37</v>
      </c>
      <c r="N706" s="37">
        <v>48.96</v>
      </c>
      <c r="O706" s="37">
        <v>11.46</v>
      </c>
      <c r="P706" s="28">
        <f t="shared" si="119"/>
        <v>37.5</v>
      </c>
      <c r="Q706" s="29">
        <v>445</v>
      </c>
      <c r="R706" s="30">
        <f t="shared" ref="R706" si="120">Q706*P706</f>
        <v>16687.5</v>
      </c>
      <c r="S706" s="29"/>
      <c r="T706" s="31"/>
      <c r="V706" s="31" t="s">
        <v>24</v>
      </c>
      <c r="W706" s="29">
        <v>145</v>
      </c>
      <c r="X706" s="32">
        <f t="shared" si="116"/>
        <v>5437.5</v>
      </c>
      <c r="Y706" s="33">
        <v>260</v>
      </c>
      <c r="Z706" s="31">
        <f t="shared" si="117"/>
        <v>9750</v>
      </c>
      <c r="AA706" s="31">
        <f t="shared" si="118"/>
        <v>31875</v>
      </c>
    </row>
    <row r="707" spans="1:27" s="38" customFormat="1" ht="15.75" x14ac:dyDescent="0.25">
      <c r="A707" s="51">
        <v>704</v>
      </c>
      <c r="B707" s="22">
        <v>46021</v>
      </c>
      <c r="C707" s="22">
        <v>46021</v>
      </c>
      <c r="D707" s="104">
        <v>251230037</v>
      </c>
      <c r="E707" s="24" t="s">
        <v>1383</v>
      </c>
      <c r="F707" s="24"/>
      <c r="G707" s="24"/>
      <c r="H707" s="35">
        <v>115</v>
      </c>
      <c r="I707" s="43" t="s">
        <v>35</v>
      </c>
      <c r="J707" s="147" t="s">
        <v>23</v>
      </c>
      <c r="K707" s="171" t="s">
        <v>32</v>
      </c>
      <c r="L707" s="101" t="s">
        <v>46</v>
      </c>
      <c r="M707" s="24" t="s">
        <v>36</v>
      </c>
      <c r="N707" s="37">
        <v>80.02</v>
      </c>
      <c r="O707" s="37">
        <v>17.36</v>
      </c>
      <c r="P707" s="28">
        <f>N707-O707</f>
        <v>62.66</v>
      </c>
      <c r="Q707" s="29">
        <v>545</v>
      </c>
      <c r="R707" s="30">
        <f>Q707*P707</f>
        <v>34149.699999999997</v>
      </c>
      <c r="S707" s="29"/>
      <c r="T707" s="31"/>
      <c r="V707" s="31" t="s">
        <v>24</v>
      </c>
      <c r="W707" s="29">
        <v>145</v>
      </c>
      <c r="X707" s="32">
        <f t="shared" si="116"/>
        <v>9085.6999999999989</v>
      </c>
      <c r="Y707" s="33">
        <v>260</v>
      </c>
      <c r="Z707" s="31">
        <f t="shared" si="117"/>
        <v>16291.599999999999</v>
      </c>
      <c r="AA707" s="31">
        <f t="shared" si="118"/>
        <v>59526.999999999993</v>
      </c>
    </row>
    <row r="708" spans="1:27" s="34" customFormat="1" ht="15.75" x14ac:dyDescent="0.25">
      <c r="A708" s="51">
        <v>705</v>
      </c>
      <c r="B708" s="22">
        <v>46021</v>
      </c>
      <c r="C708" s="22">
        <v>46021</v>
      </c>
      <c r="D708" s="188" t="s">
        <v>1384</v>
      </c>
      <c r="F708" s="24"/>
      <c r="G708" s="24"/>
      <c r="H708" s="149"/>
      <c r="I708" s="150" t="s">
        <v>48</v>
      </c>
      <c r="J708" s="147" t="s">
        <v>23</v>
      </c>
      <c r="K708" s="171" t="s">
        <v>32</v>
      </c>
      <c r="L708" s="101" t="s">
        <v>790</v>
      </c>
      <c r="M708" s="24" t="s">
        <v>49</v>
      </c>
      <c r="N708" s="37">
        <v>27.02</v>
      </c>
      <c r="O708" s="37">
        <v>14.22</v>
      </c>
      <c r="P708" s="28">
        <f>N708-O708</f>
        <v>12.799999999999999</v>
      </c>
      <c r="Q708" s="29">
        <v>0</v>
      </c>
      <c r="R708" s="30">
        <f>Q708*P708</f>
        <v>0</v>
      </c>
      <c r="S708" s="29"/>
      <c r="T708" s="31"/>
      <c r="V708" s="31" t="s">
        <v>24</v>
      </c>
      <c r="W708" s="29"/>
      <c r="X708" s="32">
        <f t="shared" si="116"/>
        <v>0</v>
      </c>
      <c r="Y708" s="33"/>
      <c r="Z708" s="31">
        <f t="shared" si="117"/>
        <v>0</v>
      </c>
      <c r="AA708" s="31">
        <f t="shared" si="118"/>
        <v>0</v>
      </c>
    </row>
    <row r="709" spans="1:27" s="34" customFormat="1" ht="15.75" x14ac:dyDescent="0.25">
      <c r="A709" s="51">
        <v>706</v>
      </c>
      <c r="B709" s="22">
        <v>46021</v>
      </c>
      <c r="C709" s="22">
        <v>46021</v>
      </c>
      <c r="D709" s="189">
        <v>251230038</v>
      </c>
      <c r="E709" s="24"/>
      <c r="F709" s="24"/>
      <c r="G709" s="24"/>
      <c r="H709" s="149"/>
      <c r="I709" s="150" t="s">
        <v>48</v>
      </c>
      <c r="J709" s="147" t="s">
        <v>23</v>
      </c>
      <c r="K709" s="171" t="s">
        <v>32</v>
      </c>
      <c r="L709" s="101" t="s">
        <v>1096</v>
      </c>
      <c r="M709" s="24" t="s">
        <v>1385</v>
      </c>
      <c r="N709" s="37">
        <v>30.46</v>
      </c>
      <c r="O709" s="37">
        <v>14.18</v>
      </c>
      <c r="P709" s="28">
        <f t="shared" ref="P709:P745" si="121">N709-O709</f>
        <v>16.28</v>
      </c>
      <c r="Q709" s="29">
        <v>0</v>
      </c>
      <c r="R709" s="30">
        <f t="shared" ref="R709:R771" si="122">Q709*P709</f>
        <v>0</v>
      </c>
      <c r="S709" s="29"/>
      <c r="T709" s="31"/>
      <c r="V709" s="31" t="s">
        <v>24</v>
      </c>
      <c r="W709" s="29"/>
      <c r="X709" s="32">
        <f t="shared" si="116"/>
        <v>0</v>
      </c>
      <c r="Y709" s="33"/>
      <c r="Z709" s="31">
        <f t="shared" si="117"/>
        <v>0</v>
      </c>
      <c r="AA709" s="31">
        <f t="shared" si="118"/>
        <v>0</v>
      </c>
    </row>
    <row r="710" spans="1:27" s="34" customFormat="1" ht="15.75" x14ac:dyDescent="0.25">
      <c r="A710" s="51">
        <v>707</v>
      </c>
      <c r="B710" s="22">
        <v>46021</v>
      </c>
      <c r="C710" s="22">
        <v>46021</v>
      </c>
      <c r="D710" s="104">
        <v>251230039</v>
      </c>
      <c r="E710" s="24" t="s">
        <v>1386</v>
      </c>
      <c r="F710" s="24"/>
      <c r="G710" s="24"/>
      <c r="H710" s="25">
        <v>42</v>
      </c>
      <c r="I710" s="43" t="s">
        <v>52</v>
      </c>
      <c r="J710" s="151" t="s">
        <v>23</v>
      </c>
      <c r="K710" s="43" t="s">
        <v>32</v>
      </c>
      <c r="L710" s="101" t="s">
        <v>1158</v>
      </c>
      <c r="M710" s="24" t="s">
        <v>36</v>
      </c>
      <c r="N710" s="37">
        <v>55.6</v>
      </c>
      <c r="O710" s="37">
        <v>15.12</v>
      </c>
      <c r="P710" s="28">
        <f t="shared" si="121"/>
        <v>40.480000000000004</v>
      </c>
      <c r="Q710" s="29">
        <v>525</v>
      </c>
      <c r="R710" s="30">
        <f t="shared" si="122"/>
        <v>21252.000000000004</v>
      </c>
      <c r="S710" s="29"/>
      <c r="T710" s="31"/>
      <c r="V710" s="31" t="s">
        <v>24</v>
      </c>
      <c r="W710" s="29">
        <v>145</v>
      </c>
      <c r="X710" s="32">
        <f t="shared" si="116"/>
        <v>5869.6</v>
      </c>
      <c r="Y710" s="33">
        <v>260</v>
      </c>
      <c r="Z710" s="31">
        <f t="shared" si="117"/>
        <v>10524.800000000001</v>
      </c>
      <c r="AA710" s="31">
        <f t="shared" si="118"/>
        <v>37646.400000000009</v>
      </c>
    </row>
    <row r="711" spans="1:27" s="34" customFormat="1" ht="15.75" x14ac:dyDescent="0.25">
      <c r="A711" s="51">
        <v>708</v>
      </c>
      <c r="B711" s="22">
        <v>46021</v>
      </c>
      <c r="C711" s="22">
        <v>46021</v>
      </c>
      <c r="D711" s="104">
        <v>251230041</v>
      </c>
      <c r="E711" s="24" t="s">
        <v>1387</v>
      </c>
      <c r="F711" s="24"/>
      <c r="G711" s="24"/>
      <c r="H711" s="25">
        <v>42</v>
      </c>
      <c r="I711" s="43" t="s">
        <v>52</v>
      </c>
      <c r="J711" s="151" t="s">
        <v>23</v>
      </c>
      <c r="K711" s="43" t="s">
        <v>32</v>
      </c>
      <c r="L711" s="101" t="s">
        <v>75</v>
      </c>
      <c r="M711" s="24" t="s">
        <v>37</v>
      </c>
      <c r="N711" s="37">
        <v>66.099999999999994</v>
      </c>
      <c r="O711" s="37">
        <v>16.62</v>
      </c>
      <c r="P711" s="28">
        <f t="shared" si="121"/>
        <v>49.47999999999999</v>
      </c>
      <c r="Q711" s="29">
        <v>495</v>
      </c>
      <c r="R711" s="30">
        <f t="shared" si="122"/>
        <v>24492.599999999995</v>
      </c>
      <c r="S711" s="29"/>
      <c r="T711" s="31"/>
      <c r="V711" s="31" t="s">
        <v>24</v>
      </c>
      <c r="W711" s="29">
        <v>145</v>
      </c>
      <c r="X711" s="32">
        <f t="shared" si="116"/>
        <v>7174.5999999999985</v>
      </c>
      <c r="Y711" s="33">
        <v>260</v>
      </c>
      <c r="Z711" s="31">
        <f t="shared" si="117"/>
        <v>12864.799999999997</v>
      </c>
      <c r="AA711" s="31">
        <f t="shared" si="118"/>
        <v>44531.999999999993</v>
      </c>
    </row>
    <row r="712" spans="1:27" s="38" customFormat="1" ht="15.75" x14ac:dyDescent="0.25">
      <c r="A712" s="51">
        <v>709</v>
      </c>
      <c r="B712" s="22">
        <v>46021</v>
      </c>
      <c r="C712" s="22">
        <v>46021</v>
      </c>
      <c r="D712" s="104">
        <v>251230043</v>
      </c>
      <c r="E712" s="24" t="s">
        <v>1388</v>
      </c>
      <c r="F712" s="24"/>
      <c r="G712" s="24"/>
      <c r="H712" s="25">
        <v>42</v>
      </c>
      <c r="I712" s="43" t="s">
        <v>52</v>
      </c>
      <c r="J712" s="151" t="s">
        <v>23</v>
      </c>
      <c r="K712" s="43" t="s">
        <v>32</v>
      </c>
      <c r="L712" s="101" t="s">
        <v>41</v>
      </c>
      <c r="M712" s="24" t="s">
        <v>37</v>
      </c>
      <c r="N712" s="37">
        <v>49.68</v>
      </c>
      <c r="O712" s="37">
        <v>11.78</v>
      </c>
      <c r="P712" s="28">
        <f t="shared" si="121"/>
        <v>37.9</v>
      </c>
      <c r="Q712" s="29">
        <v>495</v>
      </c>
      <c r="R712" s="30">
        <f t="shared" si="122"/>
        <v>18760.5</v>
      </c>
      <c r="S712" s="29"/>
      <c r="T712" s="31"/>
      <c r="V712" s="31" t="s">
        <v>24</v>
      </c>
      <c r="W712" s="29">
        <v>145</v>
      </c>
      <c r="X712" s="32">
        <f t="shared" si="116"/>
        <v>5495.5</v>
      </c>
      <c r="Y712" s="33">
        <v>260</v>
      </c>
      <c r="Z712" s="31">
        <f t="shared" si="117"/>
        <v>9854</v>
      </c>
      <c r="AA712" s="31">
        <f t="shared" si="118"/>
        <v>34110</v>
      </c>
    </row>
    <row r="713" spans="1:27" s="34" customFormat="1" ht="15.75" x14ac:dyDescent="0.25">
      <c r="A713" s="51">
        <v>710</v>
      </c>
      <c r="B713" s="22">
        <v>46021</v>
      </c>
      <c r="C713" s="22">
        <v>46021</v>
      </c>
      <c r="D713" s="104">
        <v>251230044</v>
      </c>
      <c r="E713" s="24" t="s">
        <v>1389</v>
      </c>
      <c r="F713" s="24"/>
      <c r="G713" s="24"/>
      <c r="H713" s="35">
        <v>117</v>
      </c>
      <c r="I713" s="44" t="s">
        <v>55</v>
      </c>
      <c r="J713" s="147" t="s">
        <v>23</v>
      </c>
      <c r="K713" s="43" t="s">
        <v>32</v>
      </c>
      <c r="L713" s="101" t="s">
        <v>243</v>
      </c>
      <c r="M713" s="24" t="s">
        <v>36</v>
      </c>
      <c r="N713" s="37">
        <v>58.72</v>
      </c>
      <c r="O713" s="37">
        <v>15.82</v>
      </c>
      <c r="P713" s="28">
        <f t="shared" si="121"/>
        <v>42.9</v>
      </c>
      <c r="Q713" s="29">
        <v>555</v>
      </c>
      <c r="R713" s="30">
        <f t="shared" si="122"/>
        <v>23809.5</v>
      </c>
      <c r="S713" s="29"/>
      <c r="T713" s="31"/>
      <c r="V713" s="31" t="s">
        <v>24</v>
      </c>
      <c r="W713" s="29">
        <v>145</v>
      </c>
      <c r="X713" s="32">
        <f t="shared" si="116"/>
        <v>6220.5</v>
      </c>
      <c r="Y713" s="33">
        <v>200</v>
      </c>
      <c r="Z713" s="31">
        <f t="shared" si="117"/>
        <v>8580</v>
      </c>
      <c r="AA713" s="31">
        <f t="shared" si="118"/>
        <v>38610</v>
      </c>
    </row>
    <row r="714" spans="1:27" s="34" customFormat="1" ht="15.75" x14ac:dyDescent="0.25">
      <c r="A714" s="51">
        <v>711</v>
      </c>
      <c r="B714" s="22">
        <v>46021</v>
      </c>
      <c r="C714" s="22">
        <v>46021</v>
      </c>
      <c r="D714" s="104">
        <v>251230045</v>
      </c>
      <c r="E714" s="24" t="s">
        <v>1390</v>
      </c>
      <c r="F714" s="24"/>
      <c r="G714" s="24"/>
      <c r="H714" s="25">
        <v>42</v>
      </c>
      <c r="I714" s="43" t="s">
        <v>52</v>
      </c>
      <c r="J714" s="151" t="s">
        <v>23</v>
      </c>
      <c r="K714" s="43" t="s">
        <v>32</v>
      </c>
      <c r="L714" s="101" t="s">
        <v>44</v>
      </c>
      <c r="M714" s="24" t="s">
        <v>37</v>
      </c>
      <c r="N714" s="37">
        <v>49.66</v>
      </c>
      <c r="O714" s="37">
        <v>11.38</v>
      </c>
      <c r="P714" s="28">
        <f t="shared" si="121"/>
        <v>38.279999999999994</v>
      </c>
      <c r="Q714" s="29">
        <v>495</v>
      </c>
      <c r="R714" s="30">
        <f t="shared" si="122"/>
        <v>18948.599999999999</v>
      </c>
      <c r="S714" s="29"/>
      <c r="T714" s="31"/>
      <c r="V714" s="31" t="s">
        <v>24</v>
      </c>
      <c r="W714" s="29">
        <v>145</v>
      </c>
      <c r="X714" s="32">
        <f t="shared" si="116"/>
        <v>5550.5999999999995</v>
      </c>
      <c r="Y714" s="33">
        <v>260</v>
      </c>
      <c r="Z714" s="31">
        <f t="shared" si="117"/>
        <v>9952.7999999999993</v>
      </c>
      <c r="AA714" s="31">
        <f t="shared" si="118"/>
        <v>34452</v>
      </c>
    </row>
    <row r="715" spans="1:27" s="38" customFormat="1" ht="15.75" x14ac:dyDescent="0.25">
      <c r="A715" s="51">
        <v>712</v>
      </c>
      <c r="B715" s="22">
        <v>46021</v>
      </c>
      <c r="C715" s="22">
        <v>46021</v>
      </c>
      <c r="D715" s="104">
        <v>251230046</v>
      </c>
      <c r="E715" s="24" t="s">
        <v>1391</v>
      </c>
      <c r="F715" s="24"/>
      <c r="G715" s="24"/>
      <c r="H715" s="25">
        <v>42</v>
      </c>
      <c r="I715" s="43" t="s">
        <v>52</v>
      </c>
      <c r="J715" s="151" t="s">
        <v>23</v>
      </c>
      <c r="K715" s="43" t="s">
        <v>32</v>
      </c>
      <c r="L715" s="101" t="s">
        <v>1392</v>
      </c>
      <c r="M715" s="24" t="s">
        <v>36</v>
      </c>
      <c r="N715" s="37">
        <v>59.96</v>
      </c>
      <c r="O715" s="37">
        <v>15.66</v>
      </c>
      <c r="P715" s="28">
        <f t="shared" si="121"/>
        <v>44.3</v>
      </c>
      <c r="Q715" s="29">
        <v>525</v>
      </c>
      <c r="R715" s="30">
        <f t="shared" si="122"/>
        <v>23257.5</v>
      </c>
      <c r="S715" s="24"/>
      <c r="T715" s="31"/>
      <c r="V715" s="31" t="s">
        <v>24</v>
      </c>
      <c r="W715" s="29">
        <v>145</v>
      </c>
      <c r="X715" s="32">
        <f t="shared" si="116"/>
        <v>6423.5</v>
      </c>
      <c r="Y715" s="33">
        <v>260</v>
      </c>
      <c r="Z715" s="31">
        <f t="shared" si="117"/>
        <v>11518</v>
      </c>
      <c r="AA715" s="31">
        <f t="shared" si="118"/>
        <v>41199</v>
      </c>
    </row>
    <row r="716" spans="1:27" s="38" customFormat="1" ht="15.75" x14ac:dyDescent="0.25">
      <c r="A716" s="51">
        <v>713</v>
      </c>
      <c r="B716" s="22">
        <v>46021</v>
      </c>
      <c r="C716" s="22">
        <v>46021</v>
      </c>
      <c r="D716" s="104">
        <v>251230047</v>
      </c>
      <c r="E716" s="24" t="s">
        <v>1393</v>
      </c>
      <c r="F716" s="24"/>
      <c r="G716" s="24"/>
      <c r="H716" s="25">
        <v>42</v>
      </c>
      <c r="I716" s="43" t="s">
        <v>52</v>
      </c>
      <c r="J716" s="151" t="s">
        <v>23</v>
      </c>
      <c r="K716" s="43" t="s">
        <v>32</v>
      </c>
      <c r="L716" s="101" t="s">
        <v>54</v>
      </c>
      <c r="M716" s="24" t="s">
        <v>36</v>
      </c>
      <c r="N716" s="37">
        <v>61.34</v>
      </c>
      <c r="O716" s="37">
        <v>14.94</v>
      </c>
      <c r="P716" s="28">
        <f t="shared" si="121"/>
        <v>46.400000000000006</v>
      </c>
      <c r="Q716" s="29">
        <v>525</v>
      </c>
      <c r="R716" s="30">
        <f t="shared" si="122"/>
        <v>24360.000000000004</v>
      </c>
      <c r="S716" s="24"/>
      <c r="T716" s="31"/>
      <c r="V716" s="31" t="s">
        <v>24</v>
      </c>
      <c r="W716" s="29">
        <v>145</v>
      </c>
      <c r="X716" s="32">
        <f t="shared" si="116"/>
        <v>6728.0000000000009</v>
      </c>
      <c r="Y716" s="33">
        <v>260</v>
      </c>
      <c r="Z716" s="31">
        <f t="shared" si="117"/>
        <v>12064.000000000002</v>
      </c>
      <c r="AA716" s="31">
        <f t="shared" si="118"/>
        <v>43152.000000000007</v>
      </c>
    </row>
    <row r="717" spans="1:27" s="38" customFormat="1" ht="15.75" x14ac:dyDescent="0.25">
      <c r="A717" s="51">
        <v>714</v>
      </c>
      <c r="B717" s="22">
        <v>46021</v>
      </c>
      <c r="C717" s="22">
        <v>46022</v>
      </c>
      <c r="D717" s="104">
        <v>251231001</v>
      </c>
      <c r="E717" s="24" t="s">
        <v>1394</v>
      </c>
      <c r="F717" s="24"/>
      <c r="G717" s="24"/>
      <c r="H717" s="25">
        <v>42</v>
      </c>
      <c r="I717" s="43" t="s">
        <v>52</v>
      </c>
      <c r="J717" s="151" t="s">
        <v>23</v>
      </c>
      <c r="K717" s="43" t="s">
        <v>32</v>
      </c>
      <c r="L717" s="101" t="s">
        <v>1221</v>
      </c>
      <c r="M717" s="24" t="s">
        <v>34</v>
      </c>
      <c r="N717" s="37">
        <v>56.32</v>
      </c>
      <c r="O717" s="37">
        <v>15.76</v>
      </c>
      <c r="P717" s="28">
        <f t="shared" si="121"/>
        <v>40.56</v>
      </c>
      <c r="Q717" s="29">
        <v>285</v>
      </c>
      <c r="R717" s="30">
        <f t="shared" si="122"/>
        <v>11559.6</v>
      </c>
      <c r="S717" s="24"/>
      <c r="T717" s="31"/>
      <c r="V717" s="31" t="s">
        <v>24</v>
      </c>
      <c r="W717" s="29">
        <v>145</v>
      </c>
      <c r="X717" s="32">
        <f t="shared" si="116"/>
        <v>5881.2000000000007</v>
      </c>
      <c r="Y717" s="33">
        <v>260</v>
      </c>
      <c r="Z717" s="31">
        <f t="shared" si="117"/>
        <v>10545.6</v>
      </c>
      <c r="AA717" s="31">
        <f t="shared" si="118"/>
        <v>27986.400000000001</v>
      </c>
    </row>
    <row r="718" spans="1:27" s="38" customFormat="1" ht="15.75" x14ac:dyDescent="0.25">
      <c r="A718" s="51">
        <v>715</v>
      </c>
      <c r="B718" s="22">
        <v>46021</v>
      </c>
      <c r="C718" s="22">
        <v>46021</v>
      </c>
      <c r="D718" s="104">
        <v>251230048</v>
      </c>
      <c r="E718" s="24" t="s">
        <v>1395</v>
      </c>
      <c r="F718" s="24"/>
      <c r="G718" s="24"/>
      <c r="H718" s="25">
        <v>42</v>
      </c>
      <c r="I718" s="43" t="s">
        <v>52</v>
      </c>
      <c r="J718" s="151" t="s">
        <v>23</v>
      </c>
      <c r="K718" s="43" t="s">
        <v>32</v>
      </c>
      <c r="L718" s="108" t="s">
        <v>418</v>
      </c>
      <c r="M718" s="24" t="s">
        <v>34</v>
      </c>
      <c r="N718" s="37">
        <v>64.98</v>
      </c>
      <c r="O718" s="37">
        <v>18.12</v>
      </c>
      <c r="P718" s="28">
        <f t="shared" si="121"/>
        <v>46.86</v>
      </c>
      <c r="Q718" s="29">
        <v>285</v>
      </c>
      <c r="R718" s="30">
        <f t="shared" si="122"/>
        <v>13355.1</v>
      </c>
      <c r="S718" s="24"/>
      <c r="T718" s="31"/>
      <c r="V718" s="31" t="s">
        <v>24</v>
      </c>
      <c r="W718" s="29">
        <v>145</v>
      </c>
      <c r="X718" s="32">
        <f t="shared" si="116"/>
        <v>6794.7</v>
      </c>
      <c r="Y718" s="33">
        <v>260</v>
      </c>
      <c r="Z718" s="31">
        <f t="shared" si="117"/>
        <v>12183.6</v>
      </c>
      <c r="AA718" s="31">
        <f t="shared" si="118"/>
        <v>32333.4</v>
      </c>
    </row>
    <row r="719" spans="1:27" s="38" customFormat="1" ht="15.75" x14ac:dyDescent="0.25">
      <c r="A719" s="51">
        <v>716</v>
      </c>
      <c r="B719" s="22">
        <v>46021</v>
      </c>
      <c r="C719" s="22">
        <v>46022</v>
      </c>
      <c r="D719" s="153" t="s">
        <v>1396</v>
      </c>
      <c r="E719" s="24"/>
      <c r="F719" s="24"/>
      <c r="G719" s="24"/>
      <c r="H719" s="46">
        <v>241</v>
      </c>
      <c r="I719" s="43" t="s">
        <v>1334</v>
      </c>
      <c r="J719" s="147" t="s">
        <v>23</v>
      </c>
      <c r="K719" s="43" t="s">
        <v>30</v>
      </c>
      <c r="L719" s="101" t="s">
        <v>396</v>
      </c>
      <c r="M719" s="24" t="s">
        <v>36</v>
      </c>
      <c r="N719" s="37">
        <v>19.440000000000001</v>
      </c>
      <c r="O719" s="24">
        <v>7.3</v>
      </c>
      <c r="P719" s="28">
        <f t="shared" si="121"/>
        <v>12.14</v>
      </c>
      <c r="Q719" s="29">
        <v>530</v>
      </c>
      <c r="R719" s="30">
        <f t="shared" si="122"/>
        <v>6434.2000000000007</v>
      </c>
      <c r="S719" s="24"/>
      <c r="T719" s="31"/>
      <c r="V719" s="31" t="s">
        <v>1332</v>
      </c>
      <c r="W719" s="29"/>
      <c r="X719" s="32">
        <f t="shared" si="116"/>
        <v>0</v>
      </c>
      <c r="Y719" s="33"/>
      <c r="Z719" s="31">
        <f t="shared" si="117"/>
        <v>0</v>
      </c>
      <c r="AA719" s="31">
        <f t="shared" si="118"/>
        <v>6434.2000000000007</v>
      </c>
    </row>
    <row r="720" spans="1:27" s="38" customFormat="1" ht="15.75" x14ac:dyDescent="0.25">
      <c r="A720" s="51">
        <v>717</v>
      </c>
      <c r="B720" s="22">
        <v>46021</v>
      </c>
      <c r="C720" s="22">
        <v>46022</v>
      </c>
      <c r="D720" s="104">
        <v>251231003</v>
      </c>
      <c r="E720" s="24" t="s">
        <v>1397</v>
      </c>
      <c r="F720" s="24"/>
      <c r="G720" s="24"/>
      <c r="H720" s="25">
        <v>42</v>
      </c>
      <c r="I720" s="43" t="s">
        <v>52</v>
      </c>
      <c r="J720" s="151" t="s">
        <v>23</v>
      </c>
      <c r="K720" s="43" t="s">
        <v>32</v>
      </c>
      <c r="L720" s="101" t="s">
        <v>444</v>
      </c>
      <c r="M720" s="24" t="s">
        <v>37</v>
      </c>
      <c r="N720" s="37">
        <v>67.900000000000006</v>
      </c>
      <c r="O720" s="37">
        <v>15.58</v>
      </c>
      <c r="P720" s="28">
        <f t="shared" si="121"/>
        <v>52.320000000000007</v>
      </c>
      <c r="Q720" s="29">
        <v>495</v>
      </c>
      <c r="R720" s="30">
        <f t="shared" si="122"/>
        <v>25898.400000000005</v>
      </c>
      <c r="S720" s="24"/>
      <c r="T720" s="31"/>
      <c r="V720" s="31" t="s">
        <v>24</v>
      </c>
      <c r="W720" s="29">
        <v>145</v>
      </c>
      <c r="X720" s="32">
        <f t="shared" si="116"/>
        <v>7586.4000000000015</v>
      </c>
      <c r="Y720" s="33">
        <v>260</v>
      </c>
      <c r="Z720" s="31">
        <f t="shared" si="117"/>
        <v>13603.200000000003</v>
      </c>
      <c r="AA720" s="31">
        <f t="shared" si="118"/>
        <v>47088.000000000007</v>
      </c>
    </row>
    <row r="721" spans="1:27" s="34" customFormat="1" ht="15.75" x14ac:dyDescent="0.25">
      <c r="A721" s="51">
        <v>718</v>
      </c>
      <c r="B721" s="22">
        <v>46021</v>
      </c>
      <c r="C721" s="22">
        <v>46022</v>
      </c>
      <c r="D721" s="104">
        <v>251231002</v>
      </c>
      <c r="E721" s="24" t="s">
        <v>1398</v>
      </c>
      <c r="F721" s="24"/>
      <c r="G721" s="24"/>
      <c r="H721" s="25">
        <v>42</v>
      </c>
      <c r="I721" s="43" t="s">
        <v>52</v>
      </c>
      <c r="J721" s="151" t="s">
        <v>23</v>
      </c>
      <c r="K721" s="43" t="s">
        <v>32</v>
      </c>
      <c r="L721" s="24" t="s">
        <v>39</v>
      </c>
      <c r="M721" s="24" t="s">
        <v>34</v>
      </c>
      <c r="N721" s="37">
        <v>58.12</v>
      </c>
      <c r="O721" s="37">
        <v>15.88</v>
      </c>
      <c r="P721" s="28">
        <f t="shared" si="121"/>
        <v>42.239999999999995</v>
      </c>
      <c r="Q721" s="29">
        <v>285</v>
      </c>
      <c r="R721" s="30">
        <f t="shared" si="122"/>
        <v>12038.399999999998</v>
      </c>
      <c r="S721" s="29"/>
      <c r="T721" s="31"/>
      <c r="V721" s="31" t="s">
        <v>24</v>
      </c>
      <c r="W721" s="29">
        <v>145</v>
      </c>
      <c r="X721" s="32">
        <f t="shared" ref="X721:X743" si="123">W721*P721</f>
        <v>6124.7999999999993</v>
      </c>
      <c r="Y721" s="33">
        <v>260</v>
      </c>
      <c r="Z721" s="31">
        <f t="shared" ref="Z721:Z743" si="124">Y721*P721</f>
        <v>10982.399999999998</v>
      </c>
      <c r="AA721" s="31">
        <f t="shared" ref="AA721:AA745" si="125">R721+X721+Z721</f>
        <v>29145.599999999995</v>
      </c>
    </row>
    <row r="722" spans="1:27" s="34" customFormat="1" ht="15.75" x14ac:dyDescent="0.25">
      <c r="A722" s="51">
        <v>719</v>
      </c>
      <c r="B722" s="22">
        <v>46021</v>
      </c>
      <c r="C722" s="22">
        <v>46022</v>
      </c>
      <c r="D722" s="101">
        <v>251231005</v>
      </c>
      <c r="E722" s="24" t="s">
        <v>1399</v>
      </c>
      <c r="F722" s="24"/>
      <c r="G722" s="24"/>
      <c r="H722" s="35">
        <v>117</v>
      </c>
      <c r="I722" s="44" t="s">
        <v>55</v>
      </c>
      <c r="J722" s="147" t="s">
        <v>23</v>
      </c>
      <c r="K722" s="43" t="s">
        <v>32</v>
      </c>
      <c r="L722" s="101" t="s">
        <v>379</v>
      </c>
      <c r="M722" s="24" t="s">
        <v>34</v>
      </c>
      <c r="N722" s="37">
        <v>56.32</v>
      </c>
      <c r="O722" s="37">
        <v>15.78</v>
      </c>
      <c r="P722" s="28">
        <f t="shared" si="121"/>
        <v>40.54</v>
      </c>
      <c r="Q722" s="29">
        <v>335</v>
      </c>
      <c r="R722" s="30">
        <f t="shared" si="122"/>
        <v>13580.9</v>
      </c>
      <c r="S722" s="29"/>
      <c r="T722" s="31"/>
      <c r="V722" s="31" t="s">
        <v>24</v>
      </c>
      <c r="W722" s="29">
        <v>145</v>
      </c>
      <c r="X722" s="32">
        <f t="shared" si="123"/>
        <v>5878.3</v>
      </c>
      <c r="Y722" s="33">
        <v>200</v>
      </c>
      <c r="Z722" s="31">
        <f t="shared" si="124"/>
        <v>8108</v>
      </c>
      <c r="AA722" s="31">
        <f t="shared" si="125"/>
        <v>27567.200000000001</v>
      </c>
    </row>
    <row r="723" spans="1:27" s="38" customFormat="1" ht="15.75" x14ac:dyDescent="0.25">
      <c r="A723" s="51">
        <v>720</v>
      </c>
      <c r="B723" s="22">
        <v>46021</v>
      </c>
      <c r="C723" s="22">
        <v>46022</v>
      </c>
      <c r="D723" s="101">
        <v>251231004</v>
      </c>
      <c r="E723" s="24" t="s">
        <v>1400</v>
      </c>
      <c r="F723" s="24"/>
      <c r="G723" s="24"/>
      <c r="H723" s="25">
        <v>42</v>
      </c>
      <c r="I723" s="43" t="s">
        <v>52</v>
      </c>
      <c r="J723" s="151" t="s">
        <v>23</v>
      </c>
      <c r="K723" s="43" t="s">
        <v>32</v>
      </c>
      <c r="L723" s="101" t="s">
        <v>426</v>
      </c>
      <c r="M723" s="24" t="s">
        <v>37</v>
      </c>
      <c r="N723" s="37">
        <v>70.56</v>
      </c>
      <c r="O723" s="37">
        <v>18.899999999999999</v>
      </c>
      <c r="P723" s="28">
        <f t="shared" si="121"/>
        <v>51.660000000000004</v>
      </c>
      <c r="Q723" s="29">
        <v>495</v>
      </c>
      <c r="R723" s="30">
        <f t="shared" si="122"/>
        <v>25571.7</v>
      </c>
      <c r="S723" s="29"/>
      <c r="T723" s="31"/>
      <c r="V723" s="31" t="s">
        <v>24</v>
      </c>
      <c r="W723" s="29">
        <v>145</v>
      </c>
      <c r="X723" s="32">
        <f t="shared" si="123"/>
        <v>7490.7000000000007</v>
      </c>
      <c r="Y723" s="33">
        <v>260</v>
      </c>
      <c r="Z723" s="33">
        <f t="shared" si="124"/>
        <v>13431.6</v>
      </c>
      <c r="AA723" s="31">
        <f t="shared" si="125"/>
        <v>46494</v>
      </c>
    </row>
    <row r="724" spans="1:27" s="34" customFormat="1" ht="15.75" x14ac:dyDescent="0.25">
      <c r="A724" s="51">
        <v>721</v>
      </c>
      <c r="B724" s="22">
        <v>46021</v>
      </c>
      <c r="C724" s="22">
        <v>46022</v>
      </c>
      <c r="D724" s="148">
        <v>251231006</v>
      </c>
      <c r="E724" s="24" t="s">
        <v>1401</v>
      </c>
      <c r="F724" s="24"/>
      <c r="G724" s="24"/>
      <c r="H724" s="35">
        <v>115</v>
      </c>
      <c r="I724" s="43" t="s">
        <v>35</v>
      </c>
      <c r="J724" s="147" t="s">
        <v>23</v>
      </c>
      <c r="K724" s="171" t="s">
        <v>32</v>
      </c>
      <c r="L724" s="101" t="s">
        <v>222</v>
      </c>
      <c r="M724" s="24" t="s">
        <v>37</v>
      </c>
      <c r="N724" s="37">
        <v>60.3</v>
      </c>
      <c r="O724" s="37">
        <v>15.64</v>
      </c>
      <c r="P724" s="28">
        <f t="shared" si="121"/>
        <v>44.66</v>
      </c>
      <c r="Q724" s="29">
        <v>445</v>
      </c>
      <c r="R724" s="30">
        <f t="shared" si="122"/>
        <v>19873.699999999997</v>
      </c>
      <c r="S724" s="29"/>
      <c r="T724" s="31"/>
      <c r="V724" s="31" t="s">
        <v>24</v>
      </c>
      <c r="W724" s="29">
        <v>145</v>
      </c>
      <c r="X724" s="32">
        <f t="shared" si="123"/>
        <v>6475.7</v>
      </c>
      <c r="Y724" s="33">
        <v>260</v>
      </c>
      <c r="Z724" s="33">
        <f t="shared" si="124"/>
        <v>11611.599999999999</v>
      </c>
      <c r="AA724" s="31">
        <f t="shared" si="125"/>
        <v>37961</v>
      </c>
    </row>
    <row r="725" spans="1:27" s="38" customFormat="1" ht="15.75" x14ac:dyDescent="0.25">
      <c r="A725" s="51">
        <v>722</v>
      </c>
      <c r="B725" s="22">
        <v>46021</v>
      </c>
      <c r="C725" s="22">
        <v>46022</v>
      </c>
      <c r="D725" s="148">
        <v>251231007</v>
      </c>
      <c r="E725" s="24" t="s">
        <v>1402</v>
      </c>
      <c r="F725" s="24"/>
      <c r="G725" s="24"/>
      <c r="H725" s="35">
        <v>115</v>
      </c>
      <c r="I725" s="43" t="s">
        <v>35</v>
      </c>
      <c r="J725" s="147" t="s">
        <v>23</v>
      </c>
      <c r="K725" s="171" t="s">
        <v>32</v>
      </c>
      <c r="L725" s="101" t="s">
        <v>1326</v>
      </c>
      <c r="M725" s="24" t="s">
        <v>36</v>
      </c>
      <c r="N725" s="24">
        <v>60.44</v>
      </c>
      <c r="O725" s="37">
        <v>15.66</v>
      </c>
      <c r="P725" s="28">
        <f t="shared" si="121"/>
        <v>44.78</v>
      </c>
      <c r="Q725" s="29">
        <v>545</v>
      </c>
      <c r="R725" s="30">
        <f t="shared" si="122"/>
        <v>24405.100000000002</v>
      </c>
      <c r="S725" s="24"/>
      <c r="T725" s="31"/>
      <c r="V725" s="31" t="s">
        <v>24</v>
      </c>
      <c r="W725" s="29">
        <v>145</v>
      </c>
      <c r="X725" s="32">
        <f t="shared" si="123"/>
        <v>6493.1</v>
      </c>
      <c r="Y725" s="33">
        <v>260</v>
      </c>
      <c r="Z725" s="31">
        <f t="shared" si="124"/>
        <v>11642.800000000001</v>
      </c>
      <c r="AA725" s="31">
        <f t="shared" si="125"/>
        <v>42541.000000000007</v>
      </c>
    </row>
    <row r="726" spans="1:27" s="34" customFormat="1" ht="15.75" x14ac:dyDescent="0.25">
      <c r="A726" s="51">
        <v>723</v>
      </c>
      <c r="B726" s="22">
        <v>46021</v>
      </c>
      <c r="C726" s="22">
        <v>46022</v>
      </c>
      <c r="D726" s="148" t="s">
        <v>1403</v>
      </c>
      <c r="E726" s="24"/>
      <c r="F726" s="24"/>
      <c r="G726" s="24"/>
      <c r="H726" s="46">
        <v>241</v>
      </c>
      <c r="I726" s="43" t="s">
        <v>1334</v>
      </c>
      <c r="J726" s="147" t="s">
        <v>23</v>
      </c>
      <c r="K726" s="43" t="s">
        <v>30</v>
      </c>
      <c r="L726" s="101" t="s">
        <v>396</v>
      </c>
      <c r="M726" s="24" t="s">
        <v>36</v>
      </c>
      <c r="N726" s="24">
        <v>19.239999999999998</v>
      </c>
      <c r="O726" s="37">
        <v>7.28</v>
      </c>
      <c r="P726" s="28">
        <f t="shared" si="121"/>
        <v>11.959999999999997</v>
      </c>
      <c r="Q726" s="29">
        <v>530</v>
      </c>
      <c r="R726" s="30">
        <f t="shared" si="122"/>
        <v>6338.7999999999984</v>
      </c>
      <c r="S726" s="29"/>
      <c r="T726" s="31"/>
      <c r="V726" s="31" t="s">
        <v>1332</v>
      </c>
      <c r="W726" s="29"/>
      <c r="X726" s="32">
        <f t="shared" si="123"/>
        <v>0</v>
      </c>
      <c r="Y726" s="33"/>
      <c r="Z726" s="31">
        <f t="shared" si="124"/>
        <v>0</v>
      </c>
      <c r="AA726" s="31">
        <f t="shared" si="125"/>
        <v>6338.7999999999984</v>
      </c>
    </row>
    <row r="727" spans="1:27" s="34" customFormat="1" ht="15.75" x14ac:dyDescent="0.25">
      <c r="A727" s="51">
        <v>724</v>
      </c>
      <c r="B727" s="22">
        <v>46021</v>
      </c>
      <c r="C727" s="22">
        <v>46022</v>
      </c>
      <c r="D727" s="148">
        <v>251231009</v>
      </c>
      <c r="E727" s="24" t="s">
        <v>1404</v>
      </c>
      <c r="F727" s="24"/>
      <c r="G727" s="24"/>
      <c r="H727" s="35">
        <v>115</v>
      </c>
      <c r="I727" s="43" t="s">
        <v>35</v>
      </c>
      <c r="J727" s="147" t="s">
        <v>23</v>
      </c>
      <c r="K727" s="171" t="s">
        <v>32</v>
      </c>
      <c r="L727" s="101" t="s">
        <v>46</v>
      </c>
      <c r="M727" s="24" t="s">
        <v>36</v>
      </c>
      <c r="N727" s="24">
        <v>78.540000000000006</v>
      </c>
      <c r="O727" s="37">
        <v>17.22</v>
      </c>
      <c r="P727" s="28">
        <f t="shared" si="121"/>
        <v>61.320000000000007</v>
      </c>
      <c r="Q727" s="29">
        <v>545</v>
      </c>
      <c r="R727" s="30">
        <f t="shared" si="122"/>
        <v>33419.4</v>
      </c>
      <c r="S727" s="29"/>
      <c r="T727" s="31"/>
      <c r="V727" s="31" t="s">
        <v>24</v>
      </c>
      <c r="W727" s="29">
        <v>145</v>
      </c>
      <c r="X727" s="32">
        <f t="shared" si="123"/>
        <v>8891.4000000000015</v>
      </c>
      <c r="Y727" s="33">
        <v>260</v>
      </c>
      <c r="Z727" s="31">
        <f t="shared" si="124"/>
        <v>15943.200000000003</v>
      </c>
      <c r="AA727" s="31">
        <f t="shared" si="125"/>
        <v>58254.000000000007</v>
      </c>
    </row>
    <row r="728" spans="1:27" s="34" customFormat="1" ht="15.75" x14ac:dyDescent="0.25">
      <c r="A728" s="51">
        <v>725</v>
      </c>
      <c r="B728" s="22">
        <v>46021</v>
      </c>
      <c r="C728" s="22">
        <v>46022</v>
      </c>
      <c r="D728" s="148">
        <v>251231010</v>
      </c>
      <c r="E728" s="24" t="s">
        <v>1405</v>
      </c>
      <c r="F728" s="24"/>
      <c r="G728" s="24"/>
      <c r="H728" s="35">
        <v>115</v>
      </c>
      <c r="I728" s="43" t="s">
        <v>35</v>
      </c>
      <c r="J728" s="147" t="s">
        <v>23</v>
      </c>
      <c r="K728" s="171" t="s">
        <v>32</v>
      </c>
      <c r="L728" s="101" t="s">
        <v>61</v>
      </c>
      <c r="M728" s="24" t="s">
        <v>36</v>
      </c>
      <c r="N728" s="24">
        <v>60.52</v>
      </c>
      <c r="O728" s="37">
        <v>15.56</v>
      </c>
      <c r="P728" s="28">
        <f t="shared" si="121"/>
        <v>44.96</v>
      </c>
      <c r="Q728" s="29">
        <v>545</v>
      </c>
      <c r="R728" s="30">
        <f t="shared" si="122"/>
        <v>24503.200000000001</v>
      </c>
      <c r="S728" s="29"/>
      <c r="T728" s="31"/>
      <c r="V728" s="31" t="s">
        <v>24</v>
      </c>
      <c r="W728" s="29">
        <v>145</v>
      </c>
      <c r="X728" s="32">
        <f t="shared" si="123"/>
        <v>6519.2</v>
      </c>
      <c r="Y728" s="33">
        <v>260</v>
      </c>
      <c r="Z728" s="33">
        <f t="shared" si="124"/>
        <v>11689.6</v>
      </c>
      <c r="AA728" s="31">
        <f t="shared" si="125"/>
        <v>42712</v>
      </c>
    </row>
    <row r="729" spans="1:27" s="34" customFormat="1" ht="15.75" x14ac:dyDescent="0.25">
      <c r="A729" s="51">
        <v>726</v>
      </c>
      <c r="B729" s="22">
        <v>46021</v>
      </c>
      <c r="C729" s="22">
        <v>46022</v>
      </c>
      <c r="D729" s="101" t="s">
        <v>1403</v>
      </c>
      <c r="E729" s="24"/>
      <c r="F729" s="24"/>
      <c r="G729" s="24"/>
      <c r="H729" s="46">
        <v>241</v>
      </c>
      <c r="I729" s="43" t="s">
        <v>1334</v>
      </c>
      <c r="J729" s="147" t="s">
        <v>23</v>
      </c>
      <c r="K729" s="43" t="s">
        <v>30</v>
      </c>
      <c r="L729" s="101" t="s">
        <v>396</v>
      </c>
      <c r="M729" s="24" t="s">
        <v>36</v>
      </c>
      <c r="N729" s="37">
        <v>19.2</v>
      </c>
      <c r="O729" s="24">
        <v>7.3</v>
      </c>
      <c r="P729" s="28">
        <f t="shared" si="121"/>
        <v>11.899999999999999</v>
      </c>
      <c r="Q729" s="29">
        <v>530</v>
      </c>
      <c r="R729" s="30">
        <f t="shared" si="122"/>
        <v>6306.9999999999991</v>
      </c>
      <c r="S729" s="29"/>
      <c r="T729" s="31"/>
      <c r="V729" s="31" t="s">
        <v>1332</v>
      </c>
      <c r="W729" s="29"/>
      <c r="X729" s="32">
        <f t="shared" si="123"/>
        <v>0</v>
      </c>
      <c r="Y729" s="33"/>
      <c r="Z729" s="33">
        <f t="shared" si="124"/>
        <v>0</v>
      </c>
      <c r="AA729" s="31">
        <f t="shared" si="125"/>
        <v>6306.9999999999991</v>
      </c>
    </row>
    <row r="730" spans="1:27" s="34" customFormat="1" ht="15.75" x14ac:dyDescent="0.25">
      <c r="A730" s="51">
        <v>727</v>
      </c>
      <c r="B730" s="22">
        <v>46021</v>
      </c>
      <c r="C730" s="22">
        <v>46022</v>
      </c>
      <c r="D730" s="101">
        <v>251231011</v>
      </c>
      <c r="E730" s="24" t="s">
        <v>1406</v>
      </c>
      <c r="F730" s="24"/>
      <c r="G730" s="24"/>
      <c r="H730" s="35">
        <v>115</v>
      </c>
      <c r="I730" s="43" t="s">
        <v>35</v>
      </c>
      <c r="J730" s="147" t="s">
        <v>23</v>
      </c>
      <c r="K730" s="171" t="s">
        <v>32</v>
      </c>
      <c r="L730" s="24" t="s">
        <v>286</v>
      </c>
      <c r="M730" s="24" t="s">
        <v>37</v>
      </c>
      <c r="N730" s="37">
        <v>50.36</v>
      </c>
      <c r="O730" s="37">
        <v>11.42</v>
      </c>
      <c r="P730" s="28">
        <f t="shared" si="121"/>
        <v>38.94</v>
      </c>
      <c r="Q730" s="29">
        <v>445</v>
      </c>
      <c r="R730" s="30">
        <f t="shared" si="122"/>
        <v>17328.3</v>
      </c>
      <c r="S730" s="29"/>
      <c r="T730" s="31"/>
      <c r="V730" s="31" t="s">
        <v>24</v>
      </c>
      <c r="W730" s="29">
        <v>145</v>
      </c>
      <c r="X730" s="32">
        <f t="shared" si="123"/>
        <v>5646.2999999999993</v>
      </c>
      <c r="Y730" s="33">
        <v>260</v>
      </c>
      <c r="Z730" s="33">
        <f t="shared" si="124"/>
        <v>10124.4</v>
      </c>
      <c r="AA730" s="31">
        <f t="shared" si="125"/>
        <v>33099</v>
      </c>
    </row>
    <row r="731" spans="1:27" s="38" customFormat="1" ht="15.75" x14ac:dyDescent="0.25">
      <c r="A731" s="51">
        <v>728</v>
      </c>
      <c r="B731" s="22">
        <v>46021</v>
      </c>
      <c r="C731" s="22">
        <v>46022</v>
      </c>
      <c r="D731" s="101">
        <v>251231013</v>
      </c>
      <c r="E731" s="24" t="s">
        <v>1407</v>
      </c>
      <c r="F731" s="24"/>
      <c r="G731" s="24"/>
      <c r="H731" s="35">
        <v>115</v>
      </c>
      <c r="I731" s="43" t="s">
        <v>35</v>
      </c>
      <c r="J731" s="147" t="s">
        <v>23</v>
      </c>
      <c r="K731" s="171" t="s">
        <v>32</v>
      </c>
      <c r="L731" s="24" t="s">
        <v>44</v>
      </c>
      <c r="M731" s="24" t="s">
        <v>37</v>
      </c>
      <c r="N731" s="37">
        <v>50.84</v>
      </c>
      <c r="O731" s="37">
        <v>11.76</v>
      </c>
      <c r="P731" s="28">
        <f t="shared" si="121"/>
        <v>39.080000000000005</v>
      </c>
      <c r="Q731" s="29">
        <v>445</v>
      </c>
      <c r="R731" s="30">
        <f t="shared" si="122"/>
        <v>17390.600000000002</v>
      </c>
      <c r="S731" s="29"/>
      <c r="T731" s="31"/>
      <c r="V731" s="31" t="s">
        <v>24</v>
      </c>
      <c r="W731" s="29">
        <v>145</v>
      </c>
      <c r="X731" s="32">
        <f t="shared" si="123"/>
        <v>5666.6</v>
      </c>
      <c r="Y731" s="33">
        <v>260</v>
      </c>
      <c r="Z731" s="33">
        <f t="shared" si="124"/>
        <v>10160.800000000001</v>
      </c>
      <c r="AA731" s="31">
        <f t="shared" si="125"/>
        <v>33218.000000000007</v>
      </c>
    </row>
    <row r="732" spans="1:27" s="34" customFormat="1" ht="15.75" x14ac:dyDescent="0.25">
      <c r="A732" s="51">
        <v>729</v>
      </c>
      <c r="B732" s="22">
        <v>46021</v>
      </c>
      <c r="C732" s="22">
        <v>46022</v>
      </c>
      <c r="D732" s="101">
        <v>251231014</v>
      </c>
      <c r="E732" s="24" t="s">
        <v>1408</v>
      </c>
      <c r="F732" s="24"/>
      <c r="G732" s="24"/>
      <c r="H732" s="35">
        <v>115</v>
      </c>
      <c r="I732" s="43" t="s">
        <v>35</v>
      </c>
      <c r="J732" s="147" t="s">
        <v>23</v>
      </c>
      <c r="K732" s="171" t="s">
        <v>32</v>
      </c>
      <c r="L732" s="24" t="s">
        <v>1133</v>
      </c>
      <c r="M732" s="24" t="s">
        <v>36</v>
      </c>
      <c r="N732" s="37">
        <v>67.400000000000006</v>
      </c>
      <c r="O732" s="37">
        <v>15.44</v>
      </c>
      <c r="P732" s="28">
        <f t="shared" si="121"/>
        <v>51.960000000000008</v>
      </c>
      <c r="Q732" s="29">
        <v>545</v>
      </c>
      <c r="R732" s="30">
        <f t="shared" si="122"/>
        <v>28318.200000000004</v>
      </c>
      <c r="S732" s="29"/>
      <c r="T732" s="31"/>
      <c r="V732" s="31" t="s">
        <v>24</v>
      </c>
      <c r="W732" s="29">
        <v>145</v>
      </c>
      <c r="X732" s="32">
        <f t="shared" si="123"/>
        <v>7534.2000000000007</v>
      </c>
      <c r="Y732" s="33">
        <v>260</v>
      </c>
      <c r="Z732" s="33">
        <f t="shared" si="124"/>
        <v>13509.600000000002</v>
      </c>
      <c r="AA732" s="31">
        <f t="shared" si="125"/>
        <v>49362.000000000015</v>
      </c>
    </row>
    <row r="733" spans="1:27" s="34" customFormat="1" ht="15.75" x14ac:dyDescent="0.25">
      <c r="A733" s="51">
        <v>730</v>
      </c>
      <c r="B733" s="22">
        <v>46021</v>
      </c>
      <c r="C733" s="22">
        <v>46022</v>
      </c>
      <c r="D733" s="101">
        <v>251231012</v>
      </c>
      <c r="E733" s="24" t="s">
        <v>1409</v>
      </c>
      <c r="F733" s="24"/>
      <c r="G733" s="24"/>
      <c r="H733" s="35">
        <v>115</v>
      </c>
      <c r="I733" s="43" t="s">
        <v>35</v>
      </c>
      <c r="J733" s="147" t="s">
        <v>23</v>
      </c>
      <c r="K733" s="171" t="s">
        <v>32</v>
      </c>
      <c r="L733" s="101" t="s">
        <v>40</v>
      </c>
      <c r="M733" s="24" t="s">
        <v>36</v>
      </c>
      <c r="N733" s="24">
        <v>63.66</v>
      </c>
      <c r="O733" s="37">
        <v>15.06</v>
      </c>
      <c r="P733" s="28">
        <f t="shared" si="121"/>
        <v>48.599999999999994</v>
      </c>
      <c r="Q733" s="29">
        <v>545</v>
      </c>
      <c r="R733" s="30">
        <f t="shared" si="122"/>
        <v>26486.999999999996</v>
      </c>
      <c r="S733" s="29"/>
      <c r="T733" s="31"/>
      <c r="V733" s="31" t="s">
        <v>24</v>
      </c>
      <c r="W733" s="29">
        <v>145</v>
      </c>
      <c r="X733" s="32">
        <f t="shared" si="123"/>
        <v>7046.9999999999991</v>
      </c>
      <c r="Y733" s="33">
        <v>260</v>
      </c>
      <c r="Z733" s="33">
        <f t="shared" si="124"/>
        <v>12635.999999999998</v>
      </c>
      <c r="AA733" s="31">
        <f t="shared" si="125"/>
        <v>46169.999999999993</v>
      </c>
    </row>
    <row r="734" spans="1:27" s="34" customFormat="1" ht="15.75" x14ac:dyDescent="0.25">
      <c r="A734" s="51">
        <v>731</v>
      </c>
      <c r="B734" s="22">
        <v>46021</v>
      </c>
      <c r="C734" s="22">
        <v>46022</v>
      </c>
      <c r="D734" s="153">
        <v>251231015</v>
      </c>
      <c r="E734" s="24" t="s">
        <v>1410</v>
      </c>
      <c r="F734" s="24"/>
      <c r="G734" s="24"/>
      <c r="H734" s="35">
        <v>115</v>
      </c>
      <c r="I734" s="43" t="s">
        <v>35</v>
      </c>
      <c r="J734" s="147" t="s">
        <v>23</v>
      </c>
      <c r="K734" s="171" t="s">
        <v>32</v>
      </c>
      <c r="L734" s="24" t="s">
        <v>41</v>
      </c>
      <c r="M734" s="24" t="s">
        <v>37</v>
      </c>
      <c r="N734" s="37">
        <v>51.4</v>
      </c>
      <c r="O734" s="37">
        <v>11.8</v>
      </c>
      <c r="P734" s="28">
        <f t="shared" si="121"/>
        <v>39.599999999999994</v>
      </c>
      <c r="Q734" s="29">
        <v>445</v>
      </c>
      <c r="R734" s="30">
        <f t="shared" si="122"/>
        <v>17621.999999999996</v>
      </c>
      <c r="S734" s="29"/>
      <c r="T734" s="31"/>
      <c r="V734" s="31" t="s">
        <v>24</v>
      </c>
      <c r="W734" s="29">
        <v>145</v>
      </c>
      <c r="X734" s="32">
        <f t="shared" si="123"/>
        <v>5741.9999999999991</v>
      </c>
      <c r="Y734" s="33">
        <v>260</v>
      </c>
      <c r="Z734" s="33">
        <f t="shared" si="124"/>
        <v>10295.999999999998</v>
      </c>
      <c r="AA734" s="31">
        <f t="shared" si="125"/>
        <v>33659.999999999993</v>
      </c>
    </row>
    <row r="735" spans="1:27" s="34" customFormat="1" ht="15.75" x14ac:dyDescent="0.25">
      <c r="A735" s="51">
        <v>732</v>
      </c>
      <c r="B735" s="22">
        <v>46021</v>
      </c>
      <c r="C735" s="22">
        <v>46022</v>
      </c>
      <c r="D735" s="153">
        <v>251231018</v>
      </c>
      <c r="E735" s="24" t="s">
        <v>1411</v>
      </c>
      <c r="F735" s="24"/>
      <c r="G735" s="24"/>
      <c r="H735" s="25">
        <v>84</v>
      </c>
      <c r="I735" s="26" t="s">
        <v>50</v>
      </c>
      <c r="J735" s="151" t="s">
        <v>23</v>
      </c>
      <c r="K735" s="43" t="s">
        <v>32</v>
      </c>
      <c r="L735" s="24" t="s">
        <v>1221</v>
      </c>
      <c r="M735" s="24" t="s">
        <v>34</v>
      </c>
      <c r="N735" s="37">
        <v>57.64</v>
      </c>
      <c r="O735" s="24">
        <v>15.72</v>
      </c>
      <c r="P735" s="28">
        <f t="shared" si="121"/>
        <v>41.92</v>
      </c>
      <c r="Q735" s="29">
        <v>305</v>
      </c>
      <c r="R735" s="30">
        <f t="shared" si="122"/>
        <v>12785.6</v>
      </c>
      <c r="S735" s="29"/>
      <c r="T735" s="31"/>
      <c r="V735" s="31" t="s">
        <v>24</v>
      </c>
      <c r="W735" s="29">
        <v>145</v>
      </c>
      <c r="X735" s="32">
        <f t="shared" si="123"/>
        <v>6078.4000000000005</v>
      </c>
      <c r="Y735" s="33">
        <v>210</v>
      </c>
      <c r="Z735" s="33">
        <f t="shared" si="124"/>
        <v>8803.2000000000007</v>
      </c>
      <c r="AA735" s="31">
        <f t="shared" si="125"/>
        <v>27667.200000000001</v>
      </c>
    </row>
    <row r="736" spans="1:27" s="38" customFormat="1" ht="15.75" x14ac:dyDescent="0.25">
      <c r="A736" s="51">
        <v>733</v>
      </c>
      <c r="B736" s="22">
        <v>46021</v>
      </c>
      <c r="C736" s="22">
        <v>46022</v>
      </c>
      <c r="D736" s="101">
        <v>251231017</v>
      </c>
      <c r="E736" s="24" t="s">
        <v>1412</v>
      </c>
      <c r="F736" s="24"/>
      <c r="G736" s="24"/>
      <c r="H736" s="25">
        <v>84</v>
      </c>
      <c r="I736" s="26" t="s">
        <v>50</v>
      </c>
      <c r="J736" s="151" t="s">
        <v>23</v>
      </c>
      <c r="K736" s="43" t="s">
        <v>32</v>
      </c>
      <c r="L736" s="24" t="s">
        <v>418</v>
      </c>
      <c r="M736" s="24" t="s">
        <v>36</v>
      </c>
      <c r="N736" s="37">
        <v>69.239999999999995</v>
      </c>
      <c r="O736" s="37">
        <v>18.079999999999998</v>
      </c>
      <c r="P736" s="28">
        <f t="shared" si="121"/>
        <v>51.16</v>
      </c>
      <c r="Q736" s="29">
        <v>515</v>
      </c>
      <c r="R736" s="30">
        <f t="shared" si="122"/>
        <v>26347.399999999998</v>
      </c>
      <c r="S736" s="29"/>
      <c r="T736" s="31"/>
      <c r="V736" s="31" t="s">
        <v>24</v>
      </c>
      <c r="W736" s="29">
        <v>145</v>
      </c>
      <c r="X736" s="32">
        <f t="shared" si="123"/>
        <v>7418.2</v>
      </c>
      <c r="Y736" s="33">
        <v>210</v>
      </c>
      <c r="Z736" s="33">
        <f t="shared" si="124"/>
        <v>10743.599999999999</v>
      </c>
      <c r="AA736" s="31">
        <f t="shared" si="125"/>
        <v>44509.2</v>
      </c>
    </row>
    <row r="737" spans="1:27" s="34" customFormat="1" ht="15.75" x14ac:dyDescent="0.25">
      <c r="A737" s="51">
        <v>734</v>
      </c>
      <c r="B737" s="22">
        <v>46021</v>
      </c>
      <c r="C737" s="22">
        <v>46022</v>
      </c>
      <c r="D737" s="101">
        <v>251231019</v>
      </c>
      <c r="E737" s="24" t="s">
        <v>1413</v>
      </c>
      <c r="F737" s="24"/>
      <c r="G737" s="24"/>
      <c r="H737" s="25">
        <v>84</v>
      </c>
      <c r="I737" s="26" t="s">
        <v>50</v>
      </c>
      <c r="J737" s="151" t="s">
        <v>23</v>
      </c>
      <c r="K737" s="43" t="s">
        <v>32</v>
      </c>
      <c r="L737" s="24" t="s">
        <v>467</v>
      </c>
      <c r="M737" s="24" t="s">
        <v>34</v>
      </c>
      <c r="N737" s="37">
        <v>63.66</v>
      </c>
      <c r="O737" s="24">
        <v>16.32</v>
      </c>
      <c r="P737" s="28">
        <f t="shared" si="121"/>
        <v>47.339999999999996</v>
      </c>
      <c r="Q737" s="29">
        <v>305</v>
      </c>
      <c r="R737" s="30">
        <f t="shared" si="122"/>
        <v>14438.699999999999</v>
      </c>
      <c r="S737" s="29"/>
      <c r="T737" s="31"/>
      <c r="V737" s="31" t="s">
        <v>24</v>
      </c>
      <c r="W737" s="29">
        <v>145</v>
      </c>
      <c r="X737" s="32">
        <f t="shared" si="123"/>
        <v>6864.2999999999993</v>
      </c>
      <c r="Y737" s="33">
        <v>210</v>
      </c>
      <c r="Z737" s="33">
        <f t="shared" si="124"/>
        <v>9941.4</v>
      </c>
      <c r="AA737" s="31">
        <f t="shared" si="125"/>
        <v>31244.400000000001</v>
      </c>
    </row>
    <row r="738" spans="1:27" s="38" customFormat="1" ht="15.75" x14ac:dyDescent="0.25">
      <c r="A738" s="51">
        <v>735</v>
      </c>
      <c r="B738" s="22">
        <v>46021</v>
      </c>
      <c r="C738" s="22">
        <v>46022</v>
      </c>
      <c r="D738" s="101">
        <v>251231020</v>
      </c>
      <c r="E738" s="24" t="s">
        <v>1414</v>
      </c>
      <c r="F738" s="24"/>
      <c r="G738" s="24"/>
      <c r="H738" s="25">
        <v>84</v>
      </c>
      <c r="I738" s="26" t="s">
        <v>50</v>
      </c>
      <c r="J738" s="151" t="s">
        <v>23</v>
      </c>
      <c r="K738" s="43" t="s">
        <v>32</v>
      </c>
      <c r="L738" s="179" t="s">
        <v>913</v>
      </c>
      <c r="M738" s="24" t="s">
        <v>36</v>
      </c>
      <c r="N738" s="37">
        <v>61.32</v>
      </c>
      <c r="O738" s="24">
        <v>16.239999999999998</v>
      </c>
      <c r="P738" s="28">
        <f t="shared" si="121"/>
        <v>45.08</v>
      </c>
      <c r="Q738" s="29">
        <v>515</v>
      </c>
      <c r="R738" s="30">
        <f t="shared" si="122"/>
        <v>23216.2</v>
      </c>
      <c r="S738" s="24"/>
      <c r="T738" s="31"/>
      <c r="V738" s="31" t="s">
        <v>24</v>
      </c>
      <c r="W738" s="29">
        <v>145</v>
      </c>
      <c r="X738" s="32">
        <f t="shared" si="123"/>
        <v>6536.5999999999995</v>
      </c>
      <c r="Y738" s="33">
        <v>210</v>
      </c>
      <c r="Z738" s="31">
        <f t="shared" si="124"/>
        <v>9466.7999999999993</v>
      </c>
      <c r="AA738" s="31">
        <f t="shared" si="125"/>
        <v>39219.599999999999</v>
      </c>
    </row>
    <row r="739" spans="1:27" s="34" customFormat="1" ht="15.75" x14ac:dyDescent="0.25">
      <c r="A739" s="51">
        <v>736</v>
      </c>
      <c r="B739" s="22">
        <v>46021</v>
      </c>
      <c r="C739" s="22">
        <v>46022</v>
      </c>
      <c r="D739" s="101">
        <v>251231016</v>
      </c>
      <c r="E739" s="24" t="s">
        <v>1415</v>
      </c>
      <c r="F739" s="24"/>
      <c r="G739" s="24"/>
      <c r="H739" s="25">
        <v>42</v>
      </c>
      <c r="I739" s="43" t="s">
        <v>52</v>
      </c>
      <c r="J739" s="151" t="s">
        <v>23</v>
      </c>
      <c r="K739" s="43" t="s">
        <v>32</v>
      </c>
      <c r="L739" s="24" t="s">
        <v>1354</v>
      </c>
      <c r="M739" s="24" t="s">
        <v>37</v>
      </c>
      <c r="N739" s="37">
        <v>50.52</v>
      </c>
      <c r="O739" s="24">
        <v>11.58</v>
      </c>
      <c r="P739" s="28">
        <f t="shared" si="121"/>
        <v>38.940000000000005</v>
      </c>
      <c r="Q739" s="29">
        <v>495</v>
      </c>
      <c r="R739" s="30">
        <f t="shared" si="122"/>
        <v>19275.300000000003</v>
      </c>
      <c r="S739" s="29"/>
      <c r="T739" s="31"/>
      <c r="V739" s="31" t="s">
        <v>24</v>
      </c>
      <c r="W739" s="29">
        <v>145</v>
      </c>
      <c r="X739" s="32">
        <f t="shared" si="123"/>
        <v>5646.3000000000011</v>
      </c>
      <c r="Y739" s="33">
        <v>260</v>
      </c>
      <c r="Z739" s="33">
        <f t="shared" si="124"/>
        <v>10124.400000000001</v>
      </c>
      <c r="AA739" s="31">
        <f t="shared" si="125"/>
        <v>35046.000000000007</v>
      </c>
    </row>
    <row r="740" spans="1:27" s="34" customFormat="1" ht="15.75" x14ac:dyDescent="0.25">
      <c r="A740" s="51">
        <v>737</v>
      </c>
      <c r="B740" s="22">
        <v>46021</v>
      </c>
      <c r="C740" s="22">
        <v>46022</v>
      </c>
      <c r="D740" s="101">
        <v>251231021</v>
      </c>
      <c r="E740" s="24" t="s">
        <v>1416</v>
      </c>
      <c r="F740" s="24"/>
      <c r="G740" s="24"/>
      <c r="H740" s="25">
        <v>84</v>
      </c>
      <c r="I740" s="26" t="s">
        <v>50</v>
      </c>
      <c r="J740" s="151" t="s">
        <v>23</v>
      </c>
      <c r="K740" s="43" t="s">
        <v>32</v>
      </c>
      <c r="L740" s="24" t="s">
        <v>54</v>
      </c>
      <c r="M740" s="24" t="s">
        <v>36</v>
      </c>
      <c r="N740" s="24">
        <v>58.52</v>
      </c>
      <c r="O740" s="37">
        <v>14.9</v>
      </c>
      <c r="P740" s="28">
        <f t="shared" si="121"/>
        <v>43.620000000000005</v>
      </c>
      <c r="Q740" s="29">
        <v>515</v>
      </c>
      <c r="R740" s="30">
        <f t="shared" si="122"/>
        <v>22464.300000000003</v>
      </c>
      <c r="S740" s="29"/>
      <c r="T740" s="31"/>
      <c r="V740" s="31" t="s">
        <v>24</v>
      </c>
      <c r="W740" s="29">
        <v>145</v>
      </c>
      <c r="X740" s="32">
        <f t="shared" si="123"/>
        <v>6324.9000000000005</v>
      </c>
      <c r="Y740" s="33">
        <v>210</v>
      </c>
      <c r="Z740" s="33">
        <f t="shared" si="124"/>
        <v>9160.2000000000007</v>
      </c>
      <c r="AA740" s="31">
        <f t="shared" si="125"/>
        <v>37949.400000000009</v>
      </c>
    </row>
    <row r="741" spans="1:27" s="34" customFormat="1" ht="15.75" x14ac:dyDescent="0.25">
      <c r="A741" s="51">
        <v>738</v>
      </c>
      <c r="B741" s="22">
        <v>46021</v>
      </c>
      <c r="C741" s="22">
        <v>46022</v>
      </c>
      <c r="D741" s="101">
        <v>251231025</v>
      </c>
      <c r="E741" s="24" t="s">
        <v>1417</v>
      </c>
      <c r="F741" s="24"/>
      <c r="G741" s="24"/>
      <c r="H741" s="25">
        <v>84</v>
      </c>
      <c r="I741" s="26" t="s">
        <v>50</v>
      </c>
      <c r="J741" s="151" t="s">
        <v>23</v>
      </c>
      <c r="K741" s="43" t="s">
        <v>32</v>
      </c>
      <c r="L741" s="24" t="s">
        <v>38</v>
      </c>
      <c r="M741" s="24" t="s">
        <v>34</v>
      </c>
      <c r="N741" s="24">
        <v>59.38</v>
      </c>
      <c r="O741" s="24">
        <v>15.76</v>
      </c>
      <c r="P741" s="28">
        <f t="shared" si="121"/>
        <v>43.620000000000005</v>
      </c>
      <c r="Q741" s="29">
        <v>305</v>
      </c>
      <c r="R741" s="30">
        <f t="shared" si="122"/>
        <v>13304.100000000002</v>
      </c>
      <c r="S741" s="29"/>
      <c r="T741" s="31"/>
      <c r="V741" s="31" t="s">
        <v>24</v>
      </c>
      <c r="W741" s="29">
        <v>145</v>
      </c>
      <c r="X741" s="32">
        <f t="shared" si="123"/>
        <v>6324.9000000000005</v>
      </c>
      <c r="Y741" s="33">
        <v>210</v>
      </c>
      <c r="Z741" s="33">
        <f t="shared" si="124"/>
        <v>9160.2000000000007</v>
      </c>
      <c r="AA741" s="31">
        <f t="shared" si="125"/>
        <v>28789.200000000004</v>
      </c>
    </row>
    <row r="742" spans="1:27" s="34" customFormat="1" ht="15.75" x14ac:dyDescent="0.25">
      <c r="A742" s="51">
        <v>739</v>
      </c>
      <c r="B742" s="22">
        <v>46021</v>
      </c>
      <c r="C742" s="22">
        <v>46022</v>
      </c>
      <c r="D742" s="101">
        <v>251231024</v>
      </c>
      <c r="E742" s="24" t="s">
        <v>1418</v>
      </c>
      <c r="F742" s="24"/>
      <c r="G742" s="24"/>
      <c r="H742" s="25">
        <v>84</v>
      </c>
      <c r="I742" s="26" t="s">
        <v>50</v>
      </c>
      <c r="J742" s="151" t="s">
        <v>23</v>
      </c>
      <c r="K742" s="43" t="s">
        <v>32</v>
      </c>
      <c r="L742" s="24" t="s">
        <v>47</v>
      </c>
      <c r="M742" s="24" t="s">
        <v>36</v>
      </c>
      <c r="N742" s="24">
        <v>46.64</v>
      </c>
      <c r="O742" s="24">
        <v>11.24</v>
      </c>
      <c r="P742" s="28">
        <f t="shared" si="121"/>
        <v>35.4</v>
      </c>
      <c r="Q742" s="29">
        <v>515</v>
      </c>
      <c r="R742" s="30">
        <f t="shared" si="122"/>
        <v>18231</v>
      </c>
      <c r="S742" s="29"/>
      <c r="T742" s="31"/>
      <c r="V742" s="31" t="s">
        <v>24</v>
      </c>
      <c r="W742" s="29">
        <v>145</v>
      </c>
      <c r="X742" s="175">
        <f t="shared" si="123"/>
        <v>5133</v>
      </c>
      <c r="Y742" s="33">
        <v>210</v>
      </c>
      <c r="Z742" s="31">
        <f t="shared" si="124"/>
        <v>7434</v>
      </c>
      <c r="AA742" s="31">
        <f t="shared" si="125"/>
        <v>30798</v>
      </c>
    </row>
    <row r="743" spans="1:27" s="34" customFormat="1" ht="15.75" x14ac:dyDescent="0.25">
      <c r="A743" s="51">
        <v>740</v>
      </c>
      <c r="B743" s="22">
        <v>46021</v>
      </c>
      <c r="C743" s="22">
        <v>46022</v>
      </c>
      <c r="D743" s="101">
        <v>251231023</v>
      </c>
      <c r="E743" s="24" t="s">
        <v>1419</v>
      </c>
      <c r="F743" s="24"/>
      <c r="G743" s="24"/>
      <c r="H743" s="35">
        <v>115</v>
      </c>
      <c r="I743" s="43" t="s">
        <v>35</v>
      </c>
      <c r="J743" s="147" t="s">
        <v>23</v>
      </c>
      <c r="K743" s="171" t="s">
        <v>32</v>
      </c>
      <c r="L743" s="24" t="s">
        <v>42</v>
      </c>
      <c r="M743" s="24" t="s">
        <v>37</v>
      </c>
      <c r="N743" s="24">
        <v>49.64</v>
      </c>
      <c r="O743" s="24">
        <v>11.44</v>
      </c>
      <c r="P743" s="28">
        <f t="shared" si="121"/>
        <v>38.200000000000003</v>
      </c>
      <c r="Q743" s="29">
        <v>445</v>
      </c>
      <c r="R743" s="30">
        <f t="shared" si="122"/>
        <v>16999</v>
      </c>
      <c r="S743" s="29"/>
      <c r="T743" s="31"/>
      <c r="V743" s="31" t="s">
        <v>24</v>
      </c>
      <c r="W743" s="29">
        <v>145</v>
      </c>
      <c r="X743" s="32">
        <f t="shared" si="123"/>
        <v>5539</v>
      </c>
      <c r="Y743" s="33">
        <v>260</v>
      </c>
      <c r="Z743" s="33">
        <f t="shared" si="124"/>
        <v>9932</v>
      </c>
      <c r="AA743" s="31">
        <f t="shared" si="125"/>
        <v>32470</v>
      </c>
    </row>
    <row r="744" spans="1:27" s="34" customFormat="1" ht="15.75" x14ac:dyDescent="0.25">
      <c r="A744" s="51">
        <v>741</v>
      </c>
      <c r="B744" s="22">
        <v>46021</v>
      </c>
      <c r="C744" s="22">
        <v>46022</v>
      </c>
      <c r="D744" s="24">
        <v>251231022</v>
      </c>
      <c r="E744" s="24" t="s">
        <v>1420</v>
      </c>
      <c r="F744" s="24"/>
      <c r="G744" s="24"/>
      <c r="H744" s="35">
        <v>115</v>
      </c>
      <c r="I744" s="43" t="s">
        <v>35</v>
      </c>
      <c r="J744" s="147" t="s">
        <v>23</v>
      </c>
      <c r="K744" s="171" t="s">
        <v>32</v>
      </c>
      <c r="L744" s="24" t="s">
        <v>39</v>
      </c>
      <c r="M744" s="24" t="s">
        <v>37</v>
      </c>
      <c r="N744" s="24">
        <v>66.260000000000005</v>
      </c>
      <c r="O744" s="37">
        <v>15.84</v>
      </c>
      <c r="P744" s="28">
        <f t="shared" si="121"/>
        <v>50.42</v>
      </c>
      <c r="Q744" s="29">
        <v>445</v>
      </c>
      <c r="R744" s="30">
        <f t="shared" si="122"/>
        <v>22436.9</v>
      </c>
      <c r="S744" s="29"/>
      <c r="T744" s="31"/>
      <c r="V744" s="31" t="s">
        <v>24</v>
      </c>
      <c r="W744" s="29">
        <v>145</v>
      </c>
      <c r="X744" s="32">
        <f>P744*W744</f>
        <v>7310.9000000000005</v>
      </c>
      <c r="Y744" s="33">
        <v>260</v>
      </c>
      <c r="Z744" s="33">
        <f>P744*Y744</f>
        <v>13109.2</v>
      </c>
      <c r="AA744" s="31">
        <f t="shared" si="125"/>
        <v>42857</v>
      </c>
    </row>
    <row r="745" spans="1:27" s="34" customFormat="1" ht="15.75" x14ac:dyDescent="0.25">
      <c r="A745" s="51">
        <v>742</v>
      </c>
      <c r="B745" s="22">
        <v>46021</v>
      </c>
      <c r="C745" s="22">
        <v>46022</v>
      </c>
      <c r="D745" s="185">
        <v>251231026</v>
      </c>
      <c r="E745" s="24" t="s">
        <v>1421</v>
      </c>
      <c r="F745" s="24"/>
      <c r="G745" s="24"/>
      <c r="H745" s="35">
        <v>117</v>
      </c>
      <c r="I745" s="44" t="s">
        <v>55</v>
      </c>
      <c r="J745" s="147" t="s">
        <v>23</v>
      </c>
      <c r="K745" s="43" t="s">
        <v>32</v>
      </c>
      <c r="L745" s="101" t="s">
        <v>379</v>
      </c>
      <c r="M745" s="24" t="s">
        <v>36</v>
      </c>
      <c r="N745" s="24">
        <v>60.56</v>
      </c>
      <c r="O745" s="24">
        <v>15.76</v>
      </c>
      <c r="P745" s="28">
        <f t="shared" si="121"/>
        <v>44.800000000000004</v>
      </c>
      <c r="Q745" s="29">
        <v>555</v>
      </c>
      <c r="R745" s="30">
        <f t="shared" si="122"/>
        <v>24864.000000000004</v>
      </c>
      <c r="S745" s="29"/>
      <c r="T745" s="31"/>
      <c r="V745" s="31" t="s">
        <v>24</v>
      </c>
      <c r="W745" s="29">
        <v>145</v>
      </c>
      <c r="X745" s="32">
        <f>P745*W745</f>
        <v>6496.0000000000009</v>
      </c>
      <c r="Y745" s="33">
        <v>200</v>
      </c>
      <c r="Z745" s="33">
        <f>P745*Y745</f>
        <v>8960</v>
      </c>
      <c r="AA745" s="31">
        <f t="shared" si="125"/>
        <v>40320</v>
      </c>
    </row>
    <row r="746" spans="1:27" s="34" customFormat="1" ht="15.75" x14ac:dyDescent="0.25">
      <c r="A746" s="51">
        <v>743</v>
      </c>
      <c r="B746" s="22">
        <v>46022</v>
      </c>
      <c r="C746" s="22">
        <v>46022</v>
      </c>
      <c r="D746" s="104" t="s">
        <v>1422</v>
      </c>
      <c r="E746" s="24"/>
      <c r="F746" s="24"/>
      <c r="G746" s="24"/>
      <c r="H746" s="48">
        <v>16</v>
      </c>
      <c r="I746" s="43" t="s">
        <v>1070</v>
      </c>
      <c r="J746" s="147" t="s">
        <v>23</v>
      </c>
      <c r="K746" s="43" t="s">
        <v>30</v>
      </c>
      <c r="L746" s="101" t="s">
        <v>1071</v>
      </c>
      <c r="M746" s="24" t="s">
        <v>31</v>
      </c>
      <c r="N746" s="24">
        <v>8.68</v>
      </c>
      <c r="O746" s="24">
        <v>3.34</v>
      </c>
      <c r="P746" s="28">
        <f>N746-O746</f>
        <v>5.34</v>
      </c>
      <c r="Q746" s="29">
        <v>150</v>
      </c>
      <c r="R746" s="30">
        <f t="shared" si="122"/>
        <v>801</v>
      </c>
      <c r="S746" s="29">
        <v>801</v>
      </c>
      <c r="T746" s="31"/>
      <c r="V746" s="31" t="s">
        <v>24</v>
      </c>
      <c r="W746" s="29"/>
      <c r="X746" s="32">
        <f t="shared" ref="X746:X771" si="126">W746*P746</f>
        <v>0</v>
      </c>
      <c r="Y746" s="33"/>
      <c r="Z746" s="33">
        <f t="shared" ref="Z746:Z771" si="127">Y746*P746</f>
        <v>0</v>
      </c>
      <c r="AA746" s="31">
        <f t="shared" ref="AA746:AA771" si="128">R746+X746+Z746</f>
        <v>801</v>
      </c>
    </row>
    <row r="747" spans="1:27" s="34" customFormat="1" ht="15.75" x14ac:dyDescent="0.25">
      <c r="A747" s="51">
        <v>744</v>
      </c>
      <c r="B747" s="22">
        <v>46022</v>
      </c>
      <c r="C747" s="22">
        <v>46022</v>
      </c>
      <c r="D747" s="104">
        <v>251231027</v>
      </c>
      <c r="E747" s="24" t="s">
        <v>1423</v>
      </c>
      <c r="F747" s="24"/>
      <c r="G747" s="24"/>
      <c r="H747" s="35">
        <v>115</v>
      </c>
      <c r="I747" s="43" t="s">
        <v>35</v>
      </c>
      <c r="J747" s="147" t="s">
        <v>23</v>
      </c>
      <c r="K747" s="171" t="s">
        <v>32</v>
      </c>
      <c r="L747" s="101" t="s">
        <v>1169</v>
      </c>
      <c r="M747" s="24" t="s">
        <v>36</v>
      </c>
      <c r="N747" s="24">
        <v>60.36</v>
      </c>
      <c r="O747" s="24">
        <v>14.98</v>
      </c>
      <c r="P747" s="28">
        <f>N747-O747</f>
        <v>45.379999999999995</v>
      </c>
      <c r="Q747" s="29">
        <v>545</v>
      </c>
      <c r="R747" s="30">
        <f t="shared" si="122"/>
        <v>24732.1</v>
      </c>
      <c r="S747" s="29"/>
      <c r="T747" s="31"/>
      <c r="V747" s="31" t="s">
        <v>24</v>
      </c>
      <c r="W747" s="29">
        <v>145</v>
      </c>
      <c r="X747" s="32">
        <f t="shared" si="126"/>
        <v>6580.0999999999995</v>
      </c>
      <c r="Y747" s="33">
        <v>260</v>
      </c>
      <c r="Z747" s="33">
        <f t="shared" si="127"/>
        <v>11798.8</v>
      </c>
      <c r="AA747" s="31">
        <f t="shared" si="128"/>
        <v>43111</v>
      </c>
    </row>
    <row r="748" spans="1:27" s="34" customFormat="1" ht="15.75" x14ac:dyDescent="0.25">
      <c r="A748" s="51">
        <v>745</v>
      </c>
      <c r="B748" s="22">
        <v>46022</v>
      </c>
      <c r="C748" s="22">
        <v>46022</v>
      </c>
      <c r="D748" s="104">
        <v>251231028</v>
      </c>
      <c r="E748" s="24" t="s">
        <v>1424</v>
      </c>
      <c r="F748" s="24"/>
      <c r="G748" s="24"/>
      <c r="H748" s="25">
        <v>84</v>
      </c>
      <c r="I748" s="26" t="s">
        <v>50</v>
      </c>
      <c r="J748" s="151" t="s">
        <v>23</v>
      </c>
      <c r="K748" s="43" t="s">
        <v>32</v>
      </c>
      <c r="L748" s="101" t="s">
        <v>514</v>
      </c>
      <c r="M748" s="24" t="s">
        <v>36</v>
      </c>
      <c r="N748" s="24">
        <v>62.58</v>
      </c>
      <c r="O748" s="24">
        <v>15.3</v>
      </c>
      <c r="P748" s="28">
        <f>N748-O748</f>
        <v>47.28</v>
      </c>
      <c r="Q748" s="29">
        <v>515</v>
      </c>
      <c r="R748" s="30">
        <f t="shared" si="122"/>
        <v>24349.200000000001</v>
      </c>
      <c r="S748" s="29"/>
      <c r="T748" s="31"/>
      <c r="V748" s="31" t="s">
        <v>24</v>
      </c>
      <c r="W748" s="29">
        <v>145</v>
      </c>
      <c r="X748" s="32">
        <f t="shared" si="126"/>
        <v>6855.6</v>
      </c>
      <c r="Y748" s="33">
        <v>200</v>
      </c>
      <c r="Z748" s="33">
        <f t="shared" si="127"/>
        <v>9456</v>
      </c>
      <c r="AA748" s="31">
        <f t="shared" si="128"/>
        <v>40660.800000000003</v>
      </c>
    </row>
    <row r="749" spans="1:27" s="38" customFormat="1" ht="15.75" x14ac:dyDescent="0.25">
      <c r="A749" s="51">
        <v>746</v>
      </c>
      <c r="B749" s="22">
        <v>46022</v>
      </c>
      <c r="C749" s="22">
        <v>46022</v>
      </c>
      <c r="D749" s="104">
        <v>251231029</v>
      </c>
      <c r="E749" s="24" t="s">
        <v>1425</v>
      </c>
      <c r="F749" s="24"/>
      <c r="G749" s="24"/>
      <c r="H749" s="25">
        <v>42</v>
      </c>
      <c r="I749" s="43" t="s">
        <v>52</v>
      </c>
      <c r="J749" s="151" t="s">
        <v>23</v>
      </c>
      <c r="K749" s="43" t="s">
        <v>32</v>
      </c>
      <c r="L749" s="101" t="s">
        <v>43</v>
      </c>
      <c r="M749" s="24" t="s">
        <v>36</v>
      </c>
      <c r="N749" s="37">
        <v>58.78</v>
      </c>
      <c r="O749" s="24">
        <v>15.84</v>
      </c>
      <c r="P749" s="28">
        <f t="shared" ref="P749:P771" si="129">N749-O749</f>
        <v>42.94</v>
      </c>
      <c r="Q749" s="29">
        <v>525</v>
      </c>
      <c r="R749" s="30">
        <f t="shared" si="122"/>
        <v>22543.5</v>
      </c>
      <c r="S749" s="29"/>
      <c r="T749" s="31"/>
      <c r="V749" s="31" t="s">
        <v>24</v>
      </c>
      <c r="W749" s="29">
        <v>145</v>
      </c>
      <c r="X749" s="32">
        <f t="shared" si="126"/>
        <v>6226.2999999999993</v>
      </c>
      <c r="Y749" s="33">
        <v>260</v>
      </c>
      <c r="Z749" s="33">
        <f t="shared" si="127"/>
        <v>11164.4</v>
      </c>
      <c r="AA749" s="31">
        <f t="shared" si="128"/>
        <v>39934.199999999997</v>
      </c>
    </row>
    <row r="750" spans="1:27" s="34" customFormat="1" ht="15.75" x14ac:dyDescent="0.25">
      <c r="A750" s="51">
        <v>747</v>
      </c>
      <c r="B750" s="22">
        <v>46022</v>
      </c>
      <c r="C750" s="22">
        <v>46022</v>
      </c>
      <c r="D750" s="104">
        <v>251231030</v>
      </c>
      <c r="E750" s="24" t="s">
        <v>1426</v>
      </c>
      <c r="F750" s="24"/>
      <c r="G750" s="24"/>
      <c r="H750" s="25">
        <v>84</v>
      </c>
      <c r="I750" s="26" t="s">
        <v>50</v>
      </c>
      <c r="J750" s="151" t="s">
        <v>23</v>
      </c>
      <c r="K750" s="43" t="s">
        <v>32</v>
      </c>
      <c r="L750" s="101" t="s">
        <v>1427</v>
      </c>
      <c r="M750" s="24" t="s">
        <v>34</v>
      </c>
      <c r="N750" s="37">
        <v>54.28</v>
      </c>
      <c r="O750" s="24">
        <v>14.1</v>
      </c>
      <c r="P750" s="28">
        <f t="shared" si="129"/>
        <v>40.18</v>
      </c>
      <c r="Q750" s="29">
        <v>305</v>
      </c>
      <c r="R750" s="30">
        <f t="shared" si="122"/>
        <v>12254.9</v>
      </c>
      <c r="S750" s="29"/>
      <c r="T750" s="31"/>
      <c r="V750" s="31" t="s">
        <v>24</v>
      </c>
      <c r="W750" s="29">
        <v>145</v>
      </c>
      <c r="X750" s="32">
        <f t="shared" si="126"/>
        <v>5826.1</v>
      </c>
      <c r="Y750" s="33">
        <v>200</v>
      </c>
      <c r="Z750" s="33">
        <f t="shared" si="127"/>
        <v>8036</v>
      </c>
      <c r="AA750" s="31">
        <f t="shared" si="128"/>
        <v>26117</v>
      </c>
    </row>
    <row r="751" spans="1:27" s="34" customFormat="1" ht="15.75" x14ac:dyDescent="0.25">
      <c r="A751" s="51">
        <v>748</v>
      </c>
      <c r="B751" s="22">
        <v>46022</v>
      </c>
      <c r="C751" s="22">
        <v>46022</v>
      </c>
      <c r="D751" s="104">
        <v>251231031</v>
      </c>
      <c r="E751" s="24" t="s">
        <v>1428</v>
      </c>
      <c r="F751" s="24"/>
      <c r="G751" s="24"/>
      <c r="H751" s="35">
        <v>115</v>
      </c>
      <c r="I751" s="43" t="s">
        <v>35</v>
      </c>
      <c r="J751" s="147" t="s">
        <v>23</v>
      </c>
      <c r="K751" s="171" t="s">
        <v>32</v>
      </c>
      <c r="L751" s="101" t="s">
        <v>444</v>
      </c>
      <c r="M751" s="24" t="s">
        <v>37</v>
      </c>
      <c r="N751" s="37">
        <v>68.16</v>
      </c>
      <c r="O751" s="37">
        <v>15.5</v>
      </c>
      <c r="P751" s="28">
        <f t="shared" si="129"/>
        <v>52.66</v>
      </c>
      <c r="Q751" s="29">
        <v>445</v>
      </c>
      <c r="R751" s="30">
        <f t="shared" si="122"/>
        <v>23433.699999999997</v>
      </c>
      <c r="S751" s="29"/>
      <c r="T751" s="31"/>
      <c r="V751" s="31" t="s">
        <v>24</v>
      </c>
      <c r="W751" s="29">
        <v>145</v>
      </c>
      <c r="X751" s="32">
        <f t="shared" si="126"/>
        <v>7635.7</v>
      </c>
      <c r="Y751" s="33">
        <v>260</v>
      </c>
      <c r="Z751" s="33">
        <f t="shared" si="127"/>
        <v>13691.599999999999</v>
      </c>
      <c r="AA751" s="31">
        <f t="shared" si="128"/>
        <v>44761</v>
      </c>
    </row>
    <row r="752" spans="1:27" s="34" customFormat="1" ht="15.75" x14ac:dyDescent="0.25">
      <c r="A752" s="51">
        <v>749</v>
      </c>
      <c r="B752" s="22">
        <v>46022</v>
      </c>
      <c r="C752" s="22">
        <v>46022</v>
      </c>
      <c r="D752" s="104">
        <v>251231032</v>
      </c>
      <c r="E752" s="24" t="s">
        <v>1429</v>
      </c>
      <c r="F752" s="24"/>
      <c r="G752" s="24"/>
      <c r="H752" s="25">
        <v>84</v>
      </c>
      <c r="I752" s="26" t="s">
        <v>50</v>
      </c>
      <c r="J752" s="151" t="s">
        <v>23</v>
      </c>
      <c r="K752" s="43" t="s">
        <v>32</v>
      </c>
      <c r="L752" s="101" t="s">
        <v>426</v>
      </c>
      <c r="M752" s="24" t="s">
        <v>36</v>
      </c>
      <c r="N752" s="37">
        <v>67.84</v>
      </c>
      <c r="O752" s="37">
        <v>18.8</v>
      </c>
      <c r="P752" s="28">
        <f t="shared" si="129"/>
        <v>49.040000000000006</v>
      </c>
      <c r="Q752" s="29">
        <v>515</v>
      </c>
      <c r="R752" s="30">
        <f t="shared" si="122"/>
        <v>25255.600000000002</v>
      </c>
      <c r="S752" s="29"/>
      <c r="T752" s="31"/>
      <c r="V752" s="31" t="s">
        <v>24</v>
      </c>
      <c r="W752" s="29">
        <v>145</v>
      </c>
      <c r="X752" s="32">
        <f t="shared" si="126"/>
        <v>7110.8000000000011</v>
      </c>
      <c r="Y752" s="33">
        <v>200</v>
      </c>
      <c r="Z752" s="33">
        <f t="shared" si="127"/>
        <v>9808.0000000000018</v>
      </c>
      <c r="AA752" s="31">
        <f t="shared" si="128"/>
        <v>42174.400000000001</v>
      </c>
    </row>
    <row r="753" spans="1:38" s="34" customFormat="1" ht="20.100000000000001" customHeight="1" x14ac:dyDescent="0.25">
      <c r="A753" s="51">
        <v>750</v>
      </c>
      <c r="B753" s="22">
        <v>46022</v>
      </c>
      <c r="C753" s="22">
        <v>46022</v>
      </c>
      <c r="D753" s="104" t="s">
        <v>1430</v>
      </c>
      <c r="E753" s="24"/>
      <c r="F753" s="24"/>
      <c r="G753" s="24"/>
      <c r="H753" s="54"/>
      <c r="I753" s="45" t="s">
        <v>48</v>
      </c>
      <c r="J753" s="154" t="s">
        <v>23</v>
      </c>
      <c r="K753" s="53" t="s">
        <v>32</v>
      </c>
      <c r="L753" s="101" t="s">
        <v>51</v>
      </c>
      <c r="M753" s="24" t="s">
        <v>49</v>
      </c>
      <c r="N753" s="37">
        <v>21.6</v>
      </c>
      <c r="O753" s="37">
        <v>14.9</v>
      </c>
      <c r="P753" s="28">
        <f t="shared" si="129"/>
        <v>6.7000000000000011</v>
      </c>
      <c r="Q753" s="29">
        <v>0</v>
      </c>
      <c r="R753" s="30">
        <f t="shared" si="122"/>
        <v>0</v>
      </c>
      <c r="S753" s="29"/>
      <c r="T753" s="31"/>
      <c r="V753" s="31" t="s">
        <v>24</v>
      </c>
      <c r="W753" s="29"/>
      <c r="X753" s="32">
        <f t="shared" si="126"/>
        <v>0</v>
      </c>
      <c r="Y753" s="33"/>
      <c r="Z753" s="33">
        <f t="shared" si="127"/>
        <v>0</v>
      </c>
      <c r="AA753" s="31">
        <f t="shared" si="128"/>
        <v>0</v>
      </c>
      <c r="AB753" s="40"/>
      <c r="AC753" s="39"/>
      <c r="AD753" s="41"/>
      <c r="AE753" s="42"/>
      <c r="AF753" s="39"/>
      <c r="AG753" s="42"/>
      <c r="AH753" s="39"/>
      <c r="AI753" s="41"/>
      <c r="AJ753" s="39"/>
      <c r="AK753" s="41"/>
      <c r="AL753" s="41"/>
    </row>
    <row r="754" spans="1:38" s="34" customFormat="1" ht="15.75" x14ac:dyDescent="0.25">
      <c r="A754" s="51">
        <v>751</v>
      </c>
      <c r="B754" s="22">
        <v>46022</v>
      </c>
      <c r="C754" s="22">
        <v>46022</v>
      </c>
      <c r="D754" s="104">
        <v>251231033</v>
      </c>
      <c r="E754" s="24" t="s">
        <v>1431</v>
      </c>
      <c r="F754" s="24"/>
      <c r="G754" s="24"/>
      <c r="H754" s="25">
        <v>42</v>
      </c>
      <c r="I754" s="43" t="s">
        <v>52</v>
      </c>
      <c r="J754" s="151" t="s">
        <v>23</v>
      </c>
      <c r="K754" s="43" t="s">
        <v>32</v>
      </c>
      <c r="L754" s="101" t="s">
        <v>1221</v>
      </c>
      <c r="M754" s="24" t="s">
        <v>37</v>
      </c>
      <c r="N754" s="37">
        <v>63</v>
      </c>
      <c r="O754" s="37">
        <v>15.68</v>
      </c>
      <c r="P754" s="28">
        <f t="shared" si="129"/>
        <v>47.32</v>
      </c>
      <c r="Q754" s="29">
        <v>470</v>
      </c>
      <c r="R754" s="30">
        <f t="shared" si="122"/>
        <v>22240.400000000001</v>
      </c>
      <c r="S754" s="29"/>
      <c r="T754" s="31"/>
      <c r="V754" s="31" t="s">
        <v>24</v>
      </c>
      <c r="W754" s="29">
        <v>145</v>
      </c>
      <c r="X754" s="32">
        <f t="shared" si="126"/>
        <v>6861.4</v>
      </c>
      <c r="Y754" s="33">
        <v>260</v>
      </c>
      <c r="Z754" s="33">
        <f t="shared" si="127"/>
        <v>12303.2</v>
      </c>
      <c r="AA754" s="31">
        <f t="shared" si="128"/>
        <v>41405</v>
      </c>
    </row>
    <row r="755" spans="1:38" s="34" customFormat="1" ht="15.75" x14ac:dyDescent="0.25">
      <c r="A755" s="51">
        <v>752</v>
      </c>
      <c r="B755" s="22">
        <v>46022</v>
      </c>
      <c r="C755" s="22">
        <v>46022</v>
      </c>
      <c r="D755" s="104">
        <v>251231034</v>
      </c>
      <c r="E755" s="24" t="s">
        <v>1432</v>
      </c>
      <c r="F755" s="24"/>
      <c r="G755" s="24"/>
      <c r="H755" s="25">
        <v>42</v>
      </c>
      <c r="I755" s="43" t="s">
        <v>52</v>
      </c>
      <c r="J755" s="151" t="s">
        <v>23</v>
      </c>
      <c r="K755" s="43" t="s">
        <v>32</v>
      </c>
      <c r="L755" s="108" t="s">
        <v>46</v>
      </c>
      <c r="M755" s="24" t="s">
        <v>36</v>
      </c>
      <c r="N755" s="37">
        <v>80.099999999999994</v>
      </c>
      <c r="O755" s="37">
        <v>17.14</v>
      </c>
      <c r="P755" s="28">
        <f t="shared" si="129"/>
        <v>62.959999999999994</v>
      </c>
      <c r="Q755" s="29">
        <v>525</v>
      </c>
      <c r="R755" s="30">
        <f t="shared" si="122"/>
        <v>33054</v>
      </c>
      <c r="S755" s="29"/>
      <c r="T755" s="31"/>
      <c r="V755" s="31" t="s">
        <v>24</v>
      </c>
      <c r="W755" s="29">
        <v>145</v>
      </c>
      <c r="X755" s="32">
        <f t="shared" si="126"/>
        <v>9129.1999999999989</v>
      </c>
      <c r="Y755" s="33">
        <v>260</v>
      </c>
      <c r="Z755" s="33">
        <f t="shared" si="127"/>
        <v>16369.599999999999</v>
      </c>
      <c r="AA755" s="31">
        <f t="shared" si="128"/>
        <v>58552.799999999996</v>
      </c>
    </row>
    <row r="756" spans="1:38" s="34" customFormat="1" ht="15.75" x14ac:dyDescent="0.25">
      <c r="A756" s="51">
        <v>753</v>
      </c>
      <c r="B756" s="22">
        <v>46022</v>
      </c>
      <c r="C756" s="22">
        <v>46022</v>
      </c>
      <c r="D756" s="104" t="s">
        <v>1433</v>
      </c>
      <c r="E756" s="24"/>
      <c r="F756" s="24"/>
      <c r="G756" s="24"/>
      <c r="H756" s="48">
        <v>16</v>
      </c>
      <c r="I756" s="43" t="s">
        <v>1070</v>
      </c>
      <c r="J756" s="147" t="s">
        <v>23</v>
      </c>
      <c r="K756" s="43" t="s">
        <v>30</v>
      </c>
      <c r="L756" s="101" t="s">
        <v>1071</v>
      </c>
      <c r="M756" s="24" t="s">
        <v>31</v>
      </c>
      <c r="N756" s="37">
        <v>8.2200000000000006</v>
      </c>
      <c r="O756" s="37">
        <v>3.36</v>
      </c>
      <c r="P756" s="28">
        <f t="shared" si="129"/>
        <v>4.8600000000000012</v>
      </c>
      <c r="Q756" s="29">
        <v>150</v>
      </c>
      <c r="R756" s="30">
        <f t="shared" si="122"/>
        <v>729.00000000000023</v>
      </c>
      <c r="S756" s="29">
        <v>729</v>
      </c>
      <c r="T756" s="31"/>
      <c r="V756" s="31" t="s">
        <v>24</v>
      </c>
      <c r="W756" s="29"/>
      <c r="X756" s="32">
        <f t="shared" si="126"/>
        <v>0</v>
      </c>
      <c r="Y756" s="33"/>
      <c r="Z756" s="33">
        <f t="shared" si="127"/>
        <v>0</v>
      </c>
      <c r="AA756" s="31">
        <f t="shared" si="128"/>
        <v>729.00000000000023</v>
      </c>
    </row>
    <row r="757" spans="1:38" s="34" customFormat="1" ht="15.75" x14ac:dyDescent="0.25">
      <c r="A757" s="51">
        <v>754</v>
      </c>
      <c r="B757" s="22">
        <v>46022</v>
      </c>
      <c r="C757" s="22">
        <v>46022</v>
      </c>
      <c r="D757" s="104">
        <v>251231035</v>
      </c>
      <c r="E757" s="24" t="s">
        <v>1434</v>
      </c>
      <c r="F757" s="24"/>
      <c r="G757" s="24"/>
      <c r="H757" s="25">
        <v>42</v>
      </c>
      <c r="I757" s="43" t="s">
        <v>52</v>
      </c>
      <c r="J757" s="151" t="s">
        <v>23</v>
      </c>
      <c r="K757" s="43" t="s">
        <v>32</v>
      </c>
      <c r="L757" s="101" t="s">
        <v>41</v>
      </c>
      <c r="M757" s="24" t="s">
        <v>37</v>
      </c>
      <c r="N757" s="37">
        <v>49.18</v>
      </c>
      <c r="O757" s="37">
        <v>11.82</v>
      </c>
      <c r="P757" s="28">
        <f t="shared" si="129"/>
        <v>37.36</v>
      </c>
      <c r="Q757" s="29">
        <v>470</v>
      </c>
      <c r="R757" s="30">
        <f t="shared" si="122"/>
        <v>17559.2</v>
      </c>
      <c r="S757" s="29"/>
      <c r="T757" s="31"/>
      <c r="V757" s="31" t="s">
        <v>24</v>
      </c>
      <c r="W757" s="29">
        <v>145</v>
      </c>
      <c r="X757" s="32">
        <f t="shared" si="126"/>
        <v>5417.2</v>
      </c>
      <c r="Y757" s="33">
        <v>260</v>
      </c>
      <c r="Z757" s="33">
        <f t="shared" si="127"/>
        <v>9713.6</v>
      </c>
      <c r="AA757" s="31">
        <f t="shared" si="128"/>
        <v>32690</v>
      </c>
    </row>
    <row r="758" spans="1:38" s="38" customFormat="1" ht="15.75" x14ac:dyDescent="0.25">
      <c r="A758" s="51">
        <v>755</v>
      </c>
      <c r="B758" s="22">
        <v>46022</v>
      </c>
      <c r="C758" s="22">
        <v>46022</v>
      </c>
      <c r="D758" s="104">
        <v>251231036</v>
      </c>
      <c r="E758" s="24" t="s">
        <v>1435</v>
      </c>
      <c r="F758" s="24"/>
      <c r="G758" s="24"/>
      <c r="H758" s="25">
        <v>42</v>
      </c>
      <c r="I758" s="43" t="s">
        <v>52</v>
      </c>
      <c r="J758" s="151" t="s">
        <v>23</v>
      </c>
      <c r="K758" s="43" t="s">
        <v>32</v>
      </c>
      <c r="L758" s="101" t="s">
        <v>44</v>
      </c>
      <c r="M758" s="24" t="s">
        <v>37</v>
      </c>
      <c r="N758" s="37">
        <v>49.34</v>
      </c>
      <c r="O758" s="37">
        <v>11.68</v>
      </c>
      <c r="P758" s="28">
        <f t="shared" si="129"/>
        <v>37.660000000000004</v>
      </c>
      <c r="Q758" s="29">
        <v>470</v>
      </c>
      <c r="R758" s="30">
        <f t="shared" si="122"/>
        <v>17700.2</v>
      </c>
      <c r="S758" s="29"/>
      <c r="T758" s="31"/>
      <c r="V758" s="31" t="s">
        <v>24</v>
      </c>
      <c r="W758" s="29">
        <v>145</v>
      </c>
      <c r="X758" s="32">
        <f t="shared" si="126"/>
        <v>5460.7000000000007</v>
      </c>
      <c r="Y758" s="33">
        <v>260</v>
      </c>
      <c r="Z758" s="31">
        <f t="shared" si="127"/>
        <v>9791.6</v>
      </c>
      <c r="AA758" s="31">
        <f t="shared" si="128"/>
        <v>32952.5</v>
      </c>
    </row>
    <row r="759" spans="1:38" s="38" customFormat="1" ht="15.75" x14ac:dyDescent="0.25">
      <c r="A759" s="51">
        <v>756</v>
      </c>
      <c r="B759" s="22">
        <v>46022</v>
      </c>
      <c r="C759" s="22">
        <v>46022</v>
      </c>
      <c r="D759" s="104">
        <v>251231037</v>
      </c>
      <c r="E759" s="24" t="s">
        <v>1436</v>
      </c>
      <c r="F759" s="24"/>
      <c r="G759" s="24"/>
      <c r="H759" s="25">
        <v>42</v>
      </c>
      <c r="I759" s="43" t="s">
        <v>52</v>
      </c>
      <c r="J759" s="151" t="s">
        <v>23</v>
      </c>
      <c r="K759" s="43" t="s">
        <v>32</v>
      </c>
      <c r="L759" s="101" t="s">
        <v>54</v>
      </c>
      <c r="M759" s="24" t="s">
        <v>36</v>
      </c>
      <c r="N759" s="37">
        <v>59.92</v>
      </c>
      <c r="O759" s="37">
        <v>14.74</v>
      </c>
      <c r="P759" s="28">
        <f t="shared" si="129"/>
        <v>45.18</v>
      </c>
      <c r="Q759" s="29">
        <v>525</v>
      </c>
      <c r="R759" s="30">
        <f t="shared" si="122"/>
        <v>23719.5</v>
      </c>
      <c r="S759" s="29"/>
      <c r="T759" s="31"/>
      <c r="V759" s="31" t="s">
        <v>24</v>
      </c>
      <c r="W759" s="29">
        <v>145</v>
      </c>
      <c r="X759" s="32">
        <f t="shared" si="126"/>
        <v>6551.1</v>
      </c>
      <c r="Y759" s="33">
        <v>260</v>
      </c>
      <c r="Z759" s="31">
        <f t="shared" si="127"/>
        <v>11746.8</v>
      </c>
      <c r="AA759" s="31">
        <f t="shared" si="128"/>
        <v>42017.399999999994</v>
      </c>
    </row>
    <row r="760" spans="1:38" s="34" customFormat="1" ht="15.75" x14ac:dyDescent="0.25">
      <c r="A760" s="51">
        <v>757</v>
      </c>
      <c r="B760" s="22">
        <v>46022</v>
      </c>
      <c r="C760" s="22">
        <v>46022</v>
      </c>
      <c r="D760" s="104">
        <v>251231038</v>
      </c>
      <c r="E760" s="24" t="s">
        <v>1437</v>
      </c>
      <c r="F760" s="24"/>
      <c r="G760" s="24"/>
      <c r="H760" s="25">
        <v>42</v>
      </c>
      <c r="I760" s="43" t="s">
        <v>52</v>
      </c>
      <c r="J760" s="151" t="s">
        <v>23</v>
      </c>
      <c r="K760" s="43" t="s">
        <v>32</v>
      </c>
      <c r="L760" s="101" t="s">
        <v>40</v>
      </c>
      <c r="M760" s="24" t="s">
        <v>36</v>
      </c>
      <c r="N760" s="37">
        <v>62.08</v>
      </c>
      <c r="O760" s="37">
        <v>14.92</v>
      </c>
      <c r="P760" s="28">
        <f t="shared" si="129"/>
        <v>47.16</v>
      </c>
      <c r="Q760" s="29">
        <v>525</v>
      </c>
      <c r="R760" s="30">
        <f t="shared" si="122"/>
        <v>24759</v>
      </c>
      <c r="S760" s="29"/>
      <c r="T760" s="31"/>
      <c r="V760" s="31" t="s">
        <v>24</v>
      </c>
      <c r="W760" s="29">
        <v>145</v>
      </c>
      <c r="X760" s="32">
        <f t="shared" si="126"/>
        <v>6838.2</v>
      </c>
      <c r="Y760" s="33">
        <v>260</v>
      </c>
      <c r="Z760" s="31">
        <f t="shared" si="127"/>
        <v>12261.599999999999</v>
      </c>
      <c r="AA760" s="31">
        <f t="shared" si="128"/>
        <v>43858.8</v>
      </c>
    </row>
    <row r="761" spans="1:38" s="34" customFormat="1" ht="15.75" x14ac:dyDescent="0.25">
      <c r="A761" s="51">
        <v>758</v>
      </c>
      <c r="B761" s="22">
        <v>46022</v>
      </c>
      <c r="C761" s="22">
        <v>46022</v>
      </c>
      <c r="D761" s="104" t="s">
        <v>1438</v>
      </c>
      <c r="E761" s="24"/>
      <c r="F761" s="24"/>
      <c r="G761" s="24"/>
      <c r="H761" s="54"/>
      <c r="I761" s="45" t="s">
        <v>1439</v>
      </c>
      <c r="J761" s="154" t="s">
        <v>23</v>
      </c>
      <c r="K761" s="53" t="s">
        <v>32</v>
      </c>
      <c r="L761" s="101" t="s">
        <v>39</v>
      </c>
      <c r="M761" s="24" t="s">
        <v>31</v>
      </c>
      <c r="N761" s="37">
        <v>65.86</v>
      </c>
      <c r="O761" s="37">
        <v>15.8</v>
      </c>
      <c r="P761" s="28">
        <f t="shared" si="129"/>
        <v>50.06</v>
      </c>
      <c r="Q761" s="29">
        <v>130</v>
      </c>
      <c r="R761" s="30">
        <f t="shared" si="122"/>
        <v>6507.8</v>
      </c>
      <c r="S761" s="29"/>
      <c r="T761" s="31"/>
      <c r="V761" s="31" t="s">
        <v>53</v>
      </c>
      <c r="W761" s="29"/>
      <c r="X761" s="32">
        <f t="shared" si="126"/>
        <v>0</v>
      </c>
      <c r="Y761" s="33"/>
      <c r="Z761" s="31">
        <f t="shared" si="127"/>
        <v>0</v>
      </c>
      <c r="AA761" s="31">
        <f t="shared" si="128"/>
        <v>6507.8</v>
      </c>
    </row>
    <row r="762" spans="1:38" s="34" customFormat="1" ht="15.75" x14ac:dyDescent="0.25">
      <c r="A762" s="51">
        <v>759</v>
      </c>
      <c r="B762" s="22">
        <v>46022</v>
      </c>
      <c r="C762" s="22">
        <v>46022</v>
      </c>
      <c r="D762" s="104" t="s">
        <v>1440</v>
      </c>
      <c r="E762" s="24"/>
      <c r="F762" s="38"/>
      <c r="G762" s="24"/>
      <c r="H762" s="46">
        <v>151</v>
      </c>
      <c r="I762" s="43" t="s">
        <v>1441</v>
      </c>
      <c r="J762" s="183" t="s">
        <v>23</v>
      </c>
      <c r="K762" s="171" t="s">
        <v>32</v>
      </c>
      <c r="L762" s="101" t="s">
        <v>286</v>
      </c>
      <c r="M762" s="24" t="s">
        <v>36</v>
      </c>
      <c r="N762" s="37">
        <v>25.54</v>
      </c>
      <c r="O762" s="37">
        <v>11.56</v>
      </c>
      <c r="P762" s="28">
        <f t="shared" si="129"/>
        <v>13.979999999999999</v>
      </c>
      <c r="Q762" s="29">
        <v>500</v>
      </c>
      <c r="R762" s="30">
        <f t="shared" si="122"/>
        <v>6989.9999999999991</v>
      </c>
      <c r="S762" s="29"/>
      <c r="T762" s="31"/>
      <c r="V762" s="31" t="s">
        <v>53</v>
      </c>
      <c r="W762" s="29"/>
      <c r="X762" s="32">
        <f t="shared" si="126"/>
        <v>0</v>
      </c>
      <c r="Y762" s="33"/>
      <c r="Z762" s="31">
        <f t="shared" si="127"/>
        <v>0</v>
      </c>
      <c r="AA762" s="31">
        <f t="shared" si="128"/>
        <v>6989.9999999999991</v>
      </c>
    </row>
    <row r="763" spans="1:38" s="38" customFormat="1" ht="15.75" x14ac:dyDescent="0.25">
      <c r="A763" s="51">
        <v>760</v>
      </c>
      <c r="B763" s="22">
        <v>46022</v>
      </c>
      <c r="C763" s="22">
        <v>46022</v>
      </c>
      <c r="D763" s="104">
        <v>251231039</v>
      </c>
      <c r="E763" s="24" t="s">
        <v>1442</v>
      </c>
      <c r="F763" s="24"/>
      <c r="G763" s="24"/>
      <c r="H763" s="25">
        <v>42</v>
      </c>
      <c r="I763" s="43" t="s">
        <v>52</v>
      </c>
      <c r="J763" s="151" t="s">
        <v>23</v>
      </c>
      <c r="K763" s="43" t="s">
        <v>32</v>
      </c>
      <c r="L763" s="101" t="s">
        <v>42</v>
      </c>
      <c r="M763" s="24" t="s">
        <v>37</v>
      </c>
      <c r="N763" s="37">
        <v>52.42</v>
      </c>
      <c r="O763" s="37">
        <v>11.48</v>
      </c>
      <c r="P763" s="28">
        <f t="shared" si="129"/>
        <v>40.94</v>
      </c>
      <c r="Q763" s="29">
        <v>470</v>
      </c>
      <c r="R763" s="30">
        <f t="shared" si="122"/>
        <v>19241.8</v>
      </c>
      <c r="S763" s="29"/>
      <c r="T763" s="31"/>
      <c r="V763" s="31" t="s">
        <v>24</v>
      </c>
      <c r="W763" s="29">
        <v>145</v>
      </c>
      <c r="X763" s="32">
        <f t="shared" si="126"/>
        <v>5936.2999999999993</v>
      </c>
      <c r="Y763" s="33">
        <v>260</v>
      </c>
      <c r="Z763" s="31">
        <f t="shared" si="127"/>
        <v>10644.4</v>
      </c>
      <c r="AA763" s="31">
        <f t="shared" si="128"/>
        <v>35822.5</v>
      </c>
    </row>
    <row r="764" spans="1:38" s="38" customFormat="1" ht="15.75" x14ac:dyDescent="0.25">
      <c r="A764" s="51">
        <v>761</v>
      </c>
      <c r="B764" s="22">
        <v>46022</v>
      </c>
      <c r="C764" s="22">
        <v>46022</v>
      </c>
      <c r="D764" s="104" t="s">
        <v>1443</v>
      </c>
      <c r="E764" s="24"/>
      <c r="F764" s="24"/>
      <c r="G764" s="24"/>
      <c r="H764" s="54"/>
      <c r="I764" s="45" t="s">
        <v>1444</v>
      </c>
      <c r="J764" s="154" t="s">
        <v>23</v>
      </c>
      <c r="K764" s="53" t="s">
        <v>32</v>
      </c>
      <c r="L764" s="101" t="s">
        <v>1445</v>
      </c>
      <c r="M764" s="24" t="s">
        <v>58</v>
      </c>
      <c r="N764" s="37">
        <v>10.26</v>
      </c>
      <c r="O764" s="37">
        <v>3.48</v>
      </c>
      <c r="P764" s="28">
        <f t="shared" si="129"/>
        <v>6.7799999999999994</v>
      </c>
      <c r="Q764" s="29">
        <v>250</v>
      </c>
      <c r="R764" s="30">
        <f t="shared" si="122"/>
        <v>1694.9999999999998</v>
      </c>
      <c r="S764" s="29"/>
      <c r="T764" s="31"/>
      <c r="V764" s="31"/>
      <c r="W764" s="29"/>
      <c r="X764" s="32">
        <f t="shared" si="126"/>
        <v>0</v>
      </c>
      <c r="Y764" s="33"/>
      <c r="Z764" s="31">
        <f t="shared" si="127"/>
        <v>0</v>
      </c>
      <c r="AA764" s="31">
        <f t="shared" si="128"/>
        <v>1694.9999999999998</v>
      </c>
    </row>
    <row r="765" spans="1:38" s="34" customFormat="1" ht="15.75" x14ac:dyDescent="0.25">
      <c r="A765" s="51">
        <v>762</v>
      </c>
      <c r="B765" s="22">
        <v>46022</v>
      </c>
      <c r="C765" s="22">
        <v>46022</v>
      </c>
      <c r="D765" s="104" t="s">
        <v>1446</v>
      </c>
      <c r="E765" s="38"/>
      <c r="F765" s="24"/>
      <c r="G765" s="24"/>
      <c r="H765" s="149"/>
      <c r="I765" s="45" t="s">
        <v>1444</v>
      </c>
      <c r="J765" s="154" t="s">
        <v>23</v>
      </c>
      <c r="K765" s="53" t="s">
        <v>32</v>
      </c>
      <c r="L765" s="101" t="s">
        <v>1447</v>
      </c>
      <c r="M765" s="24" t="s">
        <v>58</v>
      </c>
      <c r="N765" s="37">
        <v>9.4600000000000009</v>
      </c>
      <c r="O765" s="37">
        <v>3.52</v>
      </c>
      <c r="P765" s="28">
        <f t="shared" si="129"/>
        <v>5.9400000000000013</v>
      </c>
      <c r="Q765" s="29">
        <v>250</v>
      </c>
      <c r="R765" s="30">
        <f t="shared" si="122"/>
        <v>1485.0000000000002</v>
      </c>
      <c r="S765" s="29"/>
      <c r="T765" s="31"/>
      <c r="V765" s="31"/>
      <c r="W765" s="29"/>
      <c r="X765" s="32">
        <f t="shared" si="126"/>
        <v>0</v>
      </c>
      <c r="Y765" s="33"/>
      <c r="Z765" s="31">
        <f t="shared" si="127"/>
        <v>0</v>
      </c>
      <c r="AA765" s="31">
        <f t="shared" si="128"/>
        <v>1485.0000000000002</v>
      </c>
    </row>
    <row r="766" spans="1:38" s="34" customFormat="1" ht="15.75" x14ac:dyDescent="0.25">
      <c r="A766" s="51">
        <v>763</v>
      </c>
      <c r="B766" s="22">
        <v>46022</v>
      </c>
      <c r="C766" s="22">
        <v>46022</v>
      </c>
      <c r="D766" s="104">
        <v>251231040</v>
      </c>
      <c r="E766" s="24" t="s">
        <v>1448</v>
      </c>
      <c r="F766" s="24"/>
      <c r="G766" s="24"/>
      <c r="H766" s="35">
        <v>115</v>
      </c>
      <c r="I766" s="43" t="s">
        <v>35</v>
      </c>
      <c r="J766" s="147" t="s">
        <v>23</v>
      </c>
      <c r="K766" s="171" t="s">
        <v>32</v>
      </c>
      <c r="L766" s="101" t="s">
        <v>1221</v>
      </c>
      <c r="M766" s="24" t="s">
        <v>37</v>
      </c>
      <c r="N766" s="37">
        <v>62.46</v>
      </c>
      <c r="O766" s="37">
        <v>15.58</v>
      </c>
      <c r="P766" s="28">
        <f t="shared" si="129"/>
        <v>46.88</v>
      </c>
      <c r="Q766" s="29">
        <v>445</v>
      </c>
      <c r="R766" s="30">
        <f t="shared" si="122"/>
        <v>20861.600000000002</v>
      </c>
      <c r="S766" s="29"/>
      <c r="T766" s="31"/>
      <c r="V766" s="31"/>
      <c r="W766" s="29"/>
      <c r="X766" s="32">
        <f t="shared" si="126"/>
        <v>0</v>
      </c>
      <c r="Y766" s="33"/>
      <c r="Z766" s="31">
        <f t="shared" si="127"/>
        <v>0</v>
      </c>
      <c r="AA766" s="31">
        <f t="shared" si="128"/>
        <v>20861.600000000002</v>
      </c>
    </row>
    <row r="767" spans="1:38" s="34" customFormat="1" ht="15.75" x14ac:dyDescent="0.25">
      <c r="A767" s="51">
        <v>764</v>
      </c>
      <c r="B767" s="22">
        <v>46022</v>
      </c>
      <c r="C767" s="22">
        <v>46022</v>
      </c>
      <c r="D767" s="104">
        <v>251231041</v>
      </c>
      <c r="E767" s="24" t="s">
        <v>1449</v>
      </c>
      <c r="F767" s="24"/>
      <c r="G767" s="24"/>
      <c r="H767" s="35">
        <v>115</v>
      </c>
      <c r="I767" s="43" t="s">
        <v>35</v>
      </c>
      <c r="J767" s="147" t="s">
        <v>23</v>
      </c>
      <c r="K767" s="171" t="s">
        <v>32</v>
      </c>
      <c r="L767" s="153" t="s">
        <v>1373</v>
      </c>
      <c r="M767" s="24" t="s">
        <v>36</v>
      </c>
      <c r="N767" s="37">
        <v>67.06</v>
      </c>
      <c r="O767" s="37">
        <v>17.88</v>
      </c>
      <c r="P767" s="28">
        <f t="shared" si="129"/>
        <v>49.180000000000007</v>
      </c>
      <c r="Q767" s="29">
        <v>545</v>
      </c>
      <c r="R767" s="30">
        <f t="shared" si="122"/>
        <v>26803.100000000002</v>
      </c>
      <c r="S767" s="29"/>
      <c r="T767" s="31"/>
      <c r="V767" s="31"/>
      <c r="W767" s="29"/>
      <c r="X767" s="32">
        <f t="shared" si="126"/>
        <v>0</v>
      </c>
      <c r="Y767" s="33"/>
      <c r="Z767" s="31">
        <f t="shared" si="127"/>
        <v>0</v>
      </c>
      <c r="AA767" s="31">
        <f t="shared" si="128"/>
        <v>26803.100000000002</v>
      </c>
    </row>
    <row r="768" spans="1:38" s="34" customFormat="1" ht="15.75" x14ac:dyDescent="0.25">
      <c r="A768" s="51">
        <v>765</v>
      </c>
      <c r="B768" s="22">
        <v>46022</v>
      </c>
      <c r="C768" s="22">
        <v>46022</v>
      </c>
      <c r="D768" s="104">
        <v>2511231042</v>
      </c>
      <c r="E768" s="24" t="s">
        <v>1450</v>
      </c>
      <c r="F768" s="24"/>
      <c r="G768" s="24"/>
      <c r="H768" s="35">
        <v>115</v>
      </c>
      <c r="I768" s="43" t="s">
        <v>35</v>
      </c>
      <c r="J768" s="147" t="s">
        <v>23</v>
      </c>
      <c r="K768" s="171" t="s">
        <v>32</v>
      </c>
      <c r="L768" s="101" t="s">
        <v>1133</v>
      </c>
      <c r="M768" s="24" t="s">
        <v>37</v>
      </c>
      <c r="N768" s="37">
        <v>65.64</v>
      </c>
      <c r="O768" s="37">
        <v>15.48</v>
      </c>
      <c r="P768" s="28">
        <f t="shared" si="129"/>
        <v>50.16</v>
      </c>
      <c r="Q768" s="29">
        <v>445</v>
      </c>
      <c r="R768" s="30">
        <f t="shared" si="122"/>
        <v>22321.199999999997</v>
      </c>
      <c r="S768" s="29"/>
      <c r="T768" s="31"/>
      <c r="V768" s="31"/>
      <c r="W768" s="29"/>
      <c r="X768" s="32">
        <f t="shared" si="126"/>
        <v>0</v>
      </c>
      <c r="Y768" s="33"/>
      <c r="Z768" s="31">
        <f t="shared" si="127"/>
        <v>0</v>
      </c>
      <c r="AA768" s="31">
        <f t="shared" si="128"/>
        <v>22321.199999999997</v>
      </c>
    </row>
    <row r="769" spans="1:27" s="34" customFormat="1" ht="15.75" x14ac:dyDescent="0.25">
      <c r="A769" s="51">
        <v>766</v>
      </c>
      <c r="B769" s="22">
        <v>46022</v>
      </c>
      <c r="C769" s="22">
        <v>46023</v>
      </c>
      <c r="D769" s="153">
        <v>260101003</v>
      </c>
      <c r="E769" s="24"/>
      <c r="F769" s="24"/>
      <c r="G769" s="24"/>
      <c r="H769" s="25">
        <v>76</v>
      </c>
      <c r="I769" s="43" t="s">
        <v>893</v>
      </c>
      <c r="J769" s="151" t="s">
        <v>23</v>
      </c>
      <c r="K769" s="43" t="s">
        <v>32</v>
      </c>
      <c r="L769" s="101" t="s">
        <v>40</v>
      </c>
      <c r="M769" s="24" t="s">
        <v>34</v>
      </c>
      <c r="N769" s="37">
        <v>62.18</v>
      </c>
      <c r="O769" s="37">
        <v>14.96</v>
      </c>
      <c r="P769" s="28">
        <f t="shared" si="129"/>
        <v>47.22</v>
      </c>
      <c r="Q769" s="29">
        <v>285</v>
      </c>
      <c r="R769" s="30">
        <f t="shared" si="122"/>
        <v>13457.699999999999</v>
      </c>
      <c r="S769" s="29"/>
      <c r="T769" s="31"/>
      <c r="V769" s="31" t="s">
        <v>24</v>
      </c>
      <c r="W769" s="29"/>
      <c r="X769" s="32">
        <f t="shared" si="126"/>
        <v>0</v>
      </c>
      <c r="Y769" s="33"/>
      <c r="Z769" s="31">
        <f t="shared" si="127"/>
        <v>0</v>
      </c>
      <c r="AA769" s="31">
        <f t="shared" si="128"/>
        <v>13457.699999999999</v>
      </c>
    </row>
    <row r="770" spans="1:27" s="38" customFormat="1" ht="15.75" x14ac:dyDescent="0.25">
      <c r="A770" s="51">
        <v>767</v>
      </c>
      <c r="B770" s="22">
        <v>46022</v>
      </c>
      <c r="C770" s="22">
        <v>46023</v>
      </c>
      <c r="D770" s="104" t="s">
        <v>1451</v>
      </c>
      <c r="E770" s="24"/>
      <c r="F770" s="24"/>
      <c r="G770" s="24"/>
      <c r="H770" s="149"/>
      <c r="I770" s="45" t="s">
        <v>1452</v>
      </c>
      <c r="J770" s="190" t="s">
        <v>23</v>
      </c>
      <c r="K770" s="45" t="s">
        <v>30</v>
      </c>
      <c r="L770" s="101" t="s">
        <v>1331</v>
      </c>
      <c r="M770" s="24" t="s">
        <v>36</v>
      </c>
      <c r="N770" s="37">
        <v>17.04</v>
      </c>
      <c r="O770" s="37">
        <v>7.52</v>
      </c>
      <c r="P770" s="28">
        <f t="shared" si="129"/>
        <v>9.52</v>
      </c>
      <c r="Q770" s="29">
        <v>550</v>
      </c>
      <c r="R770" s="30">
        <f t="shared" si="122"/>
        <v>5236</v>
      </c>
      <c r="S770" s="24">
        <v>5236</v>
      </c>
      <c r="T770" s="31"/>
      <c r="V770" s="31" t="s">
        <v>53</v>
      </c>
      <c r="W770" s="29"/>
      <c r="X770" s="32">
        <f t="shared" si="126"/>
        <v>0</v>
      </c>
      <c r="Y770" s="33"/>
      <c r="Z770" s="31">
        <f t="shared" si="127"/>
        <v>0</v>
      </c>
      <c r="AA770" s="31">
        <f t="shared" si="128"/>
        <v>5236</v>
      </c>
    </row>
    <row r="771" spans="1:27" s="38" customFormat="1" ht="15.75" x14ac:dyDescent="0.25">
      <c r="A771" s="51">
        <v>768</v>
      </c>
      <c r="B771" s="22">
        <v>46022</v>
      </c>
      <c r="C771" s="22">
        <v>46023</v>
      </c>
      <c r="D771" s="104" t="s">
        <v>1453</v>
      </c>
      <c r="E771" s="24"/>
      <c r="F771" s="24"/>
      <c r="G771" s="24"/>
      <c r="H771" s="149"/>
      <c r="I771" s="45" t="s">
        <v>48</v>
      </c>
      <c r="J771" s="190" t="s">
        <v>23</v>
      </c>
      <c r="K771" s="45" t="s">
        <v>32</v>
      </c>
      <c r="L771" s="108" t="s">
        <v>1454</v>
      </c>
      <c r="M771" s="24" t="s">
        <v>49</v>
      </c>
      <c r="N771" s="37">
        <v>25.98</v>
      </c>
      <c r="O771" s="37">
        <v>13.92</v>
      </c>
      <c r="P771" s="28">
        <f t="shared" si="129"/>
        <v>12.06</v>
      </c>
      <c r="Q771" s="29">
        <v>0</v>
      </c>
      <c r="R771" s="30">
        <f t="shared" si="122"/>
        <v>0</v>
      </c>
      <c r="S771" s="24"/>
      <c r="T771" s="31"/>
      <c r="V771" s="31" t="s">
        <v>24</v>
      </c>
      <c r="W771" s="29"/>
      <c r="X771" s="32">
        <f t="shared" si="126"/>
        <v>0</v>
      </c>
      <c r="Y771" s="33"/>
      <c r="Z771" s="31">
        <f t="shared" si="127"/>
        <v>0</v>
      </c>
      <c r="AA771" s="31">
        <f t="shared" si="128"/>
        <v>0</v>
      </c>
    </row>
  </sheetData>
  <mergeCells count="20">
    <mergeCell ref="V1:V2"/>
    <mergeCell ref="AB1:AB2"/>
    <mergeCell ref="N1:N2"/>
    <mergeCell ref="O1:O2"/>
    <mergeCell ref="Q1:Q2"/>
    <mergeCell ref="S1:S2"/>
    <mergeCell ref="T1:T2"/>
    <mergeCell ref="U1:U2"/>
    <mergeCell ref="M1:M2"/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K1:K2"/>
    <mergeCell ref="L1:L2"/>
  </mergeCells>
  <conditionalFormatting sqref="I4">
    <cfRule type="duplicateValues" dxfId="1701" priority="1710"/>
    <cfRule type="duplicateValues" dxfId="1700" priority="1709"/>
  </conditionalFormatting>
  <conditionalFormatting sqref="I5">
    <cfRule type="duplicateValues" dxfId="1699" priority="1704"/>
    <cfRule type="duplicateValues" dxfId="1698" priority="1703"/>
  </conditionalFormatting>
  <conditionalFormatting sqref="I6">
    <cfRule type="duplicateValues" dxfId="1697" priority="1700"/>
  </conditionalFormatting>
  <conditionalFormatting sqref="I7">
    <cfRule type="duplicateValues" dxfId="1696" priority="1699"/>
  </conditionalFormatting>
  <conditionalFormatting sqref="I8">
    <cfRule type="duplicateValues" dxfId="1695" priority="1686"/>
  </conditionalFormatting>
  <conditionalFormatting sqref="I9">
    <cfRule type="duplicateValues" dxfId="1694" priority="1691"/>
    <cfRule type="duplicateValues" dxfId="1693" priority="1692"/>
  </conditionalFormatting>
  <conditionalFormatting sqref="I10">
    <cfRule type="duplicateValues" dxfId="1692" priority="1689"/>
    <cfRule type="duplicateValues" dxfId="1691" priority="1690"/>
  </conditionalFormatting>
  <conditionalFormatting sqref="I11">
    <cfRule type="duplicateValues" dxfId="1690" priority="1688"/>
    <cfRule type="duplicateValues" dxfId="1689" priority="1687"/>
  </conditionalFormatting>
  <conditionalFormatting sqref="I12">
    <cfRule type="duplicateValues" dxfId="1688" priority="1683"/>
    <cfRule type="duplicateValues" dxfId="1687" priority="1682"/>
  </conditionalFormatting>
  <conditionalFormatting sqref="I16">
    <cfRule type="duplicateValues" dxfId="1686" priority="1676"/>
    <cfRule type="duplicateValues" dxfId="1685" priority="1677"/>
  </conditionalFormatting>
  <conditionalFormatting sqref="I17">
    <cfRule type="duplicateValues" dxfId="1684" priority="1675"/>
    <cfRule type="duplicateValues" dxfId="1683" priority="1674"/>
  </conditionalFormatting>
  <conditionalFormatting sqref="I21">
    <cfRule type="duplicateValues" dxfId="1682" priority="1667"/>
    <cfRule type="duplicateValues" dxfId="1681" priority="1666"/>
  </conditionalFormatting>
  <conditionalFormatting sqref="I22">
    <cfRule type="duplicateValues" dxfId="1680" priority="1663"/>
    <cfRule type="duplicateValues" dxfId="1679" priority="1662"/>
  </conditionalFormatting>
  <conditionalFormatting sqref="I30">
    <cfRule type="duplicateValues" dxfId="1678" priority="1661"/>
    <cfRule type="duplicateValues" dxfId="1677" priority="1660"/>
  </conditionalFormatting>
  <conditionalFormatting sqref="I31">
    <cfRule type="duplicateValues" dxfId="1676" priority="1659"/>
  </conditionalFormatting>
  <conditionalFormatting sqref="I32">
    <cfRule type="duplicateValues" dxfId="1675" priority="1658"/>
  </conditionalFormatting>
  <conditionalFormatting sqref="I36">
    <cfRule type="duplicateValues" dxfId="1674" priority="1656"/>
  </conditionalFormatting>
  <conditionalFormatting sqref="I37">
    <cfRule type="duplicateValues" dxfId="1673" priority="1654"/>
  </conditionalFormatting>
  <conditionalFormatting sqref="I38">
    <cfRule type="duplicateValues" dxfId="1672" priority="1652"/>
  </conditionalFormatting>
  <conditionalFormatting sqref="I39">
    <cfRule type="duplicateValues" dxfId="1671" priority="1650"/>
  </conditionalFormatting>
  <conditionalFormatting sqref="I40">
    <cfRule type="duplicateValues" dxfId="1670" priority="1648"/>
  </conditionalFormatting>
  <conditionalFormatting sqref="I41">
    <cfRule type="duplicateValues" dxfId="1669" priority="1646"/>
  </conditionalFormatting>
  <conditionalFormatting sqref="I43">
    <cfRule type="duplicateValues" dxfId="1668" priority="1644"/>
  </conditionalFormatting>
  <conditionalFormatting sqref="I52">
    <cfRule type="duplicateValues" dxfId="1667" priority="1643"/>
  </conditionalFormatting>
  <conditionalFormatting sqref="I63">
    <cfRule type="duplicateValues" dxfId="1666" priority="1642"/>
  </conditionalFormatting>
  <conditionalFormatting sqref="I64">
    <cfRule type="duplicateValues" dxfId="1665" priority="1641"/>
  </conditionalFormatting>
  <conditionalFormatting sqref="I66">
    <cfRule type="duplicateValues" dxfId="1664" priority="1640"/>
  </conditionalFormatting>
  <conditionalFormatting sqref="I67">
    <cfRule type="duplicateValues" dxfId="1663" priority="1639"/>
  </conditionalFormatting>
  <conditionalFormatting sqref="I68">
    <cfRule type="duplicateValues" dxfId="1662" priority="1637"/>
  </conditionalFormatting>
  <conditionalFormatting sqref="I69">
    <cfRule type="duplicateValues" dxfId="1661" priority="1636"/>
  </conditionalFormatting>
  <conditionalFormatting sqref="I70">
    <cfRule type="duplicateValues" dxfId="1660" priority="1635"/>
  </conditionalFormatting>
  <conditionalFormatting sqref="I72">
    <cfRule type="duplicateValues" dxfId="1659" priority="1526"/>
  </conditionalFormatting>
  <conditionalFormatting sqref="I73">
    <cfRule type="duplicateValues" dxfId="1658" priority="1523"/>
  </conditionalFormatting>
  <conditionalFormatting sqref="I87">
    <cfRule type="duplicateValues" dxfId="1657" priority="1522"/>
    <cfRule type="duplicateValues" dxfId="1656" priority="1521"/>
  </conditionalFormatting>
  <conditionalFormatting sqref="I88">
    <cfRule type="duplicateValues" dxfId="1655" priority="1519"/>
    <cfRule type="duplicateValues" dxfId="1654" priority="1520"/>
  </conditionalFormatting>
  <conditionalFormatting sqref="I89">
    <cfRule type="duplicateValues" dxfId="1653" priority="1517"/>
    <cfRule type="duplicateValues" dxfId="1652" priority="1518"/>
  </conditionalFormatting>
  <conditionalFormatting sqref="I102">
    <cfRule type="duplicateValues" dxfId="1651" priority="1458"/>
    <cfRule type="duplicateValues" dxfId="1650" priority="1460"/>
  </conditionalFormatting>
  <conditionalFormatting sqref="I103">
    <cfRule type="duplicateValues" dxfId="1649" priority="1459"/>
    <cfRule type="duplicateValues" dxfId="1648" priority="1457"/>
  </conditionalFormatting>
  <conditionalFormatting sqref="I105">
    <cfRule type="duplicateValues" dxfId="1647" priority="1454"/>
  </conditionalFormatting>
  <conditionalFormatting sqref="I106">
    <cfRule type="duplicateValues" dxfId="1646" priority="1453"/>
  </conditionalFormatting>
  <conditionalFormatting sqref="I107">
    <cfRule type="duplicateValues" dxfId="1645" priority="1477"/>
    <cfRule type="duplicateValues" dxfId="1644" priority="1478"/>
  </conditionalFormatting>
  <conditionalFormatting sqref="I111">
    <cfRule type="duplicateValues" dxfId="1643" priority="1444"/>
  </conditionalFormatting>
  <conditionalFormatting sqref="I112">
    <cfRule type="duplicateValues" dxfId="1642" priority="1443"/>
  </conditionalFormatting>
  <conditionalFormatting sqref="I121">
    <cfRule type="duplicateValues" dxfId="1641" priority="1441"/>
  </conditionalFormatting>
  <conditionalFormatting sqref="I122">
    <cfRule type="duplicateValues" dxfId="1640" priority="1440"/>
  </conditionalFormatting>
  <conditionalFormatting sqref="I123">
    <cfRule type="duplicateValues" dxfId="1639" priority="1379"/>
    <cfRule type="duplicateValues" dxfId="1638" priority="1381"/>
  </conditionalFormatting>
  <conditionalFormatting sqref="I124">
    <cfRule type="duplicateValues" dxfId="1637" priority="1380"/>
    <cfRule type="duplicateValues" dxfId="1636" priority="1378"/>
  </conditionalFormatting>
  <conditionalFormatting sqref="I126">
    <cfRule type="duplicateValues" dxfId="1635" priority="1377"/>
    <cfRule type="duplicateValues" dxfId="1634" priority="1376"/>
  </conditionalFormatting>
  <conditionalFormatting sqref="I127">
    <cfRule type="duplicateValues" dxfId="1633" priority="1375"/>
  </conditionalFormatting>
  <conditionalFormatting sqref="I128">
    <cfRule type="duplicateValues" dxfId="1632" priority="1372"/>
    <cfRule type="duplicateValues" dxfId="1631" priority="1371"/>
  </conditionalFormatting>
  <conditionalFormatting sqref="I129">
    <cfRule type="duplicateValues" dxfId="1630" priority="1370"/>
    <cfRule type="duplicateValues" dxfId="1629" priority="1369"/>
  </conditionalFormatting>
  <conditionalFormatting sqref="I131">
    <cfRule type="duplicateValues" dxfId="1628" priority="1364"/>
    <cfRule type="duplicateValues" dxfId="1627" priority="1363"/>
  </conditionalFormatting>
  <conditionalFormatting sqref="I132">
    <cfRule type="duplicateValues" dxfId="1626" priority="1362"/>
    <cfRule type="duplicateValues" dxfId="1625" priority="1361"/>
  </conditionalFormatting>
  <conditionalFormatting sqref="I133">
    <cfRule type="duplicateValues" dxfId="1624" priority="1365"/>
    <cfRule type="duplicateValues" dxfId="1623" priority="1366"/>
  </conditionalFormatting>
  <conditionalFormatting sqref="I134">
    <cfRule type="duplicateValues" dxfId="1622" priority="1354"/>
    <cfRule type="duplicateValues" dxfId="1621" priority="1355"/>
  </conditionalFormatting>
  <conditionalFormatting sqref="I135">
    <cfRule type="duplicateValues" dxfId="1620" priority="1356"/>
  </conditionalFormatting>
  <conditionalFormatting sqref="I137">
    <cfRule type="duplicateValues" dxfId="1619" priority="1352"/>
    <cfRule type="duplicateValues" dxfId="1618" priority="1353"/>
  </conditionalFormatting>
  <conditionalFormatting sqref="I138">
    <cfRule type="duplicateValues" dxfId="1617" priority="1348"/>
    <cfRule type="duplicateValues" dxfId="1616" priority="1349"/>
  </conditionalFormatting>
  <conditionalFormatting sqref="I139">
    <cfRule type="duplicateValues" dxfId="1615" priority="1403"/>
    <cfRule type="duplicateValues" dxfId="1614" priority="1402"/>
  </conditionalFormatting>
  <conditionalFormatting sqref="I143">
    <cfRule type="duplicateValues" dxfId="1613" priority="1347"/>
    <cfRule type="duplicateValues" dxfId="1612" priority="1346"/>
  </conditionalFormatting>
  <conditionalFormatting sqref="I148">
    <cfRule type="duplicateValues" dxfId="1611" priority="1345"/>
  </conditionalFormatting>
  <conditionalFormatting sqref="I153">
    <cfRule type="duplicateValues" dxfId="1610" priority="1344"/>
  </conditionalFormatting>
  <conditionalFormatting sqref="I154">
    <cfRule type="duplicateValues" dxfId="1609" priority="1342"/>
    <cfRule type="duplicateValues" dxfId="1608" priority="1343"/>
  </conditionalFormatting>
  <conditionalFormatting sqref="I156">
    <cfRule type="duplicateValues" dxfId="1607" priority="1312"/>
    <cfRule type="duplicateValues" dxfId="1606" priority="1313"/>
  </conditionalFormatting>
  <conditionalFormatting sqref="I157">
    <cfRule type="duplicateValues" dxfId="1605" priority="1298"/>
    <cfRule type="duplicateValues" dxfId="1604" priority="1299"/>
  </conditionalFormatting>
  <conditionalFormatting sqref="I158">
    <cfRule type="duplicateValues" dxfId="1603" priority="1296"/>
    <cfRule type="duplicateValues" dxfId="1602" priority="1297"/>
  </conditionalFormatting>
  <conditionalFormatting sqref="I159">
    <cfRule type="duplicateValues" dxfId="1601" priority="1293"/>
    <cfRule type="duplicateValues" dxfId="1600" priority="1292"/>
  </conditionalFormatting>
  <conditionalFormatting sqref="I161">
    <cfRule type="duplicateValues" dxfId="1599" priority="1289"/>
    <cfRule type="duplicateValues" dxfId="1598" priority="1288"/>
  </conditionalFormatting>
  <conditionalFormatting sqref="I162">
    <cfRule type="duplicateValues" dxfId="1597" priority="1311"/>
    <cfRule type="duplicateValues" dxfId="1596" priority="1310"/>
  </conditionalFormatting>
  <conditionalFormatting sqref="I167">
    <cfRule type="duplicateValues" dxfId="1595" priority="1284"/>
    <cfRule type="duplicateValues" dxfId="1594" priority="1285"/>
  </conditionalFormatting>
  <conditionalFormatting sqref="I174">
    <cfRule type="duplicateValues" dxfId="1593" priority="1283"/>
  </conditionalFormatting>
  <conditionalFormatting sqref="I175">
    <cfRule type="duplicateValues" dxfId="1592" priority="1282"/>
  </conditionalFormatting>
  <conditionalFormatting sqref="I177">
    <cfRule type="duplicateValues" dxfId="1591" priority="1280"/>
    <cfRule type="duplicateValues" dxfId="1590" priority="1281"/>
  </conditionalFormatting>
  <conditionalFormatting sqref="I183">
    <cfRule type="duplicateValues" dxfId="1589" priority="1248"/>
    <cfRule type="duplicateValues" dxfId="1588" priority="1249"/>
  </conditionalFormatting>
  <conditionalFormatting sqref="I194">
    <cfRule type="duplicateValues" dxfId="1587" priority="1192"/>
    <cfRule type="duplicateValues" dxfId="1586" priority="1193"/>
  </conditionalFormatting>
  <conditionalFormatting sqref="I197">
    <cfRule type="duplicateValues" dxfId="1585" priority="1190"/>
    <cfRule type="duplicateValues" dxfId="1584" priority="1191"/>
  </conditionalFormatting>
  <conditionalFormatting sqref="I199">
    <cfRule type="duplicateValues" dxfId="1583" priority="1189"/>
    <cfRule type="duplicateValues" dxfId="1582" priority="1188"/>
  </conditionalFormatting>
  <conditionalFormatting sqref="I208">
    <cfRule type="duplicateValues" dxfId="1581" priority="1182"/>
    <cfRule type="duplicateValues" dxfId="1580" priority="1183"/>
  </conditionalFormatting>
  <conditionalFormatting sqref="I212">
    <cfRule type="duplicateValues" dxfId="1579" priority="1187"/>
  </conditionalFormatting>
  <conditionalFormatting sqref="I213">
    <cfRule type="duplicateValues" dxfId="1578" priority="1186"/>
  </conditionalFormatting>
  <conditionalFormatting sqref="I214">
    <cfRule type="duplicateValues" dxfId="1577" priority="1185"/>
  </conditionalFormatting>
  <conditionalFormatting sqref="I215">
    <cfRule type="duplicateValues" dxfId="1576" priority="1184"/>
  </conditionalFormatting>
  <conditionalFormatting sqref="I224">
    <cfRule type="duplicateValues" dxfId="1575" priority="1147"/>
  </conditionalFormatting>
  <conditionalFormatting sqref="I225">
    <cfRule type="duplicateValues" dxfId="1574" priority="1146"/>
  </conditionalFormatting>
  <conditionalFormatting sqref="I226">
    <cfRule type="duplicateValues" dxfId="1573" priority="1145"/>
  </conditionalFormatting>
  <conditionalFormatting sqref="I227">
    <cfRule type="duplicateValues" dxfId="1572" priority="1144"/>
  </conditionalFormatting>
  <conditionalFormatting sqref="I230">
    <cfRule type="duplicateValues" dxfId="1571" priority="1143"/>
  </conditionalFormatting>
  <conditionalFormatting sqref="I231">
    <cfRule type="duplicateValues" dxfId="1570" priority="1142"/>
  </conditionalFormatting>
  <conditionalFormatting sqref="I245">
    <cfRule type="duplicateValues" dxfId="1569" priority="1085"/>
  </conditionalFormatting>
  <conditionalFormatting sqref="I246">
    <cfRule type="duplicateValues" dxfId="1568" priority="1082"/>
  </conditionalFormatting>
  <conditionalFormatting sqref="I248">
    <cfRule type="duplicateValues" dxfId="1567" priority="1080"/>
  </conditionalFormatting>
  <conditionalFormatting sqref="I262">
    <cfRule type="duplicateValues" dxfId="1566" priority="1078"/>
  </conditionalFormatting>
  <conditionalFormatting sqref="I263">
    <cfRule type="duplicateValues" dxfId="1565" priority="1077"/>
  </conditionalFormatting>
  <conditionalFormatting sqref="I268">
    <cfRule type="duplicateValues" dxfId="1564" priority="1061"/>
    <cfRule type="duplicateValues" dxfId="1563" priority="1062"/>
  </conditionalFormatting>
  <conditionalFormatting sqref="I273">
    <cfRule type="duplicateValues" dxfId="1562" priority="1058"/>
    <cfRule type="duplicateValues" dxfId="1561" priority="1057"/>
  </conditionalFormatting>
  <conditionalFormatting sqref="I274">
    <cfRule type="duplicateValues" dxfId="1560" priority="1056"/>
    <cfRule type="duplicateValues" dxfId="1559" priority="1055"/>
  </conditionalFormatting>
  <conditionalFormatting sqref="I275">
    <cfRule type="duplicateValues" dxfId="1558" priority="1054"/>
    <cfRule type="duplicateValues" dxfId="1557" priority="1053"/>
  </conditionalFormatting>
  <conditionalFormatting sqref="I276">
    <cfRule type="duplicateValues" dxfId="1556" priority="1050"/>
    <cfRule type="duplicateValues" dxfId="1555" priority="1049"/>
  </conditionalFormatting>
  <conditionalFormatting sqref="I277">
    <cfRule type="duplicateValues" dxfId="1554" priority="1020"/>
    <cfRule type="duplicateValues" dxfId="1553" priority="1019"/>
  </conditionalFormatting>
  <conditionalFormatting sqref="I278">
    <cfRule type="duplicateValues" dxfId="1552" priority="1018"/>
    <cfRule type="duplicateValues" dxfId="1551" priority="1017"/>
  </conditionalFormatting>
  <conditionalFormatting sqref="I279">
    <cfRule type="duplicateValues" dxfId="1550" priority="1015"/>
    <cfRule type="duplicateValues" dxfId="1549" priority="1016"/>
  </conditionalFormatting>
  <conditionalFormatting sqref="I280">
    <cfRule type="duplicateValues" dxfId="1548" priority="1014"/>
  </conditionalFormatting>
  <conditionalFormatting sqref="I281">
    <cfRule type="duplicateValues" dxfId="1547" priority="1013"/>
  </conditionalFormatting>
  <conditionalFormatting sqref="I282">
    <cfRule type="duplicateValues" dxfId="1546" priority="1024"/>
    <cfRule type="duplicateValues" dxfId="1545" priority="1023"/>
  </conditionalFormatting>
  <conditionalFormatting sqref="I283">
    <cfRule type="duplicateValues" dxfId="1544" priority="1009"/>
    <cfRule type="duplicateValues" dxfId="1543" priority="1010"/>
  </conditionalFormatting>
  <conditionalFormatting sqref="I284">
    <cfRule type="duplicateValues" dxfId="1542" priority="1005"/>
    <cfRule type="duplicateValues" dxfId="1541" priority="1006"/>
  </conditionalFormatting>
  <conditionalFormatting sqref="I290">
    <cfRule type="duplicateValues" dxfId="1540" priority="1004"/>
  </conditionalFormatting>
  <conditionalFormatting sqref="I291">
    <cfRule type="duplicateValues" dxfId="1539" priority="1003"/>
  </conditionalFormatting>
  <conditionalFormatting sqref="I292">
    <cfRule type="duplicateValues" dxfId="1538" priority="1002"/>
  </conditionalFormatting>
  <conditionalFormatting sqref="I298">
    <cfRule type="duplicateValues" dxfId="1537" priority="951"/>
    <cfRule type="duplicateValues" dxfId="1536" priority="950"/>
  </conditionalFormatting>
  <conditionalFormatting sqref="I308">
    <cfRule type="duplicateValues" dxfId="1535" priority="943"/>
    <cfRule type="duplicateValues" dxfId="1534" priority="942"/>
  </conditionalFormatting>
  <conditionalFormatting sqref="I313">
    <cfRule type="duplicateValues" dxfId="1533" priority="939"/>
  </conditionalFormatting>
  <conditionalFormatting sqref="I314">
    <cfRule type="duplicateValues" dxfId="1532" priority="938"/>
  </conditionalFormatting>
  <conditionalFormatting sqref="I315">
    <cfRule type="duplicateValues" dxfId="1531" priority="937"/>
  </conditionalFormatting>
  <conditionalFormatting sqref="I316">
    <cfRule type="duplicateValues" dxfId="1530" priority="936"/>
  </conditionalFormatting>
  <conditionalFormatting sqref="I355">
    <cfRule type="duplicateValues" dxfId="1529" priority="825"/>
  </conditionalFormatting>
  <conditionalFormatting sqref="I356">
    <cfRule type="duplicateValues" dxfId="1528" priority="824"/>
  </conditionalFormatting>
  <conditionalFormatting sqref="I357">
    <cfRule type="duplicateValues" dxfId="1527" priority="823"/>
  </conditionalFormatting>
  <conditionalFormatting sqref="I358">
    <cfRule type="duplicateValues" dxfId="1526" priority="822"/>
  </conditionalFormatting>
  <conditionalFormatting sqref="I359">
    <cfRule type="duplicateValues" dxfId="1525" priority="821"/>
  </conditionalFormatting>
  <conditionalFormatting sqref="I360">
    <cfRule type="duplicateValues" dxfId="1524" priority="819"/>
  </conditionalFormatting>
  <conditionalFormatting sqref="I361">
    <cfRule type="duplicateValues" dxfId="1523" priority="818"/>
  </conditionalFormatting>
  <conditionalFormatting sqref="I362">
    <cfRule type="duplicateValues" dxfId="1522" priority="817"/>
  </conditionalFormatting>
  <conditionalFormatting sqref="I363">
    <cfRule type="duplicateValues" dxfId="1521" priority="815"/>
    <cfRule type="duplicateValues" dxfId="1520" priority="816"/>
  </conditionalFormatting>
  <conditionalFormatting sqref="I364">
    <cfRule type="duplicateValues" dxfId="1519" priority="814"/>
    <cfRule type="duplicateValues" dxfId="1518" priority="813"/>
  </conditionalFormatting>
  <conditionalFormatting sqref="I373">
    <cfRule type="duplicateValues" dxfId="1517" priority="811"/>
    <cfRule type="duplicateValues" dxfId="1516" priority="812"/>
  </conditionalFormatting>
  <conditionalFormatting sqref="I422">
    <cfRule type="duplicateValues" dxfId="1515" priority="662"/>
    <cfRule type="duplicateValues" dxfId="1514" priority="661"/>
  </conditionalFormatting>
  <conditionalFormatting sqref="I423">
    <cfRule type="duplicateValues" dxfId="1513" priority="664"/>
    <cfRule type="duplicateValues" dxfId="1512" priority="665"/>
  </conditionalFormatting>
  <conditionalFormatting sqref="I425">
    <cfRule type="duplicateValues" dxfId="1511" priority="654"/>
    <cfRule type="duplicateValues" dxfId="1510" priority="653"/>
  </conditionalFormatting>
  <conditionalFormatting sqref="I427">
    <cfRule type="duplicateValues" dxfId="1509" priority="663"/>
  </conditionalFormatting>
  <conditionalFormatting sqref="I429">
    <cfRule type="duplicateValues" dxfId="1508" priority="650"/>
  </conditionalFormatting>
  <conditionalFormatting sqref="I430">
    <cfRule type="duplicateValues" dxfId="1507" priority="649"/>
  </conditionalFormatting>
  <conditionalFormatting sqref="I438">
    <cfRule type="duplicateValues" dxfId="1506" priority="640"/>
  </conditionalFormatting>
  <conditionalFormatting sqref="I439">
    <cfRule type="duplicateValues" dxfId="1505" priority="639"/>
  </conditionalFormatting>
  <conditionalFormatting sqref="I458">
    <cfRule type="duplicateValues" dxfId="1504" priority="634"/>
    <cfRule type="duplicateValues" dxfId="1503" priority="633"/>
  </conditionalFormatting>
  <conditionalFormatting sqref="I459">
    <cfRule type="duplicateValues" dxfId="1502" priority="623"/>
    <cfRule type="duplicateValues" dxfId="1501" priority="624"/>
  </conditionalFormatting>
  <conditionalFormatting sqref="I460">
    <cfRule type="duplicateValues" dxfId="1500" priority="621"/>
    <cfRule type="duplicateValues" dxfId="1499" priority="622"/>
  </conditionalFormatting>
  <conditionalFormatting sqref="I461">
    <cfRule type="duplicateValues" dxfId="1498" priority="629"/>
    <cfRule type="duplicateValues" dxfId="1497" priority="630"/>
  </conditionalFormatting>
  <conditionalFormatting sqref="I465">
    <cfRule type="duplicateValues" dxfId="1496" priority="605"/>
    <cfRule type="duplicateValues" dxfId="1495" priority="606"/>
  </conditionalFormatting>
  <conditionalFormatting sqref="I466">
    <cfRule type="duplicateValues" dxfId="1494" priority="609"/>
    <cfRule type="duplicateValues" dxfId="1493" priority="610"/>
  </conditionalFormatting>
  <conditionalFormatting sqref="I467">
    <cfRule type="duplicateValues" dxfId="1492" priority="601"/>
    <cfRule type="duplicateValues" dxfId="1491" priority="602"/>
  </conditionalFormatting>
  <conditionalFormatting sqref="I468">
    <cfRule type="duplicateValues" dxfId="1490" priority="597"/>
    <cfRule type="duplicateValues" dxfId="1489" priority="598"/>
  </conditionalFormatting>
  <conditionalFormatting sqref="I469">
    <cfRule type="duplicateValues" dxfId="1488" priority="589"/>
    <cfRule type="duplicateValues" dxfId="1487" priority="590"/>
  </conditionalFormatting>
  <conditionalFormatting sqref="I470">
    <cfRule type="duplicateValues" dxfId="1486" priority="592"/>
    <cfRule type="duplicateValues" dxfId="1485" priority="591"/>
  </conditionalFormatting>
  <conditionalFormatting sqref="I471">
    <cfRule type="duplicateValues" dxfId="1484" priority="583"/>
    <cfRule type="duplicateValues" dxfId="1483" priority="584"/>
  </conditionalFormatting>
  <conditionalFormatting sqref="I472">
    <cfRule type="duplicateValues" dxfId="1482" priority="579"/>
    <cfRule type="duplicateValues" dxfId="1481" priority="580"/>
  </conditionalFormatting>
  <conditionalFormatting sqref="I473">
    <cfRule type="duplicateValues" dxfId="1480" priority="575"/>
    <cfRule type="duplicateValues" dxfId="1479" priority="576"/>
  </conditionalFormatting>
  <conditionalFormatting sqref="I474">
    <cfRule type="duplicateValues" dxfId="1478" priority="574"/>
    <cfRule type="duplicateValues" dxfId="1477" priority="573"/>
  </conditionalFormatting>
  <conditionalFormatting sqref="I475">
    <cfRule type="duplicateValues" dxfId="1476" priority="570"/>
    <cfRule type="duplicateValues" dxfId="1475" priority="569"/>
  </conditionalFormatting>
  <conditionalFormatting sqref="I476">
    <cfRule type="duplicateValues" dxfId="1474" priority="566"/>
    <cfRule type="duplicateValues" dxfId="1473" priority="565"/>
  </conditionalFormatting>
  <conditionalFormatting sqref="I477">
    <cfRule type="duplicateValues" dxfId="1472" priority="561"/>
    <cfRule type="duplicateValues" dxfId="1471" priority="562"/>
  </conditionalFormatting>
  <conditionalFormatting sqref="I478">
    <cfRule type="duplicateValues" dxfId="1470" priority="558"/>
    <cfRule type="duplicateValues" dxfId="1469" priority="557"/>
  </conditionalFormatting>
  <conditionalFormatting sqref="I500">
    <cfRule type="duplicateValues" dxfId="1468" priority="477"/>
    <cfRule type="duplicateValues" dxfId="1467" priority="478"/>
  </conditionalFormatting>
  <conditionalFormatting sqref="I516">
    <cfRule type="duplicateValues" dxfId="1466" priority="465"/>
    <cfRule type="duplicateValues" dxfId="1465" priority="466"/>
  </conditionalFormatting>
  <conditionalFormatting sqref="I573">
    <cfRule type="duplicateValues" dxfId="1464" priority="460"/>
  </conditionalFormatting>
  <conditionalFormatting sqref="I626">
    <cfRule type="duplicateValues" dxfId="1463" priority="301"/>
    <cfRule type="duplicateValues" dxfId="1462" priority="302"/>
  </conditionalFormatting>
  <conditionalFormatting sqref="I632">
    <cfRule type="duplicateValues" dxfId="1461" priority="223"/>
    <cfRule type="duplicateValues" dxfId="1460" priority="224"/>
  </conditionalFormatting>
  <conditionalFormatting sqref="I639">
    <cfRule type="duplicateValues" dxfId="1459" priority="218"/>
    <cfRule type="duplicateValues" dxfId="1458" priority="217"/>
  </conditionalFormatting>
  <conditionalFormatting sqref="I641">
    <cfRule type="duplicateValues" dxfId="1457" priority="216"/>
  </conditionalFormatting>
  <conditionalFormatting sqref="I642">
    <cfRule type="duplicateValues" dxfId="1456" priority="215"/>
  </conditionalFormatting>
  <conditionalFormatting sqref="I643">
    <cfRule type="duplicateValues" dxfId="1455" priority="214"/>
  </conditionalFormatting>
  <conditionalFormatting sqref="I644">
    <cfRule type="duplicateValues" dxfId="1454" priority="213"/>
  </conditionalFormatting>
  <conditionalFormatting sqref="I645">
    <cfRule type="duplicateValues" dxfId="1453" priority="212"/>
  </conditionalFormatting>
  <conditionalFormatting sqref="I648">
    <cfRule type="duplicateValues" dxfId="1452" priority="209"/>
  </conditionalFormatting>
  <conditionalFormatting sqref="I649">
    <cfRule type="duplicateValues" dxfId="1451" priority="208"/>
  </conditionalFormatting>
  <conditionalFormatting sqref="I650">
    <cfRule type="duplicateValues" dxfId="1450" priority="207"/>
  </conditionalFormatting>
  <conditionalFormatting sqref="I651">
    <cfRule type="duplicateValues" dxfId="1449" priority="206"/>
  </conditionalFormatting>
  <conditionalFormatting sqref="I652">
    <cfRule type="duplicateValues" dxfId="1448" priority="205"/>
  </conditionalFormatting>
  <conditionalFormatting sqref="I653">
    <cfRule type="duplicateValues" dxfId="1447" priority="204"/>
  </conditionalFormatting>
  <conditionalFormatting sqref="I654">
    <cfRule type="duplicateValues" dxfId="1446" priority="203"/>
  </conditionalFormatting>
  <conditionalFormatting sqref="I655">
    <cfRule type="duplicateValues" dxfId="1445" priority="202"/>
  </conditionalFormatting>
  <conditionalFormatting sqref="I656">
    <cfRule type="duplicateValues" dxfId="1444" priority="201"/>
  </conditionalFormatting>
  <conditionalFormatting sqref="I657">
    <cfRule type="duplicateValues" dxfId="1443" priority="200"/>
  </conditionalFormatting>
  <conditionalFormatting sqref="I658">
    <cfRule type="duplicateValues" dxfId="1442" priority="199"/>
  </conditionalFormatting>
  <conditionalFormatting sqref="I659">
    <cfRule type="duplicateValues" dxfId="1441" priority="198"/>
  </conditionalFormatting>
  <conditionalFormatting sqref="I660">
    <cfRule type="duplicateValues" dxfId="1440" priority="197"/>
  </conditionalFormatting>
  <conditionalFormatting sqref="I661">
    <cfRule type="duplicateValues" dxfId="1439" priority="196"/>
  </conditionalFormatting>
  <conditionalFormatting sqref="I662">
    <cfRule type="duplicateValues" dxfId="1438" priority="195"/>
  </conditionalFormatting>
  <conditionalFormatting sqref="I663">
    <cfRule type="duplicateValues" dxfId="1437" priority="194"/>
  </conditionalFormatting>
  <conditionalFormatting sqref="I667">
    <cfRule type="duplicateValues" dxfId="1436" priority="184"/>
  </conditionalFormatting>
  <conditionalFormatting sqref="I668">
    <cfRule type="duplicateValues" dxfId="1435" priority="193"/>
  </conditionalFormatting>
  <conditionalFormatting sqref="I669">
    <cfRule type="duplicateValues" dxfId="1434" priority="191"/>
  </conditionalFormatting>
  <conditionalFormatting sqref="I670">
    <cfRule type="duplicateValues" dxfId="1433" priority="190"/>
  </conditionalFormatting>
  <conditionalFormatting sqref="I671">
    <cfRule type="duplicateValues" dxfId="1432" priority="189"/>
  </conditionalFormatting>
  <conditionalFormatting sqref="I672">
    <cfRule type="duplicateValues" dxfId="1431" priority="188"/>
  </conditionalFormatting>
  <conditionalFormatting sqref="I673">
    <cfRule type="duplicateValues" dxfId="1430" priority="187"/>
  </conditionalFormatting>
  <conditionalFormatting sqref="I674">
    <cfRule type="duplicateValues" dxfId="1429" priority="182"/>
  </conditionalFormatting>
  <conditionalFormatting sqref="I675">
    <cfRule type="duplicateValues" dxfId="1428" priority="180"/>
  </conditionalFormatting>
  <conditionalFormatting sqref="I681">
    <cfRule type="duplicateValues" dxfId="1427" priority="179"/>
  </conditionalFormatting>
  <conditionalFormatting sqref="I682">
    <cfRule type="duplicateValues" dxfId="1426" priority="178"/>
  </conditionalFormatting>
  <conditionalFormatting sqref="I684">
    <cfRule type="duplicateValues" dxfId="1425" priority="177"/>
  </conditionalFormatting>
  <conditionalFormatting sqref="I688">
    <cfRule type="duplicateValues" dxfId="1424" priority="176"/>
  </conditionalFormatting>
  <conditionalFormatting sqref="I708">
    <cfRule type="duplicateValues" dxfId="1423" priority="99"/>
  </conditionalFormatting>
  <conditionalFormatting sqref="I709">
    <cfRule type="duplicateValues" dxfId="1422" priority="94"/>
  </conditionalFormatting>
  <conditionalFormatting sqref="I710">
    <cfRule type="duplicateValues" dxfId="1421" priority="93"/>
  </conditionalFormatting>
  <conditionalFormatting sqref="I711">
    <cfRule type="duplicateValues" dxfId="1420" priority="92"/>
  </conditionalFormatting>
  <conditionalFormatting sqref="I712">
    <cfRule type="duplicateValues" dxfId="1419" priority="91"/>
  </conditionalFormatting>
  <conditionalFormatting sqref="I713">
    <cfRule type="duplicateValues" dxfId="1418" priority="90"/>
    <cfRule type="duplicateValues" dxfId="1417" priority="89"/>
  </conditionalFormatting>
  <conditionalFormatting sqref="I714">
    <cfRule type="duplicateValues" dxfId="1416" priority="88"/>
  </conditionalFormatting>
  <conditionalFormatting sqref="I715">
    <cfRule type="duplicateValues" dxfId="1415" priority="87"/>
  </conditionalFormatting>
  <conditionalFormatting sqref="I716">
    <cfRule type="duplicateValues" dxfId="1414" priority="86"/>
  </conditionalFormatting>
  <conditionalFormatting sqref="I717">
    <cfRule type="duplicateValues" dxfId="1413" priority="84"/>
  </conditionalFormatting>
  <conditionalFormatting sqref="I718">
    <cfRule type="duplicateValues" dxfId="1412" priority="85"/>
  </conditionalFormatting>
  <conditionalFormatting sqref="I719">
    <cfRule type="duplicateValues" dxfId="1411" priority="74"/>
  </conditionalFormatting>
  <conditionalFormatting sqref="I720">
    <cfRule type="duplicateValues" dxfId="1410" priority="83"/>
  </conditionalFormatting>
  <conditionalFormatting sqref="I721">
    <cfRule type="duplicateValues" dxfId="1409" priority="82"/>
  </conditionalFormatting>
  <conditionalFormatting sqref="I722">
    <cfRule type="duplicateValues" dxfId="1408" priority="80"/>
    <cfRule type="duplicateValues" dxfId="1407" priority="81"/>
  </conditionalFormatting>
  <conditionalFormatting sqref="I723">
    <cfRule type="duplicateValues" dxfId="1406" priority="79"/>
  </conditionalFormatting>
  <conditionalFormatting sqref="I726">
    <cfRule type="duplicateValues" dxfId="1405" priority="72"/>
  </conditionalFormatting>
  <conditionalFormatting sqref="I729">
    <cfRule type="duplicateValues" dxfId="1404" priority="70"/>
  </conditionalFormatting>
  <conditionalFormatting sqref="I739">
    <cfRule type="duplicateValues" dxfId="1403" priority="68"/>
  </conditionalFormatting>
  <conditionalFormatting sqref="I745">
    <cfRule type="duplicateValues" dxfId="1402" priority="65"/>
    <cfRule type="duplicateValues" dxfId="1401" priority="64"/>
  </conditionalFormatting>
  <conditionalFormatting sqref="I746">
    <cfRule type="duplicateValues" dxfId="1400" priority="12"/>
    <cfRule type="duplicateValues" dxfId="1399" priority="13"/>
  </conditionalFormatting>
  <conditionalFormatting sqref="I749">
    <cfRule type="duplicateValues" dxfId="1398" priority="14"/>
  </conditionalFormatting>
  <conditionalFormatting sqref="I754">
    <cfRule type="duplicateValues" dxfId="1397" priority="11"/>
  </conditionalFormatting>
  <conditionalFormatting sqref="I755">
    <cfRule type="duplicateValues" dxfId="1396" priority="10"/>
  </conditionalFormatting>
  <conditionalFormatting sqref="I756">
    <cfRule type="duplicateValues" dxfId="1395" priority="6"/>
    <cfRule type="duplicateValues" dxfId="1394" priority="7"/>
  </conditionalFormatting>
  <conditionalFormatting sqref="I757">
    <cfRule type="duplicateValues" dxfId="1393" priority="5"/>
  </conditionalFormatting>
  <conditionalFormatting sqref="I758">
    <cfRule type="duplicateValues" dxfId="1392" priority="4"/>
  </conditionalFormatting>
  <conditionalFormatting sqref="I759">
    <cfRule type="duplicateValues" dxfId="1391" priority="3"/>
  </conditionalFormatting>
  <conditionalFormatting sqref="I760">
    <cfRule type="duplicateValues" dxfId="1390" priority="2"/>
  </conditionalFormatting>
  <conditionalFormatting sqref="I763">
    <cfRule type="duplicateValues" dxfId="1389" priority="1"/>
  </conditionalFormatting>
  <conditionalFormatting sqref="I770">
    <cfRule type="duplicateValues" dxfId="1388" priority="17"/>
  </conditionalFormatting>
  <conditionalFormatting sqref="J14">
    <cfRule type="duplicateValues" dxfId="1387" priority="1681"/>
  </conditionalFormatting>
  <conditionalFormatting sqref="J15">
    <cfRule type="duplicateValues" dxfId="1386" priority="1680"/>
  </conditionalFormatting>
  <conditionalFormatting sqref="J118">
    <cfRule type="duplicateValues" dxfId="1385" priority="1442"/>
  </conditionalFormatting>
  <conditionalFormatting sqref="J247">
    <cfRule type="duplicateValues" dxfId="1384" priority="1081"/>
  </conditionalFormatting>
  <conditionalFormatting sqref="J257">
    <cfRule type="duplicateValues" dxfId="1383" priority="1079"/>
  </conditionalFormatting>
  <conditionalFormatting sqref="J359">
    <cfRule type="duplicateValues" dxfId="1382" priority="820"/>
  </conditionalFormatting>
  <conditionalFormatting sqref="J535">
    <cfRule type="duplicateValues" dxfId="1381" priority="391"/>
  </conditionalFormatting>
  <conditionalFormatting sqref="J667">
    <cfRule type="duplicateValues" dxfId="1380" priority="183"/>
  </conditionalFormatting>
  <conditionalFormatting sqref="J668">
    <cfRule type="duplicateValues" dxfId="1379" priority="192"/>
  </conditionalFormatting>
  <conditionalFormatting sqref="J674">
    <cfRule type="duplicateValues" dxfId="1378" priority="181"/>
  </conditionalFormatting>
  <conditionalFormatting sqref="J719">
    <cfRule type="duplicateValues" dxfId="1377" priority="73"/>
  </conditionalFormatting>
  <conditionalFormatting sqref="J726">
    <cfRule type="duplicateValues" dxfId="1376" priority="71"/>
  </conditionalFormatting>
  <conditionalFormatting sqref="J729">
    <cfRule type="duplicateValues" dxfId="1375" priority="69"/>
  </conditionalFormatting>
  <conditionalFormatting sqref="L4">
    <cfRule type="duplicateValues" dxfId="1374" priority="1748"/>
    <cfRule type="duplicateValues" dxfId="1373" priority="1747"/>
  </conditionalFormatting>
  <conditionalFormatting sqref="L5">
    <cfRule type="duplicateValues" dxfId="1372" priority="1726"/>
    <cfRule type="duplicateValues" dxfId="1371" priority="1725"/>
  </conditionalFormatting>
  <conditionalFormatting sqref="L6">
    <cfRule type="duplicateValues" dxfId="1370" priority="1708"/>
    <cfRule type="duplicateValues" dxfId="1369" priority="1707"/>
  </conditionalFormatting>
  <conditionalFormatting sqref="L7">
    <cfRule type="duplicateValues" dxfId="1368" priority="1706"/>
    <cfRule type="duplicateValues" dxfId="1367" priority="1705"/>
  </conditionalFormatting>
  <conditionalFormatting sqref="L8">
    <cfRule type="duplicateValues" dxfId="1366" priority="1702"/>
    <cfRule type="duplicateValues" dxfId="1365" priority="1701"/>
  </conditionalFormatting>
  <conditionalFormatting sqref="L9">
    <cfRule type="duplicateValues" dxfId="1364" priority="1696"/>
    <cfRule type="duplicateValues" dxfId="1363" priority="1695"/>
  </conditionalFormatting>
  <conditionalFormatting sqref="L10">
    <cfRule type="duplicateValues" dxfId="1362" priority="1693"/>
    <cfRule type="duplicateValues" dxfId="1361" priority="1694"/>
  </conditionalFormatting>
  <conditionalFormatting sqref="L11">
    <cfRule type="duplicateValues" dxfId="1360" priority="1697"/>
    <cfRule type="duplicateValues" dxfId="1359" priority="1698"/>
  </conditionalFormatting>
  <conditionalFormatting sqref="L12">
    <cfRule type="duplicateValues" dxfId="1358" priority="1684"/>
    <cfRule type="duplicateValues" dxfId="1357" priority="1685"/>
  </conditionalFormatting>
  <conditionalFormatting sqref="L13">
    <cfRule type="duplicateValues" dxfId="1356" priority="1719"/>
    <cfRule type="duplicateValues" dxfId="1355" priority="1720"/>
  </conditionalFormatting>
  <conditionalFormatting sqref="L14">
    <cfRule type="duplicateValues" dxfId="1354" priority="1718"/>
    <cfRule type="duplicateValues" dxfId="1353" priority="1717"/>
  </conditionalFormatting>
  <conditionalFormatting sqref="L15">
    <cfRule type="duplicateValues" dxfId="1352" priority="1722"/>
    <cfRule type="duplicateValues" dxfId="1351" priority="1721"/>
  </conditionalFormatting>
  <conditionalFormatting sqref="L16">
    <cfRule type="duplicateValues" dxfId="1350" priority="1678"/>
    <cfRule type="duplicateValues" dxfId="1349" priority="1679"/>
  </conditionalFormatting>
  <conditionalFormatting sqref="L17">
    <cfRule type="duplicateValues" dxfId="1348" priority="1745"/>
    <cfRule type="duplicateValues" dxfId="1347" priority="1746"/>
  </conditionalFormatting>
  <conditionalFormatting sqref="L18">
    <cfRule type="duplicateValues" dxfId="1346" priority="1724"/>
    <cfRule type="duplicateValues" dxfId="1345" priority="1723"/>
  </conditionalFormatting>
  <conditionalFormatting sqref="L19">
    <cfRule type="duplicateValues" dxfId="1344" priority="1672"/>
    <cfRule type="duplicateValues" dxfId="1343" priority="1673"/>
  </conditionalFormatting>
  <conditionalFormatting sqref="L20">
    <cfRule type="duplicateValues" dxfId="1342" priority="1670"/>
    <cfRule type="duplicateValues" dxfId="1341" priority="1671"/>
  </conditionalFormatting>
  <conditionalFormatting sqref="L21">
    <cfRule type="duplicateValues" dxfId="1340" priority="1668"/>
    <cfRule type="duplicateValues" dxfId="1339" priority="1669"/>
  </conditionalFormatting>
  <conditionalFormatting sqref="L22">
    <cfRule type="duplicateValues" dxfId="1338" priority="1664"/>
    <cfRule type="duplicateValues" dxfId="1337" priority="1665"/>
  </conditionalFormatting>
  <conditionalFormatting sqref="L23">
    <cfRule type="duplicateValues" dxfId="1336" priority="1743"/>
    <cfRule type="duplicateValues" dxfId="1335" priority="1744"/>
  </conditionalFormatting>
  <conditionalFormatting sqref="L24">
    <cfRule type="duplicateValues" dxfId="1334" priority="1738"/>
    <cfRule type="duplicateValues" dxfId="1333" priority="1737"/>
  </conditionalFormatting>
  <conditionalFormatting sqref="L25">
    <cfRule type="duplicateValues" dxfId="1332" priority="1736"/>
    <cfRule type="duplicateValues" dxfId="1331" priority="1735"/>
  </conditionalFormatting>
  <conditionalFormatting sqref="L26">
    <cfRule type="duplicateValues" dxfId="1330" priority="1742"/>
    <cfRule type="duplicateValues" dxfId="1329" priority="1741"/>
  </conditionalFormatting>
  <conditionalFormatting sqref="L27">
    <cfRule type="duplicateValues" dxfId="1328" priority="1716"/>
    <cfRule type="duplicateValues" dxfId="1327" priority="1715"/>
  </conditionalFormatting>
  <conditionalFormatting sqref="L28">
    <cfRule type="duplicateValues" dxfId="1326" priority="1740"/>
    <cfRule type="duplicateValues" dxfId="1325" priority="1739"/>
  </conditionalFormatting>
  <conditionalFormatting sqref="L29">
    <cfRule type="duplicateValues" dxfId="1324" priority="1733"/>
    <cfRule type="duplicateValues" dxfId="1323" priority="1734"/>
  </conditionalFormatting>
  <conditionalFormatting sqref="L30">
    <cfRule type="duplicateValues" dxfId="1322" priority="1729"/>
    <cfRule type="duplicateValues" dxfId="1321" priority="1730"/>
  </conditionalFormatting>
  <conditionalFormatting sqref="L31">
    <cfRule type="duplicateValues" dxfId="1320" priority="1714"/>
    <cfRule type="duplicateValues" dxfId="1319" priority="1713"/>
  </conditionalFormatting>
  <conditionalFormatting sqref="L32">
    <cfRule type="duplicateValues" dxfId="1318" priority="1728"/>
    <cfRule type="duplicateValues" dxfId="1317" priority="1727"/>
  </conditionalFormatting>
  <conditionalFormatting sqref="L33">
    <cfRule type="duplicateValues" dxfId="1316" priority="1711"/>
    <cfRule type="duplicateValues" dxfId="1315" priority="1712"/>
  </conditionalFormatting>
  <conditionalFormatting sqref="L34">
    <cfRule type="duplicateValues" dxfId="1314" priority="1732"/>
    <cfRule type="duplicateValues" dxfId="1313" priority="1731"/>
  </conditionalFormatting>
  <conditionalFormatting sqref="L35">
    <cfRule type="duplicateValues" dxfId="1312" priority="1749"/>
    <cfRule type="duplicateValues" dxfId="1311" priority="1750"/>
  </conditionalFormatting>
  <conditionalFormatting sqref="L36">
    <cfRule type="duplicateValues" dxfId="1310" priority="1655"/>
    <cfRule type="duplicateValues" dxfId="1309" priority="1751"/>
  </conditionalFormatting>
  <conditionalFormatting sqref="L37">
    <cfRule type="duplicateValues" dxfId="1308" priority="1752"/>
    <cfRule type="duplicateValues" dxfId="1307" priority="1634"/>
  </conditionalFormatting>
  <conditionalFormatting sqref="L38">
    <cfRule type="duplicateValues" dxfId="1306" priority="1629"/>
  </conditionalFormatting>
  <conditionalFormatting sqref="L39">
    <cfRule type="duplicateValues" dxfId="1305" priority="1627"/>
  </conditionalFormatting>
  <conditionalFormatting sqref="L40">
    <cfRule type="duplicateValues" dxfId="1304" priority="1625"/>
  </conditionalFormatting>
  <conditionalFormatting sqref="L41">
    <cfRule type="duplicateValues" dxfId="1303" priority="1623"/>
  </conditionalFormatting>
  <conditionalFormatting sqref="L42">
    <cfRule type="duplicateValues" dxfId="1302" priority="1621"/>
  </conditionalFormatting>
  <conditionalFormatting sqref="L43">
    <cfRule type="duplicateValues" dxfId="1301" priority="1619"/>
  </conditionalFormatting>
  <conditionalFormatting sqref="L44">
    <cfRule type="duplicateValues" dxfId="1300" priority="1617"/>
  </conditionalFormatting>
  <conditionalFormatting sqref="L45">
    <cfRule type="duplicateValues" dxfId="1299" priority="1615"/>
  </conditionalFormatting>
  <conditionalFormatting sqref="L46">
    <cfRule type="duplicateValues" dxfId="1298" priority="1613"/>
  </conditionalFormatting>
  <conditionalFormatting sqref="L47">
    <cfRule type="duplicateValues" dxfId="1297" priority="1632"/>
    <cfRule type="duplicateValues" dxfId="1296" priority="1633"/>
  </conditionalFormatting>
  <conditionalFormatting sqref="L48">
    <cfRule type="duplicateValues" dxfId="1295" priority="1753"/>
    <cfRule type="duplicateValues" dxfId="1294" priority="1612"/>
  </conditionalFormatting>
  <conditionalFormatting sqref="L49">
    <cfRule type="duplicateValues" dxfId="1293" priority="1754"/>
    <cfRule type="duplicateValues" dxfId="1292" priority="1653"/>
  </conditionalFormatting>
  <conditionalFormatting sqref="L50">
    <cfRule type="duplicateValues" dxfId="1291" priority="1605"/>
  </conditionalFormatting>
  <conditionalFormatting sqref="L51">
    <cfRule type="duplicateValues" dxfId="1290" priority="1611"/>
    <cfRule type="duplicateValues" dxfId="1289" priority="1610"/>
  </conditionalFormatting>
  <conditionalFormatting sqref="L52">
    <cfRule type="duplicateValues" dxfId="1288" priority="1608"/>
    <cfRule type="duplicateValues" dxfId="1287" priority="1609"/>
  </conditionalFormatting>
  <conditionalFormatting sqref="L53">
    <cfRule type="duplicateValues" dxfId="1286" priority="1606"/>
    <cfRule type="duplicateValues" dxfId="1285" priority="1607"/>
  </conditionalFormatting>
  <conditionalFormatting sqref="L54">
    <cfRule type="duplicateValues" dxfId="1284" priority="1604"/>
    <cfRule type="duplicateValues" dxfId="1283" priority="1755"/>
  </conditionalFormatting>
  <conditionalFormatting sqref="L55">
    <cfRule type="duplicateValues" dxfId="1282" priority="1651"/>
    <cfRule type="duplicateValues" dxfId="1281" priority="1756"/>
  </conditionalFormatting>
  <conditionalFormatting sqref="L56">
    <cfRule type="duplicateValues" dxfId="1280" priority="1645"/>
    <cfRule type="duplicateValues" dxfId="1279" priority="1757"/>
  </conditionalFormatting>
  <conditionalFormatting sqref="L57">
    <cfRule type="duplicateValues" dxfId="1278" priority="1758"/>
  </conditionalFormatting>
  <conditionalFormatting sqref="L58">
    <cfRule type="duplicateValues" dxfId="1277" priority="1759"/>
    <cfRule type="duplicateValues" dxfId="1276" priority="1649"/>
  </conditionalFormatting>
  <conditionalFormatting sqref="L59">
    <cfRule type="duplicateValues" dxfId="1275" priority="1631"/>
    <cfRule type="duplicateValues" dxfId="1274" priority="1630"/>
  </conditionalFormatting>
  <conditionalFormatting sqref="L60">
    <cfRule type="duplicateValues" dxfId="1273" priority="1760"/>
    <cfRule type="duplicateValues" dxfId="1272" priority="1647"/>
  </conditionalFormatting>
  <conditionalFormatting sqref="L61">
    <cfRule type="duplicateValues" dxfId="1271" priority="1761"/>
  </conditionalFormatting>
  <conditionalFormatting sqref="L62">
    <cfRule type="duplicateValues" dxfId="1270" priority="1581"/>
  </conditionalFormatting>
  <conditionalFormatting sqref="L63">
    <cfRule type="duplicateValues" dxfId="1269" priority="1628"/>
    <cfRule type="duplicateValues" dxfId="1268" priority="1762"/>
  </conditionalFormatting>
  <conditionalFormatting sqref="L64">
    <cfRule type="duplicateValues" dxfId="1267" priority="1763"/>
  </conditionalFormatting>
  <conditionalFormatting sqref="L65">
    <cfRule type="duplicateValues" dxfId="1266" priority="1626"/>
    <cfRule type="duplicateValues" dxfId="1265" priority="1764"/>
  </conditionalFormatting>
  <conditionalFormatting sqref="L66">
    <cfRule type="duplicateValues" dxfId="1264" priority="1638"/>
    <cfRule type="duplicateValues" dxfId="1263" priority="1765"/>
  </conditionalFormatting>
  <conditionalFormatting sqref="L67">
    <cfRule type="duplicateValues" dxfId="1262" priority="1657"/>
    <cfRule type="duplicateValues" dxfId="1261" priority="1766"/>
  </conditionalFormatting>
  <conditionalFormatting sqref="L68">
    <cfRule type="duplicateValues" dxfId="1260" priority="1571"/>
    <cfRule type="duplicateValues" dxfId="1259" priority="1572"/>
  </conditionalFormatting>
  <conditionalFormatting sqref="L69">
    <cfRule type="duplicateValues" dxfId="1258" priority="1569"/>
  </conditionalFormatting>
  <conditionalFormatting sqref="L70">
    <cfRule type="duplicateValues" dxfId="1257" priority="1574"/>
    <cfRule type="duplicateValues" dxfId="1256" priority="1573"/>
  </conditionalFormatting>
  <conditionalFormatting sqref="L71">
    <cfRule type="duplicateValues" dxfId="1255" priority="1564"/>
    <cfRule type="duplicateValues" dxfId="1254" priority="1563"/>
  </conditionalFormatting>
  <conditionalFormatting sqref="L72">
    <cfRule type="duplicateValues" dxfId="1253" priority="1558"/>
    <cfRule type="duplicateValues" dxfId="1252" priority="1557"/>
  </conditionalFormatting>
  <conditionalFormatting sqref="L73">
    <cfRule type="duplicateValues" dxfId="1251" priority="1525"/>
    <cfRule type="duplicateValues" dxfId="1250" priority="1524"/>
  </conditionalFormatting>
  <conditionalFormatting sqref="L74">
    <cfRule type="duplicateValues" dxfId="1249" priority="1554"/>
    <cfRule type="duplicateValues" dxfId="1248" priority="1553"/>
  </conditionalFormatting>
  <conditionalFormatting sqref="L75">
    <cfRule type="duplicateValues" dxfId="1247" priority="1552"/>
    <cfRule type="duplicateValues" dxfId="1246" priority="1551"/>
  </conditionalFormatting>
  <conditionalFormatting sqref="L76">
    <cfRule type="duplicateValues" dxfId="1245" priority="1533"/>
    <cfRule type="duplicateValues" dxfId="1244" priority="1534"/>
  </conditionalFormatting>
  <conditionalFormatting sqref="L77">
    <cfRule type="duplicateValues" dxfId="1243" priority="1547"/>
    <cfRule type="duplicateValues" dxfId="1242" priority="1548"/>
  </conditionalFormatting>
  <conditionalFormatting sqref="L78">
    <cfRule type="duplicateValues" dxfId="1241" priority="1550"/>
    <cfRule type="duplicateValues" dxfId="1240" priority="1549"/>
  </conditionalFormatting>
  <conditionalFormatting sqref="L79">
    <cfRule type="duplicateValues" dxfId="1239" priority="1546"/>
    <cfRule type="duplicateValues" dxfId="1238" priority="1545"/>
  </conditionalFormatting>
  <conditionalFormatting sqref="L80">
    <cfRule type="duplicateValues" dxfId="1237" priority="1532"/>
    <cfRule type="duplicateValues" dxfId="1236" priority="1531"/>
  </conditionalFormatting>
  <conditionalFormatting sqref="L81">
    <cfRule type="duplicateValues" dxfId="1235" priority="1530"/>
    <cfRule type="duplicateValues" dxfId="1234" priority="1529"/>
  </conditionalFormatting>
  <conditionalFormatting sqref="L82">
    <cfRule type="duplicateValues" dxfId="1233" priority="1555"/>
    <cfRule type="duplicateValues" dxfId="1232" priority="1556"/>
  </conditionalFormatting>
  <conditionalFormatting sqref="L83">
    <cfRule type="duplicateValues" dxfId="1231" priority="1544"/>
    <cfRule type="duplicateValues" dxfId="1230" priority="1543"/>
  </conditionalFormatting>
  <conditionalFormatting sqref="L84">
    <cfRule type="duplicateValues" dxfId="1229" priority="1561"/>
    <cfRule type="duplicateValues" dxfId="1228" priority="1562"/>
  </conditionalFormatting>
  <conditionalFormatting sqref="L85">
    <cfRule type="duplicateValues" dxfId="1227" priority="1528"/>
    <cfRule type="duplicateValues" dxfId="1226" priority="1527"/>
  </conditionalFormatting>
  <conditionalFormatting sqref="L86">
    <cfRule type="duplicateValues" dxfId="1225" priority="1541"/>
    <cfRule type="duplicateValues" dxfId="1224" priority="1542"/>
  </conditionalFormatting>
  <conditionalFormatting sqref="L87">
    <cfRule type="duplicateValues" dxfId="1223" priority="1540"/>
    <cfRule type="duplicateValues" dxfId="1222" priority="1539"/>
  </conditionalFormatting>
  <conditionalFormatting sqref="L88">
    <cfRule type="duplicateValues" dxfId="1221" priority="1537"/>
    <cfRule type="duplicateValues" dxfId="1220" priority="1538"/>
  </conditionalFormatting>
  <conditionalFormatting sqref="L89">
    <cfRule type="duplicateValues" dxfId="1219" priority="1536"/>
    <cfRule type="duplicateValues" dxfId="1218" priority="1535"/>
  </conditionalFormatting>
  <conditionalFormatting sqref="L90">
    <cfRule type="duplicateValues" dxfId="1217" priority="1560"/>
    <cfRule type="duplicateValues" dxfId="1216" priority="1559"/>
  </conditionalFormatting>
  <conditionalFormatting sqref="L91">
    <cfRule type="duplicateValues" dxfId="1215" priority="1514"/>
    <cfRule type="duplicateValues" dxfId="1214" priority="1513"/>
  </conditionalFormatting>
  <conditionalFormatting sqref="L92">
    <cfRule type="duplicateValues" dxfId="1213" priority="1464"/>
    <cfRule type="duplicateValues" dxfId="1212" priority="1463"/>
  </conditionalFormatting>
  <conditionalFormatting sqref="L93">
    <cfRule type="duplicateValues" dxfId="1211" priority="1475"/>
    <cfRule type="duplicateValues" dxfId="1210" priority="1476"/>
  </conditionalFormatting>
  <conditionalFormatting sqref="L94">
    <cfRule type="duplicateValues" dxfId="1209" priority="1466"/>
    <cfRule type="duplicateValues" dxfId="1208" priority="1465"/>
  </conditionalFormatting>
  <conditionalFormatting sqref="L95">
    <cfRule type="duplicateValues" dxfId="1207" priority="1473"/>
    <cfRule type="duplicateValues" dxfId="1206" priority="1474"/>
  </conditionalFormatting>
  <conditionalFormatting sqref="L96">
    <cfRule type="duplicateValues" dxfId="1205" priority="1471"/>
    <cfRule type="duplicateValues" dxfId="1204" priority="1472"/>
  </conditionalFormatting>
  <conditionalFormatting sqref="L97">
    <cfRule type="duplicateValues" dxfId="1203" priority="1467"/>
    <cfRule type="duplicateValues" dxfId="1202" priority="1468"/>
  </conditionalFormatting>
  <conditionalFormatting sqref="L98">
    <cfRule type="duplicateValues" dxfId="1201" priority="1470"/>
    <cfRule type="duplicateValues" dxfId="1200" priority="1469"/>
  </conditionalFormatting>
  <conditionalFormatting sqref="L99">
    <cfRule type="duplicateValues" dxfId="1199" priority="1493"/>
    <cfRule type="duplicateValues" dxfId="1198" priority="1494"/>
  </conditionalFormatting>
  <conditionalFormatting sqref="L100">
    <cfRule type="duplicateValues" dxfId="1197" priority="1484"/>
    <cfRule type="duplicateValues" dxfId="1196" priority="1483"/>
  </conditionalFormatting>
  <conditionalFormatting sqref="L101">
    <cfRule type="duplicateValues" dxfId="1195" priority="1462"/>
    <cfRule type="duplicateValues" dxfId="1194" priority="1461"/>
  </conditionalFormatting>
  <conditionalFormatting sqref="L102">
    <cfRule type="duplicateValues" dxfId="1193" priority="1502"/>
    <cfRule type="duplicateValues" dxfId="1192" priority="1501"/>
  </conditionalFormatting>
  <conditionalFormatting sqref="L103">
    <cfRule type="duplicateValues" dxfId="1191" priority="1491"/>
    <cfRule type="duplicateValues" dxfId="1190" priority="1492"/>
  </conditionalFormatting>
  <conditionalFormatting sqref="L104">
    <cfRule type="duplicateValues" dxfId="1189" priority="1455"/>
    <cfRule type="duplicateValues" dxfId="1188" priority="1456"/>
  </conditionalFormatting>
  <conditionalFormatting sqref="L105">
    <cfRule type="duplicateValues" dxfId="1187" priority="1482"/>
    <cfRule type="duplicateValues" dxfId="1186" priority="1481"/>
  </conditionalFormatting>
  <conditionalFormatting sqref="L106">
    <cfRule type="duplicateValues" dxfId="1185" priority="1489"/>
    <cfRule type="duplicateValues" dxfId="1184" priority="1490"/>
  </conditionalFormatting>
  <conditionalFormatting sqref="L107">
    <cfRule type="duplicateValues" dxfId="1183" priority="1488"/>
    <cfRule type="duplicateValues" dxfId="1182" priority="1487"/>
  </conditionalFormatting>
  <conditionalFormatting sqref="L108">
    <cfRule type="duplicateValues" dxfId="1181" priority="1485"/>
    <cfRule type="duplicateValues" dxfId="1180" priority="1486"/>
  </conditionalFormatting>
  <conditionalFormatting sqref="L109">
    <cfRule type="duplicateValues" dxfId="1179" priority="1451"/>
    <cfRule type="duplicateValues" dxfId="1178" priority="1452"/>
  </conditionalFormatting>
  <conditionalFormatting sqref="L110">
    <cfRule type="duplicateValues" dxfId="1177" priority="1450"/>
    <cfRule type="duplicateValues" dxfId="1176" priority="1449"/>
  </conditionalFormatting>
  <conditionalFormatting sqref="L111">
    <cfRule type="duplicateValues" dxfId="1175" priority="1445"/>
    <cfRule type="duplicateValues" dxfId="1174" priority="1446"/>
  </conditionalFormatting>
  <conditionalFormatting sqref="L112">
    <cfRule type="duplicateValues" dxfId="1173" priority="1447"/>
    <cfRule type="duplicateValues" dxfId="1172" priority="1448"/>
  </conditionalFormatting>
  <conditionalFormatting sqref="L113">
    <cfRule type="duplicateValues" dxfId="1171" priority="1512"/>
    <cfRule type="duplicateValues" dxfId="1170" priority="1511"/>
  </conditionalFormatting>
  <conditionalFormatting sqref="L114">
    <cfRule type="duplicateValues" dxfId="1169" priority="1499"/>
    <cfRule type="duplicateValues" dxfId="1168" priority="1500"/>
  </conditionalFormatting>
  <conditionalFormatting sqref="L115">
    <cfRule type="duplicateValues" dxfId="1167" priority="1510"/>
    <cfRule type="duplicateValues" dxfId="1166" priority="1509"/>
  </conditionalFormatting>
  <conditionalFormatting sqref="L116">
    <cfRule type="duplicateValues" dxfId="1165" priority="1508"/>
    <cfRule type="duplicateValues" dxfId="1164" priority="1507"/>
  </conditionalFormatting>
  <conditionalFormatting sqref="L117">
    <cfRule type="duplicateValues" dxfId="1163" priority="1480"/>
    <cfRule type="duplicateValues" dxfId="1162" priority="1479"/>
  </conditionalFormatting>
  <conditionalFormatting sqref="L118">
    <cfRule type="duplicateValues" dxfId="1161" priority="1497"/>
    <cfRule type="duplicateValues" dxfId="1160" priority="1498"/>
  </conditionalFormatting>
  <conditionalFormatting sqref="L119">
    <cfRule type="duplicateValues" dxfId="1159" priority="1503"/>
    <cfRule type="duplicateValues" dxfId="1158" priority="1504"/>
  </conditionalFormatting>
  <conditionalFormatting sqref="L120">
    <cfRule type="duplicateValues" dxfId="1157" priority="1496"/>
    <cfRule type="duplicateValues" dxfId="1156" priority="1495"/>
  </conditionalFormatting>
  <conditionalFormatting sqref="L121">
    <cfRule type="duplicateValues" dxfId="1155" priority="1505"/>
    <cfRule type="duplicateValues" dxfId="1154" priority="1506"/>
  </conditionalFormatting>
  <conditionalFormatting sqref="L122">
    <cfRule type="duplicateValues" dxfId="1153" priority="1516"/>
    <cfRule type="duplicateValues" dxfId="1152" priority="1515"/>
  </conditionalFormatting>
  <conditionalFormatting sqref="L123">
    <cfRule type="duplicateValues" dxfId="1151" priority="1436"/>
    <cfRule type="duplicateValues" dxfId="1150" priority="1437"/>
  </conditionalFormatting>
  <conditionalFormatting sqref="L124">
    <cfRule type="duplicateValues" dxfId="1149" priority="1390"/>
    <cfRule type="duplicateValues" dxfId="1148" priority="1391"/>
  </conditionalFormatting>
  <conditionalFormatting sqref="L125">
    <cfRule type="duplicateValues" dxfId="1147" priority="1401"/>
    <cfRule type="duplicateValues" dxfId="1146" priority="1400"/>
  </conditionalFormatting>
  <conditionalFormatting sqref="L126">
    <cfRule type="duplicateValues" dxfId="1145" priority="1392"/>
    <cfRule type="duplicateValues" dxfId="1144" priority="1393"/>
  </conditionalFormatting>
  <conditionalFormatting sqref="L127">
    <cfRule type="duplicateValues" dxfId="1143" priority="1399"/>
    <cfRule type="duplicateValues" dxfId="1142" priority="1398"/>
  </conditionalFormatting>
  <conditionalFormatting sqref="L128">
    <cfRule type="duplicateValues" dxfId="1141" priority="1374"/>
    <cfRule type="duplicateValues" dxfId="1140" priority="1373"/>
  </conditionalFormatting>
  <conditionalFormatting sqref="L129">
    <cfRule type="duplicateValues" dxfId="1139" priority="1395"/>
    <cfRule type="duplicateValues" dxfId="1138" priority="1394"/>
  </conditionalFormatting>
  <conditionalFormatting sqref="L130">
    <cfRule type="duplicateValues" dxfId="1137" priority="1396"/>
    <cfRule type="duplicateValues" dxfId="1136" priority="1397"/>
  </conditionalFormatting>
  <conditionalFormatting sqref="L131">
    <cfRule type="duplicateValues" dxfId="1135" priority="1416"/>
    <cfRule type="duplicateValues" dxfId="1134" priority="1417"/>
  </conditionalFormatting>
  <conditionalFormatting sqref="L132">
    <cfRule type="duplicateValues" dxfId="1133" priority="1411"/>
    <cfRule type="duplicateValues" dxfId="1132" priority="1410"/>
  </conditionalFormatting>
  <conditionalFormatting sqref="L133">
    <cfRule type="duplicateValues" dxfId="1131" priority="1368"/>
    <cfRule type="duplicateValues" dxfId="1130" priority="1367"/>
  </conditionalFormatting>
  <conditionalFormatting sqref="L134">
    <cfRule type="duplicateValues" dxfId="1129" priority="1424"/>
    <cfRule type="duplicateValues" dxfId="1128" priority="1425"/>
  </conditionalFormatting>
  <conditionalFormatting sqref="L135">
    <cfRule type="duplicateValues" dxfId="1127" priority="1360"/>
    <cfRule type="duplicateValues" dxfId="1126" priority="1359"/>
  </conditionalFormatting>
  <conditionalFormatting sqref="L136">
    <cfRule type="duplicateValues" dxfId="1125" priority="1358"/>
    <cfRule type="duplicateValues" dxfId="1124" priority="1357"/>
  </conditionalFormatting>
  <conditionalFormatting sqref="L137">
    <cfRule type="duplicateValues" dxfId="1123" priority="1408"/>
    <cfRule type="duplicateValues" dxfId="1122" priority="1409"/>
  </conditionalFormatting>
  <conditionalFormatting sqref="L138">
    <cfRule type="duplicateValues" dxfId="1121" priority="1350"/>
    <cfRule type="duplicateValues" dxfId="1120" priority="1351"/>
  </conditionalFormatting>
  <conditionalFormatting sqref="L139">
    <cfRule type="duplicateValues" dxfId="1119" priority="1415"/>
    <cfRule type="duplicateValues" dxfId="1118" priority="1414"/>
  </conditionalFormatting>
  <conditionalFormatting sqref="L140">
    <cfRule type="duplicateValues" dxfId="1117" priority="1413"/>
    <cfRule type="duplicateValues" dxfId="1116" priority="1412"/>
  </conditionalFormatting>
  <conditionalFormatting sqref="L141">
    <cfRule type="duplicateValues" dxfId="1115" priority="1389"/>
    <cfRule type="duplicateValues" dxfId="1114" priority="1388"/>
  </conditionalFormatting>
  <conditionalFormatting sqref="L142">
    <cfRule type="duplicateValues" dxfId="1113" priority="1387"/>
    <cfRule type="duplicateValues" dxfId="1112" priority="1386"/>
  </conditionalFormatting>
  <conditionalFormatting sqref="L143">
    <cfRule type="duplicateValues" dxfId="1111" priority="1383"/>
    <cfRule type="duplicateValues" dxfId="1110" priority="1382"/>
  </conditionalFormatting>
  <conditionalFormatting sqref="L144">
    <cfRule type="duplicateValues" dxfId="1109" priority="1385"/>
    <cfRule type="duplicateValues" dxfId="1108" priority="1384"/>
  </conditionalFormatting>
  <conditionalFormatting sqref="L145">
    <cfRule type="duplicateValues" dxfId="1107" priority="1435"/>
    <cfRule type="duplicateValues" dxfId="1106" priority="1434"/>
  </conditionalFormatting>
  <conditionalFormatting sqref="L146">
    <cfRule type="duplicateValues" dxfId="1105" priority="1423"/>
    <cfRule type="duplicateValues" dxfId="1104" priority="1422"/>
  </conditionalFormatting>
  <conditionalFormatting sqref="L147">
    <cfRule type="duplicateValues" dxfId="1103" priority="1432"/>
    <cfRule type="duplicateValues" dxfId="1102" priority="1433"/>
  </conditionalFormatting>
  <conditionalFormatting sqref="L148">
    <cfRule type="duplicateValues" dxfId="1101" priority="1431"/>
    <cfRule type="duplicateValues" dxfId="1100" priority="1430"/>
  </conditionalFormatting>
  <conditionalFormatting sqref="L149">
    <cfRule type="duplicateValues" dxfId="1099" priority="1407"/>
    <cfRule type="duplicateValues" dxfId="1098" priority="1406"/>
  </conditionalFormatting>
  <conditionalFormatting sqref="L150">
    <cfRule type="duplicateValues" dxfId="1097" priority="1420"/>
    <cfRule type="duplicateValues" dxfId="1096" priority="1421"/>
  </conditionalFormatting>
  <conditionalFormatting sqref="L151">
    <cfRule type="duplicateValues" dxfId="1095" priority="1426"/>
    <cfRule type="duplicateValues" dxfId="1094" priority="1427"/>
  </conditionalFormatting>
  <conditionalFormatting sqref="L152">
    <cfRule type="duplicateValues" dxfId="1093" priority="1418"/>
    <cfRule type="duplicateValues" dxfId="1092" priority="1419"/>
  </conditionalFormatting>
  <conditionalFormatting sqref="L153">
    <cfRule type="duplicateValues" dxfId="1091" priority="1429"/>
    <cfRule type="duplicateValues" dxfId="1090" priority="1428"/>
  </conditionalFormatting>
  <conditionalFormatting sqref="L154">
    <cfRule type="duplicateValues" dxfId="1089" priority="1439"/>
    <cfRule type="duplicateValues" dxfId="1088" priority="1438"/>
  </conditionalFormatting>
  <conditionalFormatting sqref="L155">
    <cfRule type="duplicateValues" dxfId="1087" priority="1405"/>
    <cfRule type="duplicateValues" dxfId="1086" priority="1404"/>
  </conditionalFormatting>
  <conditionalFormatting sqref="L156">
    <cfRule type="duplicateValues" dxfId="1085" priority="1340"/>
    <cfRule type="duplicateValues" dxfId="1084" priority="1341"/>
  </conditionalFormatting>
  <conditionalFormatting sqref="L157">
    <cfRule type="duplicateValues" dxfId="1083" priority="1300"/>
    <cfRule type="duplicateValues" dxfId="1082" priority="1301"/>
  </conditionalFormatting>
  <conditionalFormatting sqref="L158">
    <cfRule type="duplicateValues" dxfId="1081" priority="1328"/>
    <cfRule type="duplicateValues" dxfId="1080" priority="1329"/>
  </conditionalFormatting>
  <conditionalFormatting sqref="L159">
    <cfRule type="duplicateValues" dxfId="1079" priority="1295"/>
    <cfRule type="duplicateValues" dxfId="1078" priority="1294"/>
  </conditionalFormatting>
  <conditionalFormatting sqref="L160">
    <cfRule type="duplicateValues" dxfId="1077" priority="1326"/>
    <cfRule type="duplicateValues" dxfId="1076" priority="1327"/>
  </conditionalFormatting>
  <conditionalFormatting sqref="L161">
    <cfRule type="duplicateValues" dxfId="1075" priority="1290"/>
    <cfRule type="duplicateValues" dxfId="1074" priority="1291"/>
  </conditionalFormatting>
  <conditionalFormatting sqref="L162">
    <cfRule type="duplicateValues" dxfId="1073" priority="1322"/>
    <cfRule type="duplicateValues" dxfId="1072" priority="1323"/>
  </conditionalFormatting>
  <conditionalFormatting sqref="L163">
    <cfRule type="duplicateValues" dxfId="1071" priority="1325"/>
    <cfRule type="duplicateValues" dxfId="1070" priority="1324"/>
  </conditionalFormatting>
  <conditionalFormatting sqref="L164">
    <cfRule type="duplicateValues" dxfId="1069" priority="1339"/>
    <cfRule type="duplicateValues" dxfId="1068" priority="1338"/>
  </conditionalFormatting>
  <conditionalFormatting sqref="L165">
    <cfRule type="duplicateValues" dxfId="1067" priority="1332"/>
    <cfRule type="duplicateValues" dxfId="1066" priority="1333"/>
  </conditionalFormatting>
  <conditionalFormatting sqref="L166">
    <cfRule type="duplicateValues" dxfId="1065" priority="1308"/>
    <cfRule type="duplicateValues" dxfId="1064" priority="1309"/>
  </conditionalFormatting>
  <conditionalFormatting sqref="L167">
    <cfRule type="duplicateValues" dxfId="1063" priority="1287"/>
    <cfRule type="duplicateValues" dxfId="1062" priority="1286"/>
  </conditionalFormatting>
  <conditionalFormatting sqref="L168">
    <cfRule type="duplicateValues" dxfId="1061" priority="1306"/>
    <cfRule type="duplicateValues" dxfId="1060" priority="1307"/>
  </conditionalFormatting>
  <conditionalFormatting sqref="L169">
    <cfRule type="duplicateValues" dxfId="1059" priority="1304"/>
    <cfRule type="duplicateValues" dxfId="1058" priority="1305"/>
  </conditionalFormatting>
  <conditionalFormatting sqref="L170">
    <cfRule type="duplicateValues" dxfId="1057" priority="1331"/>
    <cfRule type="duplicateValues" dxfId="1056" priority="1330"/>
  </conditionalFormatting>
  <conditionalFormatting sqref="L171">
    <cfRule type="duplicateValues" dxfId="1055" priority="1302"/>
    <cfRule type="duplicateValues" dxfId="1054" priority="1303"/>
  </conditionalFormatting>
  <conditionalFormatting sqref="L172">
    <cfRule type="duplicateValues" dxfId="1053" priority="1336"/>
    <cfRule type="duplicateValues" dxfId="1052" priority="1337"/>
  </conditionalFormatting>
  <conditionalFormatting sqref="L173">
    <cfRule type="duplicateValues" dxfId="1051" priority="1335"/>
    <cfRule type="duplicateValues" dxfId="1050" priority="1334"/>
  </conditionalFormatting>
  <conditionalFormatting sqref="L174">
    <cfRule type="duplicateValues" dxfId="1049" priority="1321"/>
    <cfRule type="duplicateValues" dxfId="1048" priority="1320"/>
  </conditionalFormatting>
  <conditionalFormatting sqref="L175">
    <cfRule type="duplicateValues" dxfId="1047" priority="1318"/>
    <cfRule type="duplicateValues" dxfId="1046" priority="1319"/>
  </conditionalFormatting>
  <conditionalFormatting sqref="L176">
    <cfRule type="duplicateValues" dxfId="1045" priority="1314"/>
    <cfRule type="duplicateValues" dxfId="1044" priority="1315"/>
  </conditionalFormatting>
  <conditionalFormatting sqref="L177">
    <cfRule type="duplicateValues" dxfId="1043" priority="1316"/>
    <cfRule type="duplicateValues" dxfId="1042" priority="1317"/>
  </conditionalFormatting>
  <conditionalFormatting sqref="L178">
    <cfRule type="duplicateValues" dxfId="1041" priority="1279"/>
    <cfRule type="duplicateValues" dxfId="1040" priority="1278"/>
  </conditionalFormatting>
  <conditionalFormatting sqref="L179">
    <cfRule type="duplicateValues" dxfId="1039" priority="1257"/>
    <cfRule type="duplicateValues" dxfId="1038" priority="1256"/>
  </conditionalFormatting>
  <conditionalFormatting sqref="L180">
    <cfRule type="duplicateValues" dxfId="1037" priority="1271"/>
    <cfRule type="duplicateValues" dxfId="1036" priority="1270"/>
  </conditionalFormatting>
  <conditionalFormatting sqref="L181">
    <cfRule type="duplicateValues" dxfId="1035" priority="1254"/>
    <cfRule type="duplicateValues" dxfId="1034" priority="1255"/>
  </conditionalFormatting>
  <conditionalFormatting sqref="L182">
    <cfRule type="duplicateValues" dxfId="1033" priority="1268"/>
    <cfRule type="duplicateValues" dxfId="1032" priority="1269"/>
  </conditionalFormatting>
  <conditionalFormatting sqref="L183">
    <cfRule type="duplicateValues" dxfId="1031" priority="1246"/>
    <cfRule type="duplicateValues" dxfId="1030" priority="1247"/>
  </conditionalFormatting>
  <conditionalFormatting sqref="L184">
    <cfRule type="duplicateValues" dxfId="1029" priority="1265"/>
    <cfRule type="duplicateValues" dxfId="1028" priority="1264"/>
  </conditionalFormatting>
  <conditionalFormatting sqref="L185">
    <cfRule type="duplicateValues" dxfId="1027" priority="1267"/>
    <cfRule type="duplicateValues" dxfId="1026" priority="1266"/>
  </conditionalFormatting>
  <conditionalFormatting sqref="L186">
    <cfRule type="duplicateValues" dxfId="1025" priority="1276"/>
    <cfRule type="duplicateValues" dxfId="1024" priority="1277"/>
  </conditionalFormatting>
  <conditionalFormatting sqref="L187">
    <cfRule type="duplicateValues" dxfId="1023" priority="1275"/>
    <cfRule type="duplicateValues" dxfId="1022" priority="1274"/>
  </conditionalFormatting>
  <conditionalFormatting sqref="L188">
    <cfRule type="duplicateValues" dxfId="1021" priority="1262"/>
    <cfRule type="duplicateValues" dxfId="1020" priority="1263"/>
  </conditionalFormatting>
  <conditionalFormatting sqref="L189">
    <cfRule type="duplicateValues" dxfId="1019" priority="1250"/>
    <cfRule type="duplicateValues" dxfId="1018" priority="1251"/>
  </conditionalFormatting>
  <conditionalFormatting sqref="L190">
    <cfRule type="duplicateValues" dxfId="1017" priority="1260"/>
    <cfRule type="duplicateValues" dxfId="1016" priority="1261"/>
  </conditionalFormatting>
  <conditionalFormatting sqref="L191">
    <cfRule type="duplicateValues" dxfId="1015" priority="1258"/>
    <cfRule type="duplicateValues" dxfId="1014" priority="1259"/>
  </conditionalFormatting>
  <conditionalFormatting sqref="L192">
    <cfRule type="duplicateValues" dxfId="1013" priority="1273"/>
    <cfRule type="duplicateValues" dxfId="1012" priority="1272"/>
  </conditionalFormatting>
  <conditionalFormatting sqref="L193">
    <cfRule type="duplicateValues" dxfId="1011" priority="1245"/>
    <cfRule type="duplicateValues" dxfId="1010" priority="1244"/>
  </conditionalFormatting>
  <conditionalFormatting sqref="L194">
    <cfRule type="duplicateValues" dxfId="1009" priority="1200"/>
    <cfRule type="duplicateValues" dxfId="1008" priority="1201"/>
  </conditionalFormatting>
  <conditionalFormatting sqref="L195">
    <cfRule type="duplicateValues" dxfId="1007" priority="1224"/>
    <cfRule type="duplicateValues" dxfId="1006" priority="1225"/>
  </conditionalFormatting>
  <conditionalFormatting sqref="L196">
    <cfRule type="duplicateValues" dxfId="1005" priority="1199"/>
    <cfRule type="duplicateValues" dxfId="1004" priority="1198"/>
  </conditionalFormatting>
  <conditionalFormatting sqref="L197">
    <cfRule type="duplicateValues" dxfId="1003" priority="1223"/>
    <cfRule type="duplicateValues" dxfId="1002" priority="1222"/>
  </conditionalFormatting>
  <conditionalFormatting sqref="L198">
    <cfRule type="duplicateValues" dxfId="1001" priority="1197"/>
    <cfRule type="duplicateValues" dxfId="1000" priority="1196"/>
  </conditionalFormatting>
  <conditionalFormatting sqref="L199">
    <cfRule type="duplicateValues" dxfId="999" priority="1219"/>
    <cfRule type="duplicateValues" dxfId="998" priority="1218"/>
  </conditionalFormatting>
  <conditionalFormatting sqref="L200">
    <cfRule type="duplicateValues" dxfId="997" priority="1220"/>
    <cfRule type="duplicateValues" dxfId="996" priority="1221"/>
  </conditionalFormatting>
  <conditionalFormatting sqref="L201">
    <cfRule type="duplicateValues" dxfId="995" priority="1235"/>
    <cfRule type="duplicateValues" dxfId="994" priority="1234"/>
  </conditionalFormatting>
  <conditionalFormatting sqref="L202">
    <cfRule type="duplicateValues" dxfId="993" priority="1228"/>
    <cfRule type="duplicateValues" dxfId="992" priority="1229"/>
  </conditionalFormatting>
  <conditionalFormatting sqref="L203">
    <cfRule type="duplicateValues" dxfId="991" priority="1209"/>
    <cfRule type="duplicateValues" dxfId="990" priority="1208"/>
  </conditionalFormatting>
  <conditionalFormatting sqref="L204">
    <cfRule type="duplicateValues" dxfId="989" priority="1194"/>
    <cfRule type="duplicateValues" dxfId="988" priority="1195"/>
  </conditionalFormatting>
  <conditionalFormatting sqref="L205">
    <cfRule type="duplicateValues" dxfId="987" priority="1206"/>
    <cfRule type="duplicateValues" dxfId="986" priority="1207"/>
  </conditionalFormatting>
  <conditionalFormatting sqref="L206">
    <cfRule type="duplicateValues" dxfId="985" priority="1205"/>
    <cfRule type="duplicateValues" dxfId="984" priority="1204"/>
  </conditionalFormatting>
  <conditionalFormatting sqref="L207:L208">
    <cfRule type="duplicateValues" dxfId="983" priority="1226"/>
    <cfRule type="duplicateValues" dxfId="982" priority="1227"/>
  </conditionalFormatting>
  <conditionalFormatting sqref="L209">
    <cfRule type="duplicateValues" dxfId="981" priority="1203"/>
    <cfRule type="duplicateValues" dxfId="980" priority="1202"/>
  </conditionalFormatting>
  <conditionalFormatting sqref="L210">
    <cfRule type="duplicateValues" dxfId="979" priority="1232"/>
    <cfRule type="duplicateValues" dxfId="978" priority="1233"/>
  </conditionalFormatting>
  <conditionalFormatting sqref="L211">
    <cfRule type="duplicateValues" dxfId="977" priority="1231"/>
    <cfRule type="duplicateValues" dxfId="976" priority="1230"/>
  </conditionalFormatting>
  <conditionalFormatting sqref="L212">
    <cfRule type="duplicateValues" dxfId="975" priority="1217"/>
    <cfRule type="duplicateValues" dxfId="974" priority="1216"/>
  </conditionalFormatting>
  <conditionalFormatting sqref="L213">
    <cfRule type="duplicateValues" dxfId="973" priority="1214"/>
    <cfRule type="duplicateValues" dxfId="972" priority="1215"/>
  </conditionalFormatting>
  <conditionalFormatting sqref="L214">
    <cfRule type="duplicateValues" dxfId="971" priority="1210"/>
    <cfRule type="duplicateValues" dxfId="970" priority="1211"/>
  </conditionalFormatting>
  <conditionalFormatting sqref="L215">
    <cfRule type="duplicateValues" dxfId="969" priority="1212"/>
    <cfRule type="duplicateValues" dxfId="968" priority="1213"/>
  </conditionalFormatting>
  <conditionalFormatting sqref="L216">
    <cfRule type="duplicateValues" dxfId="967" priority="1243"/>
    <cfRule type="duplicateValues" dxfId="966" priority="1242"/>
  </conditionalFormatting>
  <conditionalFormatting sqref="L217">
    <cfRule type="duplicateValues" dxfId="965" priority="1236"/>
    <cfRule type="duplicateValues" dxfId="964" priority="1237"/>
  </conditionalFormatting>
  <conditionalFormatting sqref="L218">
    <cfRule type="duplicateValues" dxfId="963" priority="1241"/>
    <cfRule type="duplicateValues" dxfId="962" priority="1240"/>
  </conditionalFormatting>
  <conditionalFormatting sqref="L219">
    <cfRule type="duplicateValues" dxfId="961" priority="1239"/>
    <cfRule type="duplicateValues" dxfId="960" priority="1238"/>
  </conditionalFormatting>
  <conditionalFormatting sqref="L220">
    <cfRule type="duplicateValues" dxfId="959" priority="1181"/>
    <cfRule type="duplicateValues" dxfId="958" priority="1180"/>
  </conditionalFormatting>
  <conditionalFormatting sqref="L221">
    <cfRule type="duplicateValues" dxfId="957" priority="1154"/>
    <cfRule type="duplicateValues" dxfId="956" priority="1155"/>
  </conditionalFormatting>
  <conditionalFormatting sqref="L222">
    <cfRule type="duplicateValues" dxfId="955" priority="1170"/>
    <cfRule type="duplicateValues" dxfId="954" priority="1171"/>
  </conditionalFormatting>
  <conditionalFormatting sqref="L223">
    <cfRule type="duplicateValues" dxfId="953" priority="1152"/>
    <cfRule type="duplicateValues" dxfId="952" priority="1153"/>
  </conditionalFormatting>
  <conditionalFormatting sqref="L224">
    <cfRule type="duplicateValues" dxfId="951" priority="1168"/>
    <cfRule type="duplicateValues" dxfId="950" priority="1169"/>
  </conditionalFormatting>
  <conditionalFormatting sqref="L225">
    <cfRule type="duplicateValues" dxfId="949" priority="1150"/>
    <cfRule type="duplicateValues" dxfId="948" priority="1151"/>
  </conditionalFormatting>
  <conditionalFormatting sqref="L226">
    <cfRule type="duplicateValues" dxfId="947" priority="1165"/>
    <cfRule type="duplicateValues" dxfId="946" priority="1164"/>
  </conditionalFormatting>
  <conditionalFormatting sqref="L227">
    <cfRule type="duplicateValues" dxfId="945" priority="1166"/>
    <cfRule type="duplicateValues" dxfId="944" priority="1167"/>
  </conditionalFormatting>
  <conditionalFormatting sqref="L228">
    <cfRule type="duplicateValues" dxfId="943" priority="1179"/>
    <cfRule type="duplicateValues" dxfId="942" priority="1178"/>
  </conditionalFormatting>
  <conditionalFormatting sqref="L229">
    <cfRule type="duplicateValues" dxfId="941" priority="1175"/>
    <cfRule type="duplicateValues" dxfId="940" priority="1174"/>
  </conditionalFormatting>
  <conditionalFormatting sqref="L230">
    <cfRule type="duplicateValues" dxfId="939" priority="1162"/>
    <cfRule type="duplicateValues" dxfId="938" priority="1163"/>
  </conditionalFormatting>
  <conditionalFormatting sqref="L231">
    <cfRule type="duplicateValues" dxfId="937" priority="1148"/>
    <cfRule type="duplicateValues" dxfId="936" priority="1149"/>
  </conditionalFormatting>
  <conditionalFormatting sqref="L232">
    <cfRule type="duplicateValues" dxfId="935" priority="1160"/>
    <cfRule type="duplicateValues" dxfId="934" priority="1161"/>
  </conditionalFormatting>
  <conditionalFormatting sqref="L233">
    <cfRule type="duplicateValues" dxfId="933" priority="1159"/>
    <cfRule type="duplicateValues" dxfId="932" priority="1158"/>
  </conditionalFormatting>
  <conditionalFormatting sqref="L234:L235">
    <cfRule type="duplicateValues" dxfId="931" priority="1173"/>
    <cfRule type="duplicateValues" dxfId="930" priority="1172"/>
  </conditionalFormatting>
  <conditionalFormatting sqref="L236">
    <cfRule type="duplicateValues" dxfId="929" priority="1157"/>
    <cfRule type="duplicateValues" dxfId="928" priority="1156"/>
  </conditionalFormatting>
  <conditionalFormatting sqref="L237">
    <cfRule type="duplicateValues" dxfId="927" priority="1177"/>
    <cfRule type="duplicateValues" dxfId="926" priority="1176"/>
  </conditionalFormatting>
  <conditionalFormatting sqref="L238">
    <cfRule type="duplicateValues" dxfId="925" priority="1141"/>
    <cfRule type="duplicateValues" dxfId="924" priority="1140"/>
  </conditionalFormatting>
  <conditionalFormatting sqref="L239">
    <cfRule type="duplicateValues" dxfId="923" priority="1095"/>
    <cfRule type="duplicateValues" dxfId="922" priority="1094"/>
  </conditionalFormatting>
  <conditionalFormatting sqref="L240">
    <cfRule type="duplicateValues" dxfId="921" priority="1116"/>
    <cfRule type="duplicateValues" dxfId="920" priority="1117"/>
  </conditionalFormatting>
  <conditionalFormatting sqref="L241">
    <cfRule type="duplicateValues" dxfId="919" priority="1092"/>
    <cfRule type="duplicateValues" dxfId="918" priority="1093"/>
  </conditionalFormatting>
  <conditionalFormatting sqref="L242">
    <cfRule type="duplicateValues" dxfId="917" priority="1114"/>
    <cfRule type="duplicateValues" dxfId="916" priority="1115"/>
  </conditionalFormatting>
  <conditionalFormatting sqref="L243">
    <cfRule type="duplicateValues" dxfId="915" priority="1091"/>
    <cfRule type="duplicateValues" dxfId="914" priority="1090"/>
  </conditionalFormatting>
  <conditionalFormatting sqref="L244">
    <cfRule type="duplicateValues" dxfId="913" priority="1112"/>
    <cfRule type="duplicateValues" dxfId="912" priority="1113"/>
  </conditionalFormatting>
  <conditionalFormatting sqref="L245">
    <cfRule type="duplicateValues" dxfId="911" priority="1086"/>
    <cfRule type="duplicateValues" dxfId="910" priority="1087"/>
  </conditionalFormatting>
  <conditionalFormatting sqref="L246">
    <cfRule type="duplicateValues" dxfId="909" priority="1083"/>
    <cfRule type="duplicateValues" dxfId="908" priority="1084"/>
  </conditionalFormatting>
  <conditionalFormatting sqref="L247">
    <cfRule type="duplicateValues" dxfId="907" priority="1123"/>
    <cfRule type="duplicateValues" dxfId="906" priority="1122"/>
  </conditionalFormatting>
  <conditionalFormatting sqref="L248">
    <cfRule type="duplicateValues" dxfId="905" priority="1102"/>
    <cfRule type="duplicateValues" dxfId="904" priority="1103"/>
  </conditionalFormatting>
  <conditionalFormatting sqref="L249">
    <cfRule type="duplicateValues" dxfId="903" priority="1089"/>
    <cfRule type="duplicateValues" dxfId="902" priority="1088"/>
  </conditionalFormatting>
  <conditionalFormatting sqref="L250">
    <cfRule type="duplicateValues" dxfId="901" priority="1100"/>
    <cfRule type="duplicateValues" dxfId="900" priority="1101"/>
  </conditionalFormatting>
  <conditionalFormatting sqref="L251">
    <cfRule type="duplicateValues" dxfId="899" priority="1098"/>
    <cfRule type="duplicateValues" dxfId="898" priority="1099"/>
  </conditionalFormatting>
  <conditionalFormatting sqref="L252:L253">
    <cfRule type="duplicateValues" dxfId="897" priority="1120"/>
    <cfRule type="duplicateValues" dxfId="896" priority="1121"/>
  </conditionalFormatting>
  <conditionalFormatting sqref="L254">
    <cfRule type="duplicateValues" dxfId="895" priority="1096"/>
    <cfRule type="duplicateValues" dxfId="894" priority="1097"/>
  </conditionalFormatting>
  <conditionalFormatting sqref="L255">
    <cfRule type="duplicateValues" dxfId="893" priority="1126"/>
    <cfRule type="duplicateValues" dxfId="892" priority="1127"/>
  </conditionalFormatting>
  <conditionalFormatting sqref="L256">
    <cfRule type="duplicateValues" dxfId="891" priority="1125"/>
    <cfRule type="duplicateValues" dxfId="890" priority="1124"/>
  </conditionalFormatting>
  <conditionalFormatting sqref="L257">
    <cfRule type="duplicateValues" dxfId="889" priority="1110"/>
    <cfRule type="duplicateValues" dxfId="888" priority="1111"/>
  </conditionalFormatting>
  <conditionalFormatting sqref="L258">
    <cfRule type="duplicateValues" dxfId="887" priority="1108"/>
    <cfRule type="duplicateValues" dxfId="886" priority="1109"/>
  </conditionalFormatting>
  <conditionalFormatting sqref="L259">
    <cfRule type="duplicateValues" dxfId="885" priority="1104"/>
    <cfRule type="duplicateValues" dxfId="884" priority="1105"/>
  </conditionalFormatting>
  <conditionalFormatting sqref="L260">
    <cfRule type="duplicateValues" dxfId="883" priority="1107"/>
    <cfRule type="duplicateValues" dxfId="882" priority="1106"/>
  </conditionalFormatting>
  <conditionalFormatting sqref="L261">
    <cfRule type="duplicateValues" dxfId="881" priority="1139"/>
    <cfRule type="duplicateValues" dxfId="880" priority="1138"/>
  </conditionalFormatting>
  <conditionalFormatting sqref="L262">
    <cfRule type="duplicateValues" dxfId="879" priority="1130"/>
    <cfRule type="duplicateValues" dxfId="878" priority="1131"/>
  </conditionalFormatting>
  <conditionalFormatting sqref="L263">
    <cfRule type="duplicateValues" dxfId="877" priority="1137"/>
    <cfRule type="duplicateValues" dxfId="876" priority="1136"/>
  </conditionalFormatting>
  <conditionalFormatting sqref="L264">
    <cfRule type="duplicateValues" dxfId="875" priority="1134"/>
    <cfRule type="duplicateValues" dxfId="874" priority="1135"/>
  </conditionalFormatting>
  <conditionalFormatting sqref="L265">
    <cfRule type="duplicateValues" dxfId="873" priority="1118"/>
    <cfRule type="duplicateValues" dxfId="872" priority="1119"/>
  </conditionalFormatting>
  <conditionalFormatting sqref="L266">
    <cfRule type="duplicateValues" dxfId="871" priority="1128"/>
    <cfRule type="duplicateValues" dxfId="870" priority="1129"/>
  </conditionalFormatting>
  <conditionalFormatting sqref="L267">
    <cfRule type="duplicateValues" dxfId="869" priority="1133"/>
    <cfRule type="duplicateValues" dxfId="868" priority="1132"/>
  </conditionalFormatting>
  <conditionalFormatting sqref="L268">
    <cfRule type="duplicateValues" dxfId="867" priority="1075"/>
    <cfRule type="duplicateValues" dxfId="866" priority="1076"/>
  </conditionalFormatting>
  <conditionalFormatting sqref="L269">
    <cfRule type="duplicateValues" dxfId="865" priority="1067"/>
    <cfRule type="duplicateValues" dxfId="864" priority="1068"/>
  </conditionalFormatting>
  <conditionalFormatting sqref="L270">
    <cfRule type="duplicateValues" dxfId="863" priority="1073"/>
    <cfRule type="duplicateValues" dxfId="862" priority="1074"/>
  </conditionalFormatting>
  <conditionalFormatting sqref="L271">
    <cfRule type="duplicateValues" dxfId="861" priority="1060"/>
    <cfRule type="duplicateValues" dxfId="860" priority="1059"/>
  </conditionalFormatting>
  <conditionalFormatting sqref="L272">
    <cfRule type="duplicateValues" dxfId="859" priority="1072"/>
    <cfRule type="duplicateValues" dxfId="858" priority="1071"/>
  </conditionalFormatting>
  <conditionalFormatting sqref="L273">
    <cfRule type="duplicateValues" dxfId="857" priority="1066"/>
    <cfRule type="duplicateValues" dxfId="856" priority="1065"/>
  </conditionalFormatting>
  <conditionalFormatting sqref="L274">
    <cfRule type="duplicateValues" dxfId="855" priority="1070"/>
    <cfRule type="duplicateValues" dxfId="854" priority="1069"/>
  </conditionalFormatting>
  <conditionalFormatting sqref="L275">
    <cfRule type="duplicateValues" dxfId="853" priority="1064"/>
    <cfRule type="duplicateValues" dxfId="852" priority="1063"/>
  </conditionalFormatting>
  <conditionalFormatting sqref="L276">
    <cfRule type="duplicateValues" dxfId="851" priority="1052"/>
    <cfRule type="duplicateValues" dxfId="850" priority="1051"/>
  </conditionalFormatting>
  <conditionalFormatting sqref="L277">
    <cfRule type="duplicateValues" dxfId="849" priority="1048"/>
    <cfRule type="duplicateValues" dxfId="848" priority="1047"/>
  </conditionalFormatting>
  <conditionalFormatting sqref="L278">
    <cfRule type="duplicateValues" dxfId="847" priority="1031"/>
    <cfRule type="duplicateValues" dxfId="846" priority="1032"/>
  </conditionalFormatting>
  <conditionalFormatting sqref="L279">
    <cfRule type="duplicateValues" dxfId="845" priority="1042"/>
    <cfRule type="duplicateValues" dxfId="844" priority="1041"/>
  </conditionalFormatting>
  <conditionalFormatting sqref="L280">
    <cfRule type="duplicateValues" dxfId="843" priority="1025"/>
    <cfRule type="duplicateValues" dxfId="842" priority="1026"/>
  </conditionalFormatting>
  <conditionalFormatting sqref="L281">
    <cfRule type="duplicateValues" dxfId="841" priority="1040"/>
    <cfRule type="duplicateValues" dxfId="840" priority="1039"/>
  </conditionalFormatting>
  <conditionalFormatting sqref="L282">
    <cfRule type="duplicateValues" dxfId="839" priority="1029"/>
    <cfRule type="duplicateValues" dxfId="838" priority="1030"/>
  </conditionalFormatting>
  <conditionalFormatting sqref="L283">
    <cfRule type="duplicateValues" dxfId="837" priority="1012"/>
    <cfRule type="duplicateValues" dxfId="836" priority="1011"/>
  </conditionalFormatting>
  <conditionalFormatting sqref="L284">
    <cfRule type="duplicateValues" dxfId="835" priority="1008"/>
    <cfRule type="duplicateValues" dxfId="834" priority="1007"/>
  </conditionalFormatting>
  <conditionalFormatting sqref="L285">
    <cfRule type="duplicateValues" dxfId="833" priority="1021"/>
    <cfRule type="duplicateValues" dxfId="832" priority="1022"/>
  </conditionalFormatting>
  <conditionalFormatting sqref="L286">
    <cfRule type="duplicateValues" dxfId="831" priority="1046"/>
    <cfRule type="duplicateValues" dxfId="830" priority="1045"/>
  </conditionalFormatting>
  <conditionalFormatting sqref="L287">
    <cfRule type="duplicateValues" dxfId="829" priority="1037"/>
    <cfRule type="duplicateValues" dxfId="828" priority="1038"/>
  </conditionalFormatting>
  <conditionalFormatting sqref="L288">
    <cfRule type="duplicateValues" dxfId="827" priority="1028"/>
    <cfRule type="duplicateValues" dxfId="826" priority="1027"/>
  </conditionalFormatting>
  <conditionalFormatting sqref="L289">
    <cfRule type="duplicateValues" dxfId="825" priority="1035"/>
    <cfRule type="duplicateValues" dxfId="824" priority="1036"/>
  </conditionalFormatting>
  <conditionalFormatting sqref="L290">
    <cfRule type="duplicateValues" dxfId="823" priority="1033"/>
    <cfRule type="duplicateValues" dxfId="822" priority="1034"/>
  </conditionalFormatting>
  <conditionalFormatting sqref="L291:L292">
    <cfRule type="duplicateValues" dxfId="821" priority="1044"/>
    <cfRule type="duplicateValues" dxfId="820" priority="1043"/>
  </conditionalFormatting>
  <conditionalFormatting sqref="L293">
    <cfRule type="duplicateValues" dxfId="819" priority="1001"/>
    <cfRule type="duplicateValues" dxfId="818" priority="1000"/>
  </conditionalFormatting>
  <conditionalFormatting sqref="L294">
    <cfRule type="duplicateValues" dxfId="817" priority="965"/>
    <cfRule type="duplicateValues" dxfId="816" priority="964"/>
  </conditionalFormatting>
  <conditionalFormatting sqref="L295">
    <cfRule type="duplicateValues" dxfId="815" priority="985"/>
    <cfRule type="duplicateValues" dxfId="814" priority="984"/>
  </conditionalFormatting>
  <conditionalFormatting sqref="L296">
    <cfRule type="duplicateValues" dxfId="813" priority="958"/>
    <cfRule type="duplicateValues" dxfId="812" priority="959"/>
  </conditionalFormatting>
  <conditionalFormatting sqref="L297">
    <cfRule type="duplicateValues" dxfId="811" priority="983"/>
    <cfRule type="duplicateValues" dxfId="810" priority="982"/>
  </conditionalFormatting>
  <conditionalFormatting sqref="L298">
    <cfRule type="duplicateValues" dxfId="809" priority="962"/>
    <cfRule type="duplicateValues" dxfId="808" priority="963"/>
  </conditionalFormatting>
  <conditionalFormatting sqref="L299">
    <cfRule type="duplicateValues" dxfId="807" priority="954"/>
    <cfRule type="duplicateValues" dxfId="806" priority="955"/>
  </conditionalFormatting>
  <conditionalFormatting sqref="L300">
    <cfRule type="duplicateValues" dxfId="805" priority="953"/>
    <cfRule type="duplicateValues" dxfId="804" priority="952"/>
  </conditionalFormatting>
  <conditionalFormatting sqref="L301">
    <cfRule type="duplicateValues" dxfId="803" priority="957"/>
    <cfRule type="duplicateValues" dxfId="802" priority="956"/>
  </conditionalFormatting>
  <conditionalFormatting sqref="L302">
    <cfRule type="duplicateValues" dxfId="801" priority="948"/>
    <cfRule type="duplicateValues" dxfId="800" priority="949"/>
  </conditionalFormatting>
  <conditionalFormatting sqref="L303">
    <cfRule type="duplicateValues" dxfId="799" priority="972"/>
    <cfRule type="duplicateValues" dxfId="798" priority="973"/>
  </conditionalFormatting>
  <conditionalFormatting sqref="L304">
    <cfRule type="duplicateValues" dxfId="797" priority="961"/>
    <cfRule type="duplicateValues" dxfId="796" priority="960"/>
  </conditionalFormatting>
  <conditionalFormatting sqref="L305">
    <cfRule type="duplicateValues" dxfId="795" priority="971"/>
    <cfRule type="duplicateValues" dxfId="794" priority="970"/>
  </conditionalFormatting>
  <conditionalFormatting sqref="L306">
    <cfRule type="duplicateValues" dxfId="793" priority="968"/>
    <cfRule type="duplicateValues" dxfId="792" priority="969"/>
  </conditionalFormatting>
  <conditionalFormatting sqref="L307">
    <cfRule type="duplicateValues" dxfId="791" priority="946"/>
    <cfRule type="duplicateValues" dxfId="790" priority="947"/>
  </conditionalFormatting>
  <conditionalFormatting sqref="L308">
    <cfRule type="duplicateValues" dxfId="789" priority="944"/>
    <cfRule type="duplicateValues" dxfId="788" priority="945"/>
  </conditionalFormatting>
  <conditionalFormatting sqref="L309">
    <cfRule type="duplicateValues" dxfId="787" priority="967"/>
    <cfRule type="duplicateValues" dxfId="786" priority="966"/>
  </conditionalFormatting>
  <conditionalFormatting sqref="L310">
    <cfRule type="duplicateValues" dxfId="785" priority="940"/>
    <cfRule type="duplicateValues" dxfId="784" priority="941"/>
  </conditionalFormatting>
  <conditionalFormatting sqref="L311">
    <cfRule type="duplicateValues" dxfId="783" priority="988"/>
    <cfRule type="duplicateValues" dxfId="782" priority="989"/>
  </conditionalFormatting>
  <conditionalFormatting sqref="L312">
    <cfRule type="duplicateValues" dxfId="781" priority="980"/>
    <cfRule type="duplicateValues" dxfId="780" priority="981"/>
  </conditionalFormatting>
  <conditionalFormatting sqref="L313">
    <cfRule type="duplicateValues" dxfId="779" priority="978"/>
    <cfRule type="duplicateValues" dxfId="778" priority="979"/>
  </conditionalFormatting>
  <conditionalFormatting sqref="L314">
    <cfRule type="duplicateValues" dxfId="777" priority="975"/>
    <cfRule type="duplicateValues" dxfId="776" priority="974"/>
  </conditionalFormatting>
  <conditionalFormatting sqref="L315">
    <cfRule type="duplicateValues" dxfId="775" priority="976"/>
    <cfRule type="duplicateValues" dxfId="774" priority="977"/>
  </conditionalFormatting>
  <conditionalFormatting sqref="L316">
    <cfRule type="duplicateValues" dxfId="773" priority="998"/>
    <cfRule type="duplicateValues" dxfId="772" priority="999"/>
  </conditionalFormatting>
  <conditionalFormatting sqref="L317">
    <cfRule type="duplicateValues" dxfId="771" priority="992"/>
    <cfRule type="duplicateValues" dxfId="770" priority="993"/>
  </conditionalFormatting>
  <conditionalFormatting sqref="L318">
    <cfRule type="duplicateValues" dxfId="769" priority="996"/>
    <cfRule type="duplicateValues" dxfId="768" priority="997"/>
  </conditionalFormatting>
  <conditionalFormatting sqref="L319">
    <cfRule type="duplicateValues" dxfId="767" priority="994"/>
    <cfRule type="duplicateValues" dxfId="766" priority="995"/>
  </conditionalFormatting>
  <conditionalFormatting sqref="L320">
    <cfRule type="duplicateValues" dxfId="765" priority="987"/>
    <cfRule type="duplicateValues" dxfId="764" priority="986"/>
  </conditionalFormatting>
  <conditionalFormatting sqref="L321">
    <cfRule type="duplicateValues" dxfId="763" priority="990"/>
    <cfRule type="duplicateValues" dxfId="762" priority="991"/>
  </conditionalFormatting>
  <conditionalFormatting sqref="L322">
    <cfRule type="duplicateValues" dxfId="761" priority="935"/>
    <cfRule type="duplicateValues" dxfId="760" priority="934"/>
  </conditionalFormatting>
  <conditionalFormatting sqref="L323">
    <cfRule type="duplicateValues" dxfId="759" priority="919"/>
    <cfRule type="duplicateValues" dxfId="758" priority="918"/>
  </conditionalFormatting>
  <conditionalFormatting sqref="L324">
    <cfRule type="duplicateValues" dxfId="757" priority="930"/>
    <cfRule type="duplicateValues" dxfId="756" priority="931"/>
  </conditionalFormatting>
  <conditionalFormatting sqref="L325">
    <cfRule type="duplicateValues" dxfId="755" priority="909"/>
    <cfRule type="duplicateValues" dxfId="754" priority="908"/>
  </conditionalFormatting>
  <conditionalFormatting sqref="L326">
    <cfRule type="duplicateValues" dxfId="753" priority="907"/>
    <cfRule type="duplicateValues" dxfId="752" priority="906"/>
  </conditionalFormatting>
  <conditionalFormatting sqref="L327">
    <cfRule type="duplicateValues" dxfId="751" priority="905"/>
    <cfRule type="duplicateValues" dxfId="750" priority="904"/>
  </conditionalFormatting>
  <conditionalFormatting sqref="L328">
    <cfRule type="duplicateValues" dxfId="749" priority="903"/>
    <cfRule type="duplicateValues" dxfId="748" priority="902"/>
  </conditionalFormatting>
  <conditionalFormatting sqref="L329">
    <cfRule type="duplicateValues" dxfId="747" priority="900"/>
    <cfRule type="duplicateValues" dxfId="746" priority="901"/>
  </conditionalFormatting>
  <conditionalFormatting sqref="L330">
    <cfRule type="duplicateValues" dxfId="745" priority="898"/>
    <cfRule type="duplicateValues" dxfId="744" priority="899"/>
  </conditionalFormatting>
  <conditionalFormatting sqref="L331">
    <cfRule type="duplicateValues" dxfId="743" priority="896"/>
    <cfRule type="duplicateValues" dxfId="742" priority="897"/>
  </conditionalFormatting>
  <conditionalFormatting sqref="L333">
    <cfRule type="duplicateValues" dxfId="741" priority="916"/>
    <cfRule type="duplicateValues" dxfId="740" priority="917"/>
  </conditionalFormatting>
  <conditionalFormatting sqref="L334">
    <cfRule type="duplicateValues" dxfId="739" priority="922"/>
    <cfRule type="duplicateValues" dxfId="738" priority="923"/>
  </conditionalFormatting>
  <conditionalFormatting sqref="L335">
    <cfRule type="duplicateValues" dxfId="737" priority="924"/>
    <cfRule type="duplicateValues" dxfId="736" priority="925"/>
  </conditionalFormatting>
  <conditionalFormatting sqref="L336">
    <cfRule type="duplicateValues" dxfId="735" priority="915"/>
    <cfRule type="duplicateValues" dxfId="734" priority="914"/>
  </conditionalFormatting>
  <conditionalFormatting sqref="L337">
    <cfRule type="duplicateValues" dxfId="733" priority="913"/>
    <cfRule type="duplicateValues" dxfId="732" priority="912"/>
  </conditionalFormatting>
  <conditionalFormatting sqref="L338">
    <cfRule type="duplicateValues" dxfId="731" priority="921"/>
    <cfRule type="duplicateValues" dxfId="730" priority="920"/>
  </conditionalFormatting>
  <conditionalFormatting sqref="L339">
    <cfRule type="duplicateValues" dxfId="729" priority="910"/>
    <cfRule type="duplicateValues" dxfId="728" priority="911"/>
  </conditionalFormatting>
  <conditionalFormatting sqref="L340">
    <cfRule type="duplicateValues" dxfId="727" priority="933"/>
    <cfRule type="duplicateValues" dxfId="726" priority="932"/>
  </conditionalFormatting>
  <conditionalFormatting sqref="L341">
    <cfRule type="duplicateValues" dxfId="725" priority="894"/>
    <cfRule type="duplicateValues" dxfId="724" priority="895"/>
  </conditionalFormatting>
  <conditionalFormatting sqref="L342">
    <cfRule type="duplicateValues" dxfId="723" priority="928"/>
    <cfRule type="duplicateValues" dxfId="722" priority="929"/>
  </conditionalFormatting>
  <conditionalFormatting sqref="L343">
    <cfRule type="duplicateValues" dxfId="721" priority="926"/>
    <cfRule type="duplicateValues" dxfId="720" priority="927"/>
  </conditionalFormatting>
  <conditionalFormatting sqref="L344">
    <cfRule type="duplicateValues" dxfId="719" priority="891"/>
    <cfRule type="duplicateValues" dxfId="718" priority="890"/>
  </conditionalFormatting>
  <conditionalFormatting sqref="L345">
    <cfRule type="duplicateValues" dxfId="717" priority="853"/>
    <cfRule type="duplicateValues" dxfId="716" priority="852"/>
  </conditionalFormatting>
  <conditionalFormatting sqref="L346">
    <cfRule type="duplicateValues" dxfId="715" priority="866"/>
    <cfRule type="duplicateValues" dxfId="714" priority="867"/>
  </conditionalFormatting>
  <conditionalFormatting sqref="L347">
    <cfRule type="duplicateValues" dxfId="713" priority="842"/>
    <cfRule type="duplicateValues" dxfId="712" priority="843"/>
  </conditionalFormatting>
  <conditionalFormatting sqref="L348">
    <cfRule type="duplicateValues" dxfId="711" priority="840"/>
    <cfRule type="duplicateValues" dxfId="710" priority="841"/>
  </conditionalFormatting>
  <conditionalFormatting sqref="L349">
    <cfRule type="duplicateValues" dxfId="709" priority="838"/>
    <cfRule type="duplicateValues" dxfId="708" priority="839"/>
  </conditionalFormatting>
  <conditionalFormatting sqref="L350">
    <cfRule type="duplicateValues" dxfId="707" priority="837"/>
    <cfRule type="duplicateValues" dxfId="706" priority="836"/>
  </conditionalFormatting>
  <conditionalFormatting sqref="L351">
    <cfRule type="duplicateValues" dxfId="705" priority="834"/>
    <cfRule type="duplicateValues" dxfId="704" priority="835"/>
  </conditionalFormatting>
  <conditionalFormatting sqref="L352">
    <cfRule type="duplicateValues" dxfId="703" priority="832"/>
    <cfRule type="duplicateValues" dxfId="702" priority="833"/>
  </conditionalFormatting>
  <conditionalFormatting sqref="L353">
    <cfRule type="duplicateValues" dxfId="701" priority="831"/>
    <cfRule type="duplicateValues" dxfId="700" priority="830"/>
  </conditionalFormatting>
  <conditionalFormatting sqref="L354">
    <cfRule type="duplicateValues" dxfId="699" priority="826"/>
    <cfRule type="duplicateValues" dxfId="698" priority="827"/>
  </conditionalFormatting>
  <conditionalFormatting sqref="L355">
    <cfRule type="duplicateValues" dxfId="697" priority="851"/>
    <cfRule type="duplicateValues" dxfId="696" priority="850"/>
  </conditionalFormatting>
  <conditionalFormatting sqref="L356">
    <cfRule type="duplicateValues" dxfId="695" priority="857"/>
    <cfRule type="duplicateValues" dxfId="694" priority="856"/>
  </conditionalFormatting>
  <conditionalFormatting sqref="L357">
    <cfRule type="duplicateValues" dxfId="693" priority="859"/>
    <cfRule type="duplicateValues" dxfId="692" priority="858"/>
  </conditionalFormatting>
  <conditionalFormatting sqref="L358">
    <cfRule type="duplicateValues" dxfId="691" priority="849"/>
    <cfRule type="duplicateValues" dxfId="690" priority="848"/>
  </conditionalFormatting>
  <conditionalFormatting sqref="L359">
    <cfRule type="duplicateValues" dxfId="689" priority="846"/>
    <cfRule type="duplicateValues" dxfId="688" priority="847"/>
  </conditionalFormatting>
  <conditionalFormatting sqref="L360">
    <cfRule type="duplicateValues" dxfId="687" priority="855"/>
    <cfRule type="duplicateValues" dxfId="686" priority="854"/>
  </conditionalFormatting>
  <conditionalFormatting sqref="L361">
    <cfRule type="duplicateValues" dxfId="685" priority="844"/>
    <cfRule type="duplicateValues" dxfId="684" priority="845"/>
  </conditionalFormatting>
  <conditionalFormatting sqref="L362">
    <cfRule type="duplicateValues" dxfId="683" priority="872"/>
    <cfRule type="duplicateValues" dxfId="682" priority="873"/>
  </conditionalFormatting>
  <conditionalFormatting sqref="L363">
    <cfRule type="duplicateValues" dxfId="681" priority="828"/>
    <cfRule type="duplicateValues" dxfId="680" priority="829"/>
  </conditionalFormatting>
  <conditionalFormatting sqref="L364">
    <cfRule type="duplicateValues" dxfId="679" priority="864"/>
    <cfRule type="duplicateValues" dxfId="678" priority="865"/>
  </conditionalFormatting>
  <conditionalFormatting sqref="L365">
    <cfRule type="duplicateValues" dxfId="677" priority="860"/>
    <cfRule type="duplicateValues" dxfId="676" priority="861"/>
  </conditionalFormatting>
  <conditionalFormatting sqref="L366">
    <cfRule type="duplicateValues" dxfId="675" priority="862"/>
    <cfRule type="duplicateValues" dxfId="674" priority="863"/>
  </conditionalFormatting>
  <conditionalFormatting sqref="L367">
    <cfRule type="duplicateValues" dxfId="673" priority="888"/>
    <cfRule type="duplicateValues" dxfId="672" priority="889"/>
  </conditionalFormatting>
  <conditionalFormatting sqref="L368">
    <cfRule type="duplicateValues" dxfId="671" priority="878"/>
    <cfRule type="duplicateValues" dxfId="670" priority="879"/>
  </conditionalFormatting>
  <conditionalFormatting sqref="L369">
    <cfRule type="duplicateValues" dxfId="669" priority="887"/>
    <cfRule type="duplicateValues" dxfId="668" priority="886"/>
  </conditionalFormatting>
  <conditionalFormatting sqref="L370">
    <cfRule type="duplicateValues" dxfId="667" priority="885"/>
    <cfRule type="duplicateValues" dxfId="666" priority="884"/>
  </conditionalFormatting>
  <conditionalFormatting sqref="L371">
    <cfRule type="duplicateValues" dxfId="665" priority="870"/>
    <cfRule type="duplicateValues" dxfId="664" priority="871"/>
  </conditionalFormatting>
  <conditionalFormatting sqref="L372">
    <cfRule type="duplicateValues" dxfId="663" priority="877"/>
    <cfRule type="duplicateValues" dxfId="662" priority="876"/>
  </conditionalFormatting>
  <conditionalFormatting sqref="L373">
    <cfRule type="duplicateValues" dxfId="661" priority="880"/>
    <cfRule type="duplicateValues" dxfId="660" priority="881"/>
  </conditionalFormatting>
  <conditionalFormatting sqref="L374">
    <cfRule type="duplicateValues" dxfId="659" priority="874"/>
    <cfRule type="duplicateValues" dxfId="658" priority="875"/>
  </conditionalFormatting>
  <conditionalFormatting sqref="L375">
    <cfRule type="duplicateValues" dxfId="657" priority="883"/>
    <cfRule type="duplicateValues" dxfId="656" priority="882"/>
  </conditionalFormatting>
  <conditionalFormatting sqref="L376">
    <cfRule type="duplicateValues" dxfId="655" priority="892"/>
    <cfRule type="duplicateValues" dxfId="654" priority="893"/>
  </conditionalFormatting>
  <conditionalFormatting sqref="L377">
    <cfRule type="duplicateValues" dxfId="653" priority="869"/>
    <cfRule type="duplicateValues" dxfId="652" priority="868"/>
  </conditionalFormatting>
  <conditionalFormatting sqref="L378 L416">
    <cfRule type="duplicateValues" dxfId="651" priority="807"/>
    <cfRule type="duplicateValues" dxfId="650" priority="808"/>
  </conditionalFormatting>
  <conditionalFormatting sqref="L379">
    <cfRule type="duplicateValues" dxfId="649" priority="762"/>
    <cfRule type="duplicateValues" dxfId="648" priority="761"/>
  </conditionalFormatting>
  <conditionalFormatting sqref="L380">
    <cfRule type="duplicateValues" dxfId="647" priority="773"/>
    <cfRule type="duplicateValues" dxfId="646" priority="774"/>
  </conditionalFormatting>
  <conditionalFormatting sqref="L381">
    <cfRule type="duplicateValues" dxfId="645" priority="756"/>
    <cfRule type="duplicateValues" dxfId="644" priority="755"/>
  </conditionalFormatting>
  <conditionalFormatting sqref="L382">
    <cfRule type="duplicateValues" dxfId="643" priority="753"/>
    <cfRule type="duplicateValues" dxfId="642" priority="754"/>
  </conditionalFormatting>
  <conditionalFormatting sqref="L383">
    <cfRule type="duplicateValues" dxfId="641" priority="752"/>
    <cfRule type="duplicateValues" dxfId="640" priority="751"/>
  </conditionalFormatting>
  <conditionalFormatting sqref="L384">
    <cfRule type="duplicateValues" dxfId="639" priority="749"/>
    <cfRule type="duplicateValues" dxfId="638" priority="750"/>
  </conditionalFormatting>
  <conditionalFormatting sqref="L385">
    <cfRule type="duplicateValues" dxfId="637" priority="748"/>
    <cfRule type="duplicateValues" dxfId="636" priority="747"/>
  </conditionalFormatting>
  <conditionalFormatting sqref="L386">
    <cfRule type="duplicateValues" dxfId="635" priority="745"/>
    <cfRule type="duplicateValues" dxfId="634" priority="746"/>
  </conditionalFormatting>
  <conditionalFormatting sqref="L387">
    <cfRule type="duplicateValues" dxfId="633" priority="744"/>
    <cfRule type="duplicateValues" dxfId="632" priority="743"/>
  </conditionalFormatting>
  <conditionalFormatting sqref="L388">
    <cfRule type="duplicateValues" dxfId="631" priority="731"/>
    <cfRule type="duplicateValues" dxfId="630" priority="730"/>
  </conditionalFormatting>
  <conditionalFormatting sqref="L389">
    <cfRule type="duplicateValues" dxfId="629" priority="760"/>
    <cfRule type="duplicateValues" dxfId="628" priority="759"/>
  </conditionalFormatting>
  <conditionalFormatting sqref="L390">
    <cfRule type="duplicateValues" dxfId="627" priority="766"/>
    <cfRule type="duplicateValues" dxfId="626" priority="765"/>
  </conditionalFormatting>
  <conditionalFormatting sqref="L391">
    <cfRule type="duplicateValues" dxfId="625" priority="727"/>
    <cfRule type="duplicateValues" dxfId="624" priority="728"/>
  </conditionalFormatting>
  <conditionalFormatting sqref="L392">
    <cfRule type="duplicateValues" dxfId="623" priority="725"/>
    <cfRule type="duplicateValues" dxfId="622" priority="724"/>
  </conditionalFormatting>
  <conditionalFormatting sqref="L393">
    <cfRule type="duplicateValues" dxfId="621" priority="722"/>
    <cfRule type="duplicateValues" dxfId="620" priority="721"/>
  </conditionalFormatting>
  <conditionalFormatting sqref="L394">
    <cfRule type="duplicateValues" dxfId="619" priority="763"/>
    <cfRule type="duplicateValues" dxfId="618" priority="764"/>
  </conditionalFormatting>
  <conditionalFormatting sqref="L395">
    <cfRule type="duplicateValues" dxfId="617" priority="757"/>
    <cfRule type="duplicateValues" dxfId="616" priority="758"/>
  </conditionalFormatting>
  <conditionalFormatting sqref="L396">
    <cfRule type="duplicateValues" dxfId="615" priority="783"/>
    <cfRule type="duplicateValues" dxfId="614" priority="784"/>
  </conditionalFormatting>
  <conditionalFormatting sqref="L397">
    <cfRule type="duplicateValues" dxfId="613" priority="742"/>
    <cfRule type="duplicateValues" dxfId="612" priority="741"/>
  </conditionalFormatting>
  <conditionalFormatting sqref="L398">
    <cfRule type="duplicateValues" dxfId="611" priority="772"/>
    <cfRule type="duplicateValues" dxfId="610" priority="771"/>
  </conditionalFormatting>
  <conditionalFormatting sqref="L399">
    <cfRule type="duplicateValues" dxfId="609" priority="767"/>
    <cfRule type="duplicateValues" dxfId="608" priority="768"/>
  </conditionalFormatting>
  <conditionalFormatting sqref="L400">
    <cfRule type="duplicateValues" dxfId="607" priority="770"/>
    <cfRule type="duplicateValues" dxfId="606" priority="769"/>
  </conditionalFormatting>
  <conditionalFormatting sqref="L401">
    <cfRule type="duplicateValues" dxfId="605" priority="805"/>
    <cfRule type="duplicateValues" dxfId="604" priority="806"/>
  </conditionalFormatting>
  <conditionalFormatting sqref="L402">
    <cfRule type="duplicateValues" dxfId="603" priority="796"/>
    <cfRule type="duplicateValues" dxfId="602" priority="795"/>
  </conditionalFormatting>
  <conditionalFormatting sqref="L403">
    <cfRule type="duplicateValues" dxfId="601" priority="803"/>
    <cfRule type="duplicateValues" dxfId="600" priority="804"/>
  </conditionalFormatting>
  <conditionalFormatting sqref="L404">
    <cfRule type="duplicateValues" dxfId="599" priority="801"/>
    <cfRule type="duplicateValues" dxfId="598" priority="802"/>
  </conditionalFormatting>
  <conditionalFormatting sqref="L405">
    <cfRule type="duplicateValues" dxfId="597" priority="781"/>
    <cfRule type="duplicateValues" dxfId="596" priority="782"/>
  </conditionalFormatting>
  <conditionalFormatting sqref="L406">
    <cfRule type="duplicateValues" dxfId="595" priority="793"/>
    <cfRule type="duplicateValues" dxfId="594" priority="794"/>
  </conditionalFormatting>
  <conditionalFormatting sqref="L407">
    <cfRule type="duplicateValues" dxfId="593" priority="797"/>
    <cfRule type="duplicateValues" dxfId="592" priority="798"/>
  </conditionalFormatting>
  <conditionalFormatting sqref="L408">
    <cfRule type="duplicateValues" dxfId="591" priority="792"/>
    <cfRule type="duplicateValues" dxfId="590" priority="791"/>
  </conditionalFormatting>
  <conditionalFormatting sqref="L409">
    <cfRule type="duplicateValues" dxfId="589" priority="799"/>
    <cfRule type="duplicateValues" dxfId="588" priority="800"/>
  </conditionalFormatting>
  <conditionalFormatting sqref="L411">
    <cfRule type="duplicateValues" dxfId="587" priority="778"/>
    <cfRule type="duplicateValues" dxfId="586" priority="777"/>
  </conditionalFormatting>
  <conditionalFormatting sqref="L412">
    <cfRule type="duplicateValues" dxfId="585" priority="776"/>
    <cfRule type="duplicateValues" dxfId="584" priority="775"/>
  </conditionalFormatting>
  <conditionalFormatting sqref="L413">
    <cfRule type="duplicateValues" dxfId="583" priority="780"/>
    <cfRule type="duplicateValues" dxfId="582" priority="779"/>
  </conditionalFormatting>
  <conditionalFormatting sqref="L414:L415">
    <cfRule type="duplicateValues" dxfId="581" priority="789"/>
    <cfRule type="duplicateValues" dxfId="580" priority="790"/>
  </conditionalFormatting>
  <conditionalFormatting sqref="L417">
    <cfRule type="duplicateValues" dxfId="579" priority="788"/>
    <cfRule type="duplicateValues" dxfId="578" priority="787"/>
  </conditionalFormatting>
  <conditionalFormatting sqref="L418">
    <cfRule type="duplicateValues" dxfId="577" priority="786"/>
    <cfRule type="duplicateValues" dxfId="576" priority="785"/>
  </conditionalFormatting>
  <conditionalFormatting sqref="L419:L421 L410">
    <cfRule type="duplicateValues" dxfId="575" priority="809"/>
    <cfRule type="duplicateValues" dxfId="574" priority="810"/>
  </conditionalFormatting>
  <conditionalFormatting sqref="L422">
    <cfRule type="duplicateValues" dxfId="573" priority="715"/>
    <cfRule type="duplicateValues" dxfId="572" priority="714"/>
  </conditionalFormatting>
  <conditionalFormatting sqref="L423">
    <cfRule type="duplicateValues" dxfId="571" priority="680"/>
    <cfRule type="duplicateValues" dxfId="570" priority="681"/>
  </conditionalFormatting>
  <conditionalFormatting sqref="L424">
    <cfRule type="duplicateValues" dxfId="569" priority="691"/>
    <cfRule type="duplicateValues" dxfId="568" priority="690"/>
  </conditionalFormatting>
  <conditionalFormatting sqref="L425">
    <cfRule type="duplicateValues" dxfId="567" priority="655"/>
    <cfRule type="duplicateValues" dxfId="566" priority="656"/>
  </conditionalFormatting>
  <conditionalFormatting sqref="L426">
    <cfRule type="duplicateValues" dxfId="565" priority="651"/>
    <cfRule type="duplicateValues" dxfId="564" priority="652"/>
  </conditionalFormatting>
  <conditionalFormatting sqref="L427">
    <cfRule type="duplicateValues" dxfId="563" priority="676"/>
    <cfRule type="duplicateValues" dxfId="562" priority="677"/>
  </conditionalFormatting>
  <conditionalFormatting sqref="L428">
    <cfRule type="duplicateValues" dxfId="561" priority="674"/>
    <cfRule type="duplicateValues" dxfId="560" priority="675"/>
  </conditionalFormatting>
  <conditionalFormatting sqref="L429">
    <cfRule type="duplicateValues" dxfId="559" priority="673"/>
    <cfRule type="duplicateValues" dxfId="558" priority="672"/>
  </conditionalFormatting>
  <conditionalFormatting sqref="L430">
    <cfRule type="duplicateValues" dxfId="557" priority="671"/>
    <cfRule type="duplicateValues" dxfId="556" priority="670"/>
  </conditionalFormatting>
  <conditionalFormatting sqref="L431">
    <cfRule type="duplicateValues" dxfId="555" priority="669"/>
    <cfRule type="duplicateValues" dxfId="554" priority="668"/>
  </conditionalFormatting>
  <conditionalFormatting sqref="L432">
    <cfRule type="duplicateValues" dxfId="553" priority="648"/>
    <cfRule type="duplicateValues" dxfId="552" priority="647"/>
  </conditionalFormatting>
  <conditionalFormatting sqref="L433">
    <cfRule type="duplicateValues" dxfId="551" priority="645"/>
    <cfRule type="duplicateValues" dxfId="550" priority="646"/>
  </conditionalFormatting>
  <conditionalFormatting sqref="L434">
    <cfRule type="duplicateValues" dxfId="549" priority="644"/>
    <cfRule type="duplicateValues" dxfId="548" priority="643"/>
  </conditionalFormatting>
  <conditionalFormatting sqref="L435">
    <cfRule type="duplicateValues" dxfId="547" priority="642"/>
    <cfRule type="duplicateValues" dxfId="546" priority="641"/>
  </conditionalFormatting>
  <conditionalFormatting sqref="L436">
    <cfRule type="duplicateValues" dxfId="545" priority="660"/>
    <cfRule type="duplicateValues" dxfId="544" priority="659"/>
  </conditionalFormatting>
  <conditionalFormatting sqref="L437">
    <cfRule type="duplicateValues" dxfId="543" priority="658"/>
    <cfRule type="duplicateValues" dxfId="542" priority="657"/>
  </conditionalFormatting>
  <conditionalFormatting sqref="L438">
    <cfRule type="duplicateValues" dxfId="541" priority="683"/>
    <cfRule type="duplicateValues" dxfId="540" priority="682"/>
  </conditionalFormatting>
  <conditionalFormatting sqref="L439">
    <cfRule type="duplicateValues" dxfId="539" priority="678"/>
    <cfRule type="duplicateValues" dxfId="538" priority="679"/>
  </conditionalFormatting>
  <conditionalFormatting sqref="L440">
    <cfRule type="duplicateValues" dxfId="537" priority="697"/>
    <cfRule type="duplicateValues" dxfId="536" priority="696"/>
  </conditionalFormatting>
  <conditionalFormatting sqref="L441">
    <cfRule type="duplicateValues" dxfId="535" priority="667"/>
    <cfRule type="duplicateValues" dxfId="534" priority="666"/>
  </conditionalFormatting>
  <conditionalFormatting sqref="L442">
    <cfRule type="duplicateValues" dxfId="533" priority="688"/>
    <cfRule type="duplicateValues" dxfId="532" priority="689"/>
  </conditionalFormatting>
  <conditionalFormatting sqref="L443:L445">
    <cfRule type="duplicateValues" dxfId="531" priority="684"/>
    <cfRule type="duplicateValues" dxfId="530" priority="685"/>
  </conditionalFormatting>
  <conditionalFormatting sqref="L446">
    <cfRule type="duplicateValues" dxfId="529" priority="687"/>
    <cfRule type="duplicateValues" dxfId="528" priority="686"/>
  </conditionalFormatting>
  <conditionalFormatting sqref="L447">
    <cfRule type="duplicateValues" dxfId="527" priority="713"/>
    <cfRule type="duplicateValues" dxfId="526" priority="712"/>
  </conditionalFormatting>
  <conditionalFormatting sqref="L448">
    <cfRule type="duplicateValues" dxfId="525" priority="702"/>
    <cfRule type="duplicateValues" dxfId="524" priority="703"/>
  </conditionalFormatting>
  <conditionalFormatting sqref="L449">
    <cfRule type="duplicateValues" dxfId="523" priority="710"/>
    <cfRule type="duplicateValues" dxfId="522" priority="711"/>
  </conditionalFormatting>
  <conditionalFormatting sqref="L450">
    <cfRule type="duplicateValues" dxfId="521" priority="709"/>
    <cfRule type="duplicateValues" dxfId="520" priority="708"/>
  </conditionalFormatting>
  <conditionalFormatting sqref="L451">
    <cfRule type="duplicateValues" dxfId="519" priority="695"/>
    <cfRule type="duplicateValues" dxfId="518" priority="694"/>
  </conditionalFormatting>
  <conditionalFormatting sqref="L452">
    <cfRule type="duplicateValues" dxfId="517" priority="700"/>
    <cfRule type="duplicateValues" dxfId="516" priority="701"/>
  </conditionalFormatting>
  <conditionalFormatting sqref="L453">
    <cfRule type="duplicateValues" dxfId="515" priority="704"/>
    <cfRule type="duplicateValues" dxfId="514" priority="705"/>
  </conditionalFormatting>
  <conditionalFormatting sqref="L454">
    <cfRule type="duplicateValues" dxfId="513" priority="699"/>
    <cfRule type="duplicateValues" dxfId="512" priority="698"/>
  </conditionalFormatting>
  <conditionalFormatting sqref="L455">
    <cfRule type="duplicateValues" dxfId="511" priority="707"/>
    <cfRule type="duplicateValues" dxfId="510" priority="706"/>
  </conditionalFormatting>
  <conditionalFormatting sqref="L456">
    <cfRule type="duplicateValues" dxfId="509" priority="717"/>
    <cfRule type="duplicateValues" dxfId="508" priority="716"/>
  </conditionalFormatting>
  <conditionalFormatting sqref="L457">
    <cfRule type="duplicateValues" dxfId="507" priority="693"/>
    <cfRule type="duplicateValues" dxfId="506" priority="692"/>
  </conditionalFormatting>
  <conditionalFormatting sqref="L458">
    <cfRule type="duplicateValues" dxfId="505" priority="638"/>
    <cfRule type="duplicateValues" dxfId="504" priority="637"/>
  </conditionalFormatting>
  <conditionalFormatting sqref="L459">
    <cfRule type="duplicateValues" dxfId="503" priority="626"/>
    <cfRule type="duplicateValues" dxfId="502" priority="625"/>
  </conditionalFormatting>
  <conditionalFormatting sqref="L460">
    <cfRule type="duplicateValues" dxfId="501" priority="636"/>
    <cfRule type="duplicateValues" dxfId="500" priority="635"/>
  </conditionalFormatting>
  <conditionalFormatting sqref="L461">
    <cfRule type="duplicateValues" dxfId="499" priority="632"/>
    <cfRule type="duplicateValues" dxfId="498" priority="631"/>
  </conditionalFormatting>
  <conditionalFormatting sqref="L462:L464">
    <cfRule type="duplicateValues" dxfId="497" priority="627"/>
    <cfRule type="duplicateValues" dxfId="496" priority="628"/>
  </conditionalFormatting>
  <conditionalFormatting sqref="L465">
    <cfRule type="duplicateValues" dxfId="495" priority="608"/>
    <cfRule type="duplicateValues" dxfId="494" priority="607"/>
  </conditionalFormatting>
  <conditionalFormatting sqref="L466">
    <cfRule type="duplicateValues" dxfId="493" priority="611"/>
    <cfRule type="duplicateValues" dxfId="492" priority="612"/>
  </conditionalFormatting>
  <conditionalFormatting sqref="L467">
    <cfRule type="duplicateValues" dxfId="491" priority="604"/>
    <cfRule type="duplicateValues" dxfId="490" priority="603"/>
  </conditionalFormatting>
  <conditionalFormatting sqref="L468">
    <cfRule type="duplicateValues" dxfId="489" priority="600"/>
    <cfRule type="duplicateValues" dxfId="488" priority="599"/>
  </conditionalFormatting>
  <conditionalFormatting sqref="L469">
    <cfRule type="duplicateValues" dxfId="487" priority="587"/>
    <cfRule type="duplicateValues" dxfId="486" priority="588"/>
  </conditionalFormatting>
  <conditionalFormatting sqref="L470">
    <cfRule type="duplicateValues" dxfId="485" priority="594"/>
    <cfRule type="duplicateValues" dxfId="484" priority="593"/>
  </conditionalFormatting>
  <conditionalFormatting sqref="L471">
    <cfRule type="duplicateValues" dxfId="483" priority="585"/>
    <cfRule type="duplicateValues" dxfId="482" priority="586"/>
  </conditionalFormatting>
  <conditionalFormatting sqref="L472">
    <cfRule type="duplicateValues" dxfId="481" priority="582"/>
    <cfRule type="duplicateValues" dxfId="480" priority="581"/>
  </conditionalFormatting>
  <conditionalFormatting sqref="L473">
    <cfRule type="duplicateValues" dxfId="479" priority="578"/>
    <cfRule type="duplicateValues" dxfId="478" priority="577"/>
  </conditionalFormatting>
  <conditionalFormatting sqref="L474">
    <cfRule type="duplicateValues" dxfId="477" priority="596"/>
    <cfRule type="duplicateValues" dxfId="476" priority="595"/>
  </conditionalFormatting>
  <conditionalFormatting sqref="L475">
    <cfRule type="duplicateValues" dxfId="475" priority="572"/>
    <cfRule type="duplicateValues" dxfId="474" priority="571"/>
  </conditionalFormatting>
  <conditionalFormatting sqref="L476">
    <cfRule type="duplicateValues" dxfId="473" priority="568"/>
    <cfRule type="duplicateValues" dxfId="472" priority="567"/>
  </conditionalFormatting>
  <conditionalFormatting sqref="L477">
    <cfRule type="duplicateValues" dxfId="471" priority="564"/>
    <cfRule type="duplicateValues" dxfId="470" priority="563"/>
  </conditionalFormatting>
  <conditionalFormatting sqref="L478">
    <cfRule type="duplicateValues" dxfId="469" priority="560"/>
    <cfRule type="duplicateValues" dxfId="468" priority="559"/>
  </conditionalFormatting>
  <conditionalFormatting sqref="L479">
    <cfRule type="duplicateValues" dxfId="467" priority="533"/>
    <cfRule type="duplicateValues" dxfId="466" priority="534"/>
  </conditionalFormatting>
  <conditionalFormatting sqref="L480">
    <cfRule type="duplicateValues" dxfId="465" priority="531"/>
    <cfRule type="duplicateValues" dxfId="464" priority="532"/>
  </conditionalFormatting>
  <conditionalFormatting sqref="L481">
    <cfRule type="duplicateValues" dxfId="463" priority="529"/>
    <cfRule type="duplicateValues" dxfId="462" priority="530"/>
  </conditionalFormatting>
  <conditionalFormatting sqref="L482">
    <cfRule type="duplicateValues" dxfId="461" priority="552"/>
    <cfRule type="duplicateValues" dxfId="460" priority="551"/>
  </conditionalFormatting>
  <conditionalFormatting sqref="L483">
    <cfRule type="duplicateValues" dxfId="459" priority="550"/>
    <cfRule type="duplicateValues" dxfId="458" priority="549"/>
  </conditionalFormatting>
  <conditionalFormatting sqref="L484">
    <cfRule type="duplicateValues" dxfId="457" priority="548"/>
    <cfRule type="duplicateValues" dxfId="456" priority="547"/>
  </conditionalFormatting>
  <conditionalFormatting sqref="L485">
    <cfRule type="duplicateValues" dxfId="455" priority="528"/>
    <cfRule type="duplicateValues" dxfId="454" priority="527"/>
  </conditionalFormatting>
  <conditionalFormatting sqref="L486">
    <cfRule type="duplicateValues" dxfId="453" priority="525"/>
    <cfRule type="duplicateValues" dxfId="452" priority="526"/>
  </conditionalFormatting>
  <conditionalFormatting sqref="L487">
    <cfRule type="duplicateValues" dxfId="451" priority="542"/>
    <cfRule type="duplicateValues" dxfId="450" priority="541"/>
  </conditionalFormatting>
  <conditionalFormatting sqref="L488">
    <cfRule type="duplicateValues" dxfId="449" priority="539"/>
    <cfRule type="duplicateValues" dxfId="448" priority="540"/>
  </conditionalFormatting>
  <conditionalFormatting sqref="L489">
    <cfRule type="duplicateValues" dxfId="447" priority="537"/>
    <cfRule type="duplicateValues" dxfId="446" priority="538"/>
  </conditionalFormatting>
  <conditionalFormatting sqref="L490">
    <cfRule type="duplicateValues" dxfId="445" priority="535"/>
    <cfRule type="duplicateValues" dxfId="444" priority="536"/>
  </conditionalFormatting>
  <conditionalFormatting sqref="L491">
    <cfRule type="duplicateValues" dxfId="443" priority="546"/>
    <cfRule type="duplicateValues" dxfId="442" priority="545"/>
  </conditionalFormatting>
  <conditionalFormatting sqref="L492">
    <cfRule type="duplicateValues" dxfId="441" priority="543"/>
    <cfRule type="duplicateValues" dxfId="440" priority="544"/>
  </conditionalFormatting>
  <conditionalFormatting sqref="L493">
    <cfRule type="duplicateValues" dxfId="439" priority="556"/>
    <cfRule type="duplicateValues" dxfId="438" priority="555"/>
  </conditionalFormatting>
  <conditionalFormatting sqref="L494">
    <cfRule type="duplicateValues" dxfId="437" priority="553"/>
    <cfRule type="duplicateValues" dxfId="436" priority="554"/>
  </conditionalFormatting>
  <conditionalFormatting sqref="L495">
    <cfRule type="duplicateValues" dxfId="435" priority="489"/>
    <cfRule type="duplicateValues" dxfId="434" priority="490"/>
  </conditionalFormatting>
  <conditionalFormatting sqref="L496">
    <cfRule type="duplicateValues" dxfId="433" priority="487"/>
    <cfRule type="duplicateValues" dxfId="432" priority="488"/>
  </conditionalFormatting>
  <conditionalFormatting sqref="L497">
    <cfRule type="duplicateValues" dxfId="431" priority="486"/>
    <cfRule type="duplicateValues" dxfId="430" priority="485"/>
  </conditionalFormatting>
  <conditionalFormatting sqref="L498">
    <cfRule type="duplicateValues" dxfId="429" priority="480"/>
    <cfRule type="duplicateValues" dxfId="428" priority="479"/>
  </conditionalFormatting>
  <conditionalFormatting sqref="L499">
    <cfRule type="duplicateValues" dxfId="427" priority="502"/>
    <cfRule type="duplicateValues" dxfId="426" priority="501"/>
  </conditionalFormatting>
  <conditionalFormatting sqref="L500">
    <cfRule type="duplicateValues" dxfId="425" priority="499"/>
    <cfRule type="duplicateValues" dxfId="424" priority="500"/>
  </conditionalFormatting>
  <conditionalFormatting sqref="L501">
    <cfRule type="duplicateValues" dxfId="423" priority="484"/>
    <cfRule type="duplicateValues" dxfId="422" priority="483"/>
  </conditionalFormatting>
  <conditionalFormatting sqref="L502">
    <cfRule type="duplicateValues" dxfId="421" priority="482"/>
    <cfRule type="duplicateValues" dxfId="420" priority="481"/>
  </conditionalFormatting>
  <conditionalFormatting sqref="L503">
    <cfRule type="duplicateValues" dxfId="419" priority="495"/>
    <cfRule type="duplicateValues" dxfId="418" priority="496"/>
  </conditionalFormatting>
  <conditionalFormatting sqref="L504">
    <cfRule type="duplicateValues" dxfId="417" priority="494"/>
    <cfRule type="duplicateValues" dxfId="416" priority="493"/>
  </conditionalFormatting>
  <conditionalFormatting sqref="L505">
    <cfRule type="duplicateValues" dxfId="415" priority="492"/>
    <cfRule type="duplicateValues" dxfId="414" priority="491"/>
  </conditionalFormatting>
  <conditionalFormatting sqref="L506">
    <cfRule type="duplicateValues" dxfId="413" priority="476"/>
    <cfRule type="duplicateValues" dxfId="412" priority="475"/>
  </conditionalFormatting>
  <conditionalFormatting sqref="L507">
    <cfRule type="duplicateValues" dxfId="411" priority="497"/>
    <cfRule type="duplicateValues" dxfId="410" priority="498"/>
  </conditionalFormatting>
  <conditionalFormatting sqref="L508">
    <cfRule type="duplicateValues" dxfId="409" priority="474"/>
    <cfRule type="duplicateValues" dxfId="408" priority="473"/>
  </conditionalFormatting>
  <conditionalFormatting sqref="L509">
    <cfRule type="duplicateValues" dxfId="407" priority="472"/>
    <cfRule type="duplicateValues" dxfId="406" priority="471"/>
  </conditionalFormatting>
  <conditionalFormatting sqref="L510">
    <cfRule type="duplicateValues" dxfId="405" priority="470"/>
    <cfRule type="duplicateValues" dxfId="404" priority="469"/>
  </conditionalFormatting>
  <conditionalFormatting sqref="L511">
    <cfRule type="duplicateValues" dxfId="403" priority="511"/>
    <cfRule type="duplicateValues" dxfId="402" priority="512"/>
  </conditionalFormatting>
  <conditionalFormatting sqref="L512">
    <cfRule type="duplicateValues" dxfId="401" priority="468"/>
    <cfRule type="duplicateValues" dxfId="400" priority="467"/>
  </conditionalFormatting>
  <conditionalFormatting sqref="L513">
    <cfRule type="duplicateValues" dxfId="399" priority="507"/>
    <cfRule type="duplicateValues" dxfId="398" priority="508"/>
  </conditionalFormatting>
  <conditionalFormatting sqref="L514:L516">
    <cfRule type="duplicateValues" dxfId="397" priority="504"/>
    <cfRule type="duplicateValues" dxfId="396" priority="503"/>
  </conditionalFormatting>
  <conditionalFormatting sqref="L517">
    <cfRule type="duplicateValues" dxfId="395" priority="505"/>
    <cfRule type="duplicateValues" dxfId="394" priority="506"/>
  </conditionalFormatting>
  <conditionalFormatting sqref="L518">
    <cfRule type="duplicateValues" dxfId="393" priority="523"/>
    <cfRule type="duplicateValues" dxfId="392" priority="524"/>
  </conditionalFormatting>
  <conditionalFormatting sqref="L519">
    <cfRule type="duplicateValues" dxfId="391" priority="515"/>
    <cfRule type="duplicateValues" dxfId="390" priority="516"/>
  </conditionalFormatting>
  <conditionalFormatting sqref="L520">
    <cfRule type="duplicateValues" dxfId="389" priority="521"/>
    <cfRule type="duplicateValues" dxfId="388" priority="522"/>
  </conditionalFormatting>
  <conditionalFormatting sqref="L521">
    <cfRule type="duplicateValues" dxfId="387" priority="520"/>
    <cfRule type="duplicateValues" dxfId="386" priority="519"/>
  </conditionalFormatting>
  <conditionalFormatting sqref="L522">
    <cfRule type="duplicateValues" dxfId="385" priority="509"/>
    <cfRule type="duplicateValues" dxfId="384" priority="510"/>
  </conditionalFormatting>
  <conditionalFormatting sqref="L523">
    <cfRule type="duplicateValues" dxfId="383" priority="514"/>
    <cfRule type="duplicateValues" dxfId="382" priority="513"/>
  </conditionalFormatting>
  <conditionalFormatting sqref="L524">
    <cfRule type="duplicateValues" dxfId="381" priority="517"/>
    <cfRule type="duplicateValues" dxfId="380" priority="518"/>
  </conditionalFormatting>
  <conditionalFormatting sqref="L525">
    <cfRule type="duplicateValues" dxfId="379" priority="411"/>
    <cfRule type="duplicateValues" dxfId="378" priority="410"/>
  </conditionalFormatting>
  <conditionalFormatting sqref="L526">
    <cfRule type="duplicateValues" dxfId="377" priority="392"/>
    <cfRule type="duplicateValues" dxfId="376" priority="393"/>
  </conditionalFormatting>
  <conditionalFormatting sqref="L527">
    <cfRule type="duplicateValues" dxfId="375" priority="401"/>
    <cfRule type="duplicateValues" dxfId="374" priority="400"/>
  </conditionalFormatting>
  <conditionalFormatting sqref="L528">
    <cfRule type="duplicateValues" dxfId="373" priority="395"/>
    <cfRule type="duplicateValues" dxfId="372" priority="394"/>
  </conditionalFormatting>
  <conditionalFormatting sqref="L529">
    <cfRule type="duplicateValues" dxfId="371" priority="398"/>
    <cfRule type="duplicateValues" dxfId="370" priority="399"/>
  </conditionalFormatting>
  <conditionalFormatting sqref="L530">
    <cfRule type="duplicateValues" dxfId="369" priority="397"/>
    <cfRule type="duplicateValues" dxfId="368" priority="396"/>
  </conditionalFormatting>
  <conditionalFormatting sqref="L531">
    <cfRule type="duplicateValues" dxfId="367" priority="405"/>
    <cfRule type="duplicateValues" dxfId="366" priority="404"/>
  </conditionalFormatting>
  <conditionalFormatting sqref="L532">
    <cfRule type="duplicateValues" dxfId="365" priority="403"/>
    <cfRule type="duplicateValues" dxfId="364" priority="402"/>
  </conditionalFormatting>
  <conditionalFormatting sqref="L533">
    <cfRule type="duplicateValues" dxfId="363" priority="406"/>
    <cfRule type="duplicateValues" dxfId="362" priority="407"/>
  </conditionalFormatting>
  <conditionalFormatting sqref="L534">
    <cfRule type="duplicateValues" dxfId="361" priority="409"/>
    <cfRule type="duplicateValues" dxfId="360" priority="408"/>
  </conditionalFormatting>
  <conditionalFormatting sqref="L535">
    <cfRule type="duplicateValues" dxfId="359" priority="421"/>
    <cfRule type="duplicateValues" dxfId="358" priority="420"/>
  </conditionalFormatting>
  <conditionalFormatting sqref="L536">
    <cfRule type="duplicateValues" dxfId="357" priority="419"/>
    <cfRule type="duplicateValues" dxfId="356" priority="418"/>
  </conditionalFormatting>
  <conditionalFormatting sqref="L537">
    <cfRule type="duplicateValues" dxfId="355" priority="423"/>
    <cfRule type="duplicateValues" dxfId="354" priority="422"/>
  </conditionalFormatting>
  <conditionalFormatting sqref="L538">
    <cfRule type="duplicateValues" dxfId="353" priority="416"/>
    <cfRule type="duplicateValues" dxfId="352" priority="417"/>
  </conditionalFormatting>
  <conditionalFormatting sqref="L539">
    <cfRule type="duplicateValues" dxfId="351" priority="415"/>
    <cfRule type="duplicateValues" dxfId="350" priority="414"/>
  </conditionalFormatting>
  <conditionalFormatting sqref="L540">
    <cfRule type="duplicateValues" dxfId="349" priority="413"/>
    <cfRule type="duplicateValues" dxfId="348" priority="412"/>
  </conditionalFormatting>
  <conditionalFormatting sqref="L541">
    <cfRule type="duplicateValues" dxfId="347" priority="390"/>
    <cfRule type="duplicateValues" dxfId="346" priority="389"/>
  </conditionalFormatting>
  <conditionalFormatting sqref="L542">
    <cfRule type="duplicateValues" dxfId="345" priority="387"/>
    <cfRule type="duplicateValues" dxfId="344" priority="388"/>
  </conditionalFormatting>
  <conditionalFormatting sqref="L543">
    <cfRule type="duplicateValues" dxfId="343" priority="428"/>
    <cfRule type="duplicateValues" dxfId="342" priority="429"/>
  </conditionalFormatting>
  <conditionalFormatting sqref="L544:L546">
    <cfRule type="duplicateValues" dxfId="341" priority="425"/>
    <cfRule type="duplicateValues" dxfId="340" priority="424"/>
  </conditionalFormatting>
  <conditionalFormatting sqref="L547">
    <cfRule type="duplicateValues" dxfId="339" priority="427"/>
    <cfRule type="duplicateValues" dxfId="338" priority="426"/>
  </conditionalFormatting>
  <conditionalFormatting sqref="L548">
    <cfRule type="duplicateValues" dxfId="337" priority="459"/>
    <cfRule type="duplicateValues" dxfId="336" priority="458"/>
  </conditionalFormatting>
  <conditionalFormatting sqref="L549">
    <cfRule type="duplicateValues" dxfId="335" priority="449"/>
    <cfRule type="duplicateValues" dxfId="334" priority="448"/>
  </conditionalFormatting>
  <conditionalFormatting sqref="L550">
    <cfRule type="duplicateValues" dxfId="333" priority="1767"/>
    <cfRule type="duplicateValues" dxfId="332" priority="1768"/>
  </conditionalFormatting>
  <conditionalFormatting sqref="L551">
    <cfRule type="duplicateValues" dxfId="331" priority="455"/>
    <cfRule type="duplicateValues" dxfId="330" priority="454"/>
  </conditionalFormatting>
  <conditionalFormatting sqref="L552">
    <cfRule type="duplicateValues" dxfId="329" priority="436"/>
    <cfRule type="duplicateValues" dxfId="328" priority="437"/>
  </conditionalFormatting>
  <conditionalFormatting sqref="L553">
    <cfRule type="duplicateValues" dxfId="327" priority="447"/>
    <cfRule type="duplicateValues" dxfId="326" priority="446"/>
  </conditionalFormatting>
  <conditionalFormatting sqref="L554">
    <cfRule type="duplicateValues" dxfId="325" priority="450"/>
    <cfRule type="duplicateValues" dxfId="324" priority="451"/>
  </conditionalFormatting>
  <conditionalFormatting sqref="L555">
    <cfRule type="duplicateValues" dxfId="323" priority="444"/>
    <cfRule type="duplicateValues" dxfId="322" priority="445"/>
  </conditionalFormatting>
  <conditionalFormatting sqref="L556">
    <cfRule type="duplicateValues" dxfId="321" priority="453"/>
    <cfRule type="duplicateValues" dxfId="320" priority="452"/>
  </conditionalFormatting>
  <conditionalFormatting sqref="L558">
    <cfRule type="duplicateValues" dxfId="319" priority="433"/>
    <cfRule type="duplicateValues" dxfId="318" priority="432"/>
  </conditionalFormatting>
  <conditionalFormatting sqref="L559">
    <cfRule type="duplicateValues" dxfId="317" priority="430"/>
    <cfRule type="duplicateValues" dxfId="316" priority="431"/>
  </conditionalFormatting>
  <conditionalFormatting sqref="L560">
    <cfRule type="duplicateValues" dxfId="315" priority="434"/>
    <cfRule type="duplicateValues" dxfId="314" priority="435"/>
  </conditionalFormatting>
  <conditionalFormatting sqref="L561:L562">
    <cfRule type="duplicateValues" dxfId="313" priority="443"/>
    <cfRule type="duplicateValues" dxfId="312" priority="442"/>
  </conditionalFormatting>
  <conditionalFormatting sqref="L563">
    <cfRule type="duplicateValues" dxfId="311" priority="462"/>
    <cfRule type="duplicateValues" dxfId="310" priority="461"/>
  </conditionalFormatting>
  <conditionalFormatting sqref="L564">
    <cfRule type="duplicateValues" dxfId="309" priority="441"/>
    <cfRule type="duplicateValues" dxfId="308" priority="440"/>
  </conditionalFormatting>
  <conditionalFormatting sqref="L565">
    <cfRule type="duplicateValues" dxfId="307" priority="438"/>
    <cfRule type="duplicateValues" dxfId="306" priority="439"/>
  </conditionalFormatting>
  <conditionalFormatting sqref="L566:L572 L557 L574">
    <cfRule type="duplicateValues" dxfId="305" priority="463"/>
    <cfRule type="duplicateValues" dxfId="304" priority="464"/>
  </conditionalFormatting>
  <conditionalFormatting sqref="L573">
    <cfRule type="duplicateValues" dxfId="303" priority="385"/>
    <cfRule type="duplicateValues" dxfId="302" priority="386"/>
  </conditionalFormatting>
  <conditionalFormatting sqref="L575">
    <cfRule type="duplicateValues" dxfId="301" priority="349"/>
    <cfRule type="duplicateValues" dxfId="300" priority="350"/>
  </conditionalFormatting>
  <conditionalFormatting sqref="L576">
    <cfRule type="duplicateValues" dxfId="299" priority="334"/>
    <cfRule type="duplicateValues" dxfId="298" priority="333"/>
  </conditionalFormatting>
  <conditionalFormatting sqref="L577">
    <cfRule type="duplicateValues" dxfId="297" priority="327"/>
    <cfRule type="duplicateValues" dxfId="296" priority="328"/>
  </conditionalFormatting>
  <conditionalFormatting sqref="L578">
    <cfRule type="duplicateValues" dxfId="295" priority="336"/>
    <cfRule type="duplicateValues" dxfId="294" priority="335"/>
  </conditionalFormatting>
  <conditionalFormatting sqref="L579">
    <cfRule type="duplicateValues" dxfId="293" priority="340"/>
    <cfRule type="duplicateValues" dxfId="292" priority="339"/>
  </conditionalFormatting>
  <conditionalFormatting sqref="L580">
    <cfRule type="duplicateValues" dxfId="291" priority="337"/>
    <cfRule type="duplicateValues" dxfId="290" priority="338"/>
  </conditionalFormatting>
  <conditionalFormatting sqref="L581">
    <cfRule type="duplicateValues" dxfId="289" priority="344"/>
    <cfRule type="duplicateValues" dxfId="288" priority="343"/>
  </conditionalFormatting>
  <conditionalFormatting sqref="L582">
    <cfRule type="duplicateValues" dxfId="287" priority="341"/>
    <cfRule type="duplicateValues" dxfId="286" priority="342"/>
  </conditionalFormatting>
  <conditionalFormatting sqref="L583">
    <cfRule type="duplicateValues" dxfId="285" priority="345"/>
    <cfRule type="duplicateValues" dxfId="284" priority="346"/>
  </conditionalFormatting>
  <conditionalFormatting sqref="L584">
    <cfRule type="duplicateValues" dxfId="283" priority="347"/>
    <cfRule type="duplicateValues" dxfId="282" priority="348"/>
  </conditionalFormatting>
  <conditionalFormatting sqref="L585">
    <cfRule type="duplicateValues" dxfId="281" priority="356"/>
    <cfRule type="duplicateValues" dxfId="280" priority="355"/>
  </conditionalFormatting>
  <conditionalFormatting sqref="L586">
    <cfRule type="duplicateValues" dxfId="279" priority="325"/>
    <cfRule type="duplicateValues" dxfId="278" priority="326"/>
  </conditionalFormatting>
  <conditionalFormatting sqref="L587">
    <cfRule type="duplicateValues" dxfId="277" priority="358"/>
    <cfRule type="duplicateValues" dxfId="276" priority="357"/>
  </conditionalFormatting>
  <conditionalFormatting sqref="L588">
    <cfRule type="duplicateValues" dxfId="275" priority="354"/>
    <cfRule type="duplicateValues" dxfId="274" priority="353"/>
  </conditionalFormatting>
  <conditionalFormatting sqref="L589">
    <cfRule type="duplicateValues" dxfId="273" priority="352"/>
    <cfRule type="duplicateValues" dxfId="272" priority="351"/>
  </conditionalFormatting>
  <conditionalFormatting sqref="L590">
    <cfRule type="duplicateValues" dxfId="271" priority="323"/>
    <cfRule type="duplicateValues" dxfId="270" priority="324"/>
  </conditionalFormatting>
  <conditionalFormatting sqref="L591">
    <cfRule type="duplicateValues" dxfId="269" priority="321"/>
    <cfRule type="duplicateValues" dxfId="268" priority="322"/>
  </conditionalFormatting>
  <conditionalFormatting sqref="L592">
    <cfRule type="duplicateValues" dxfId="267" priority="332"/>
    <cfRule type="duplicateValues" dxfId="266" priority="331"/>
  </conditionalFormatting>
  <conditionalFormatting sqref="L593">
    <cfRule type="duplicateValues" dxfId="265" priority="361"/>
    <cfRule type="duplicateValues" dxfId="264" priority="362"/>
  </conditionalFormatting>
  <conditionalFormatting sqref="L594">
    <cfRule type="duplicateValues" dxfId="263" priority="360"/>
    <cfRule type="duplicateValues" dxfId="262" priority="359"/>
  </conditionalFormatting>
  <conditionalFormatting sqref="L595">
    <cfRule type="duplicateValues" dxfId="261" priority="320"/>
    <cfRule type="duplicateValues" dxfId="260" priority="319"/>
  </conditionalFormatting>
  <conditionalFormatting sqref="L596">
    <cfRule type="duplicateValues" dxfId="259" priority="317"/>
    <cfRule type="duplicateValues" dxfId="258" priority="318"/>
  </conditionalFormatting>
  <conditionalFormatting sqref="L597">
    <cfRule type="duplicateValues" dxfId="257" priority="315"/>
    <cfRule type="duplicateValues" dxfId="256" priority="316"/>
  </conditionalFormatting>
  <conditionalFormatting sqref="L598">
    <cfRule type="duplicateValues" dxfId="255" priority="314"/>
    <cfRule type="duplicateValues" dxfId="254" priority="313"/>
  </conditionalFormatting>
  <conditionalFormatting sqref="L599">
    <cfRule type="duplicateValues" dxfId="253" priority="312"/>
    <cfRule type="duplicateValues" dxfId="252" priority="311"/>
  </conditionalFormatting>
  <conditionalFormatting sqref="L600">
    <cfRule type="duplicateValues" dxfId="251" priority="380"/>
    <cfRule type="duplicateValues" dxfId="250" priority="379"/>
  </conditionalFormatting>
  <conditionalFormatting sqref="L601">
    <cfRule type="duplicateValues" dxfId="249" priority="309"/>
    <cfRule type="duplicateValues" dxfId="248" priority="310"/>
  </conditionalFormatting>
  <conditionalFormatting sqref="L602">
    <cfRule type="duplicateValues" dxfId="247" priority="308"/>
    <cfRule type="duplicateValues" dxfId="246" priority="307"/>
  </conditionalFormatting>
  <conditionalFormatting sqref="L603">
    <cfRule type="duplicateValues" dxfId="245" priority="306"/>
    <cfRule type="duplicateValues" dxfId="244" priority="305"/>
  </conditionalFormatting>
  <conditionalFormatting sqref="L604">
    <cfRule type="duplicateValues" dxfId="243" priority="376"/>
    <cfRule type="duplicateValues" dxfId="242" priority="375"/>
  </conditionalFormatting>
  <conditionalFormatting sqref="L605">
    <cfRule type="duplicateValues" dxfId="241" priority="373"/>
    <cfRule type="duplicateValues" dxfId="240" priority="374"/>
  </conditionalFormatting>
  <conditionalFormatting sqref="L606">
    <cfRule type="duplicateValues" dxfId="239" priority="377"/>
    <cfRule type="duplicateValues" dxfId="238" priority="378"/>
  </conditionalFormatting>
  <conditionalFormatting sqref="L608">
    <cfRule type="duplicateValues" dxfId="237" priority="366"/>
    <cfRule type="duplicateValues" dxfId="236" priority="365"/>
  </conditionalFormatting>
  <conditionalFormatting sqref="L609">
    <cfRule type="duplicateValues" dxfId="235" priority="363"/>
    <cfRule type="duplicateValues" dxfId="234" priority="364"/>
  </conditionalFormatting>
  <conditionalFormatting sqref="L610">
    <cfRule type="duplicateValues" dxfId="233" priority="304"/>
    <cfRule type="duplicateValues" dxfId="232" priority="303"/>
  </conditionalFormatting>
  <conditionalFormatting sqref="L611:L612">
    <cfRule type="duplicateValues" dxfId="231" priority="371"/>
    <cfRule type="duplicateValues" dxfId="230" priority="372"/>
  </conditionalFormatting>
  <conditionalFormatting sqref="L613">
    <cfRule type="duplicateValues" dxfId="229" priority="381"/>
    <cfRule type="duplicateValues" dxfId="228" priority="382"/>
  </conditionalFormatting>
  <conditionalFormatting sqref="L614">
    <cfRule type="duplicateValues" dxfId="227" priority="369"/>
    <cfRule type="duplicateValues" dxfId="226" priority="370"/>
  </conditionalFormatting>
  <conditionalFormatting sqref="L615">
    <cfRule type="duplicateValues" dxfId="225" priority="367"/>
    <cfRule type="duplicateValues" dxfId="224" priority="368"/>
  </conditionalFormatting>
  <conditionalFormatting sqref="L616:L622 L607 L624:L629">
    <cfRule type="duplicateValues" dxfId="223" priority="383"/>
    <cfRule type="duplicateValues" dxfId="222" priority="384"/>
  </conditionalFormatting>
  <conditionalFormatting sqref="L623">
    <cfRule type="duplicateValues" dxfId="221" priority="330"/>
    <cfRule type="duplicateValues" dxfId="220" priority="329"/>
  </conditionalFormatting>
  <conditionalFormatting sqref="L630">
    <cfRule type="duplicateValues" dxfId="219" priority="265"/>
    <cfRule type="duplicateValues" dxfId="218" priority="266"/>
  </conditionalFormatting>
  <conditionalFormatting sqref="L631">
    <cfRule type="duplicateValues" dxfId="217" priority="254"/>
    <cfRule type="duplicateValues" dxfId="216" priority="253"/>
  </conditionalFormatting>
  <conditionalFormatting sqref="L632">
    <cfRule type="duplicateValues" dxfId="215" priority="248"/>
    <cfRule type="duplicateValues" dxfId="214" priority="247"/>
  </conditionalFormatting>
  <conditionalFormatting sqref="L633">
    <cfRule type="duplicateValues" dxfId="213" priority="255"/>
    <cfRule type="duplicateValues" dxfId="212" priority="256"/>
  </conditionalFormatting>
  <conditionalFormatting sqref="L634">
    <cfRule type="duplicateValues" dxfId="211" priority="259"/>
    <cfRule type="duplicateValues" dxfId="210" priority="260"/>
  </conditionalFormatting>
  <conditionalFormatting sqref="L635">
    <cfRule type="duplicateValues" dxfId="209" priority="257"/>
    <cfRule type="duplicateValues" dxfId="208" priority="258"/>
  </conditionalFormatting>
  <conditionalFormatting sqref="L636">
    <cfRule type="duplicateValues" dxfId="207" priority="263"/>
    <cfRule type="duplicateValues" dxfId="206" priority="264"/>
  </conditionalFormatting>
  <conditionalFormatting sqref="L637">
    <cfRule type="duplicateValues" dxfId="205" priority="261"/>
    <cfRule type="duplicateValues" dxfId="204" priority="262"/>
  </conditionalFormatting>
  <conditionalFormatting sqref="L638">
    <cfRule type="duplicateValues" dxfId="203" priority="221"/>
    <cfRule type="duplicateValues" dxfId="202" priority="222"/>
  </conditionalFormatting>
  <conditionalFormatting sqref="L639">
    <cfRule type="duplicateValues" dxfId="201" priority="220"/>
    <cfRule type="duplicateValues" dxfId="200" priority="219"/>
  </conditionalFormatting>
  <conditionalFormatting sqref="L640">
    <cfRule type="duplicateValues" dxfId="199" priority="271"/>
    <cfRule type="duplicateValues" dxfId="198" priority="272"/>
  </conditionalFormatting>
  <conditionalFormatting sqref="L641">
    <cfRule type="duplicateValues" dxfId="197" priority="245"/>
    <cfRule type="duplicateValues" dxfId="196" priority="246"/>
  </conditionalFormatting>
  <conditionalFormatting sqref="L642">
    <cfRule type="duplicateValues" dxfId="195" priority="273"/>
    <cfRule type="duplicateValues" dxfId="194" priority="274"/>
  </conditionalFormatting>
  <conditionalFormatting sqref="L643">
    <cfRule type="duplicateValues" dxfId="193" priority="269"/>
    <cfRule type="duplicateValues" dxfId="192" priority="270"/>
  </conditionalFormatting>
  <conditionalFormatting sqref="L644">
    <cfRule type="duplicateValues" dxfId="191" priority="267"/>
    <cfRule type="duplicateValues" dxfId="190" priority="268"/>
  </conditionalFormatting>
  <conditionalFormatting sqref="L645">
    <cfRule type="duplicateValues" dxfId="189" priority="244"/>
    <cfRule type="duplicateValues" dxfId="188" priority="243"/>
  </conditionalFormatting>
  <conditionalFormatting sqref="L646">
    <cfRule type="duplicateValues" dxfId="187" priority="210"/>
    <cfRule type="duplicateValues" dxfId="186" priority="211"/>
  </conditionalFormatting>
  <conditionalFormatting sqref="L647">
    <cfRule type="duplicateValues" dxfId="185" priority="252"/>
    <cfRule type="duplicateValues" dxfId="184" priority="251"/>
  </conditionalFormatting>
  <conditionalFormatting sqref="L648">
    <cfRule type="duplicateValues" dxfId="183" priority="277"/>
    <cfRule type="duplicateValues" dxfId="182" priority="278"/>
  </conditionalFormatting>
  <conditionalFormatting sqref="L649">
    <cfRule type="duplicateValues" dxfId="181" priority="275"/>
    <cfRule type="duplicateValues" dxfId="180" priority="276"/>
  </conditionalFormatting>
  <conditionalFormatting sqref="L650">
    <cfRule type="duplicateValues" dxfId="179" priority="241"/>
    <cfRule type="duplicateValues" dxfId="178" priority="242"/>
  </conditionalFormatting>
  <conditionalFormatting sqref="L651">
    <cfRule type="duplicateValues" dxfId="177" priority="239"/>
    <cfRule type="duplicateValues" dxfId="176" priority="240"/>
  </conditionalFormatting>
  <conditionalFormatting sqref="L652">
    <cfRule type="duplicateValues" dxfId="175" priority="237"/>
    <cfRule type="duplicateValues" dxfId="174" priority="238"/>
  </conditionalFormatting>
  <conditionalFormatting sqref="L653">
    <cfRule type="duplicateValues" dxfId="173" priority="235"/>
    <cfRule type="duplicateValues" dxfId="172" priority="236"/>
  </conditionalFormatting>
  <conditionalFormatting sqref="L654">
    <cfRule type="duplicateValues" dxfId="171" priority="234"/>
    <cfRule type="duplicateValues" dxfId="170" priority="233"/>
  </conditionalFormatting>
  <conditionalFormatting sqref="L655">
    <cfRule type="duplicateValues" dxfId="169" priority="295"/>
    <cfRule type="duplicateValues" dxfId="168" priority="296"/>
  </conditionalFormatting>
  <conditionalFormatting sqref="L656">
    <cfRule type="duplicateValues" dxfId="167" priority="232"/>
    <cfRule type="duplicateValues" dxfId="166" priority="231"/>
  </conditionalFormatting>
  <conditionalFormatting sqref="L657">
    <cfRule type="duplicateValues" dxfId="165" priority="229"/>
    <cfRule type="duplicateValues" dxfId="164" priority="230"/>
  </conditionalFormatting>
  <conditionalFormatting sqref="L658">
    <cfRule type="duplicateValues" dxfId="163" priority="228"/>
    <cfRule type="duplicateValues" dxfId="162" priority="227"/>
  </conditionalFormatting>
  <conditionalFormatting sqref="L659">
    <cfRule type="duplicateValues" dxfId="161" priority="292"/>
    <cfRule type="duplicateValues" dxfId="160" priority="291"/>
  </conditionalFormatting>
  <conditionalFormatting sqref="L660">
    <cfRule type="duplicateValues" dxfId="159" priority="289"/>
    <cfRule type="duplicateValues" dxfId="158" priority="290"/>
  </conditionalFormatting>
  <conditionalFormatting sqref="L661">
    <cfRule type="duplicateValues" dxfId="157" priority="294"/>
    <cfRule type="duplicateValues" dxfId="156" priority="293"/>
  </conditionalFormatting>
  <conditionalFormatting sqref="L663">
    <cfRule type="duplicateValues" dxfId="155" priority="281"/>
    <cfRule type="duplicateValues" dxfId="154" priority="282"/>
  </conditionalFormatting>
  <conditionalFormatting sqref="L664">
    <cfRule type="duplicateValues" dxfId="153" priority="279"/>
    <cfRule type="duplicateValues" dxfId="152" priority="280"/>
  </conditionalFormatting>
  <conditionalFormatting sqref="L665">
    <cfRule type="duplicateValues" dxfId="151" priority="225"/>
    <cfRule type="duplicateValues" dxfId="150" priority="226"/>
  </conditionalFormatting>
  <conditionalFormatting sqref="L666:L667">
    <cfRule type="duplicateValues" dxfId="149" priority="287"/>
    <cfRule type="duplicateValues" dxfId="148" priority="288"/>
  </conditionalFormatting>
  <conditionalFormatting sqref="L668">
    <cfRule type="duplicateValues" dxfId="147" priority="298"/>
    <cfRule type="duplicateValues" dxfId="146" priority="297"/>
  </conditionalFormatting>
  <conditionalFormatting sqref="L669">
    <cfRule type="duplicateValues" dxfId="145" priority="285"/>
    <cfRule type="duplicateValues" dxfId="144" priority="286"/>
  </conditionalFormatting>
  <conditionalFormatting sqref="L670">
    <cfRule type="duplicateValues" dxfId="143" priority="284"/>
    <cfRule type="duplicateValues" dxfId="142" priority="283"/>
  </conditionalFormatting>
  <conditionalFormatting sqref="L671:L673 L675:L677 L662 L679:L684 L686">
    <cfRule type="duplicateValues" dxfId="141" priority="299"/>
    <cfRule type="duplicateValues" dxfId="140" priority="300"/>
  </conditionalFormatting>
  <conditionalFormatting sqref="L674">
    <cfRule type="duplicateValues" dxfId="139" priority="185"/>
    <cfRule type="duplicateValues" dxfId="138" priority="186"/>
  </conditionalFormatting>
  <conditionalFormatting sqref="L678">
    <cfRule type="duplicateValues" dxfId="137" priority="249"/>
    <cfRule type="duplicateValues" dxfId="136" priority="250"/>
  </conditionalFormatting>
  <conditionalFormatting sqref="L689">
    <cfRule type="duplicateValues" dxfId="135" priority="145"/>
    <cfRule type="duplicateValues" dxfId="134" priority="144"/>
  </conditionalFormatting>
  <conditionalFormatting sqref="L690">
    <cfRule type="duplicateValues" dxfId="133" priority="132"/>
    <cfRule type="duplicateValues" dxfId="132" priority="133"/>
  </conditionalFormatting>
  <conditionalFormatting sqref="L691">
    <cfRule type="duplicateValues" dxfId="131" priority="126"/>
    <cfRule type="duplicateValues" dxfId="130" priority="127"/>
  </conditionalFormatting>
  <conditionalFormatting sqref="L692">
    <cfRule type="duplicateValues" dxfId="129" priority="134"/>
    <cfRule type="duplicateValues" dxfId="128" priority="135"/>
  </conditionalFormatting>
  <conditionalFormatting sqref="L693">
    <cfRule type="duplicateValues" dxfId="127" priority="139"/>
    <cfRule type="duplicateValues" dxfId="126" priority="138"/>
  </conditionalFormatting>
  <conditionalFormatting sqref="L694">
    <cfRule type="duplicateValues" dxfId="125" priority="137"/>
    <cfRule type="duplicateValues" dxfId="124" priority="136"/>
  </conditionalFormatting>
  <conditionalFormatting sqref="L695">
    <cfRule type="duplicateValues" dxfId="123" priority="143"/>
    <cfRule type="duplicateValues" dxfId="122" priority="142"/>
  </conditionalFormatting>
  <conditionalFormatting sqref="L696">
    <cfRule type="duplicateValues" dxfId="121" priority="141"/>
    <cfRule type="duplicateValues" dxfId="120" priority="140"/>
  </conditionalFormatting>
  <conditionalFormatting sqref="L697">
    <cfRule type="duplicateValues" dxfId="119" priority="105"/>
    <cfRule type="duplicateValues" dxfId="118" priority="104"/>
  </conditionalFormatting>
  <conditionalFormatting sqref="L698">
    <cfRule type="duplicateValues" dxfId="117" priority="102"/>
    <cfRule type="duplicateValues" dxfId="116" priority="103"/>
  </conditionalFormatting>
  <conditionalFormatting sqref="L699">
    <cfRule type="duplicateValues" dxfId="115" priority="151"/>
    <cfRule type="duplicateValues" dxfId="114" priority="150"/>
  </conditionalFormatting>
  <conditionalFormatting sqref="L700">
    <cfRule type="duplicateValues" dxfId="113" priority="125"/>
    <cfRule type="duplicateValues" dxfId="112" priority="124"/>
  </conditionalFormatting>
  <conditionalFormatting sqref="L701">
    <cfRule type="duplicateValues" dxfId="111" priority="96"/>
    <cfRule type="duplicateValues" dxfId="110" priority="95"/>
  </conditionalFormatting>
  <conditionalFormatting sqref="L702">
    <cfRule type="duplicateValues" dxfId="109" priority="149"/>
    <cfRule type="duplicateValues" dxfId="108" priority="148"/>
  </conditionalFormatting>
  <conditionalFormatting sqref="L703">
    <cfRule type="duplicateValues" dxfId="107" priority="147"/>
    <cfRule type="duplicateValues" dxfId="106" priority="146"/>
  </conditionalFormatting>
  <conditionalFormatting sqref="L704">
    <cfRule type="duplicateValues" dxfId="105" priority="123"/>
    <cfRule type="duplicateValues" dxfId="104" priority="122"/>
  </conditionalFormatting>
  <conditionalFormatting sqref="L705">
    <cfRule type="duplicateValues" dxfId="103" priority="101"/>
    <cfRule type="duplicateValues" dxfId="102" priority="100"/>
  </conditionalFormatting>
  <conditionalFormatting sqref="L706">
    <cfRule type="duplicateValues" dxfId="101" priority="131"/>
    <cfRule type="duplicateValues" dxfId="100" priority="130"/>
  </conditionalFormatting>
  <conditionalFormatting sqref="L707">
    <cfRule type="duplicateValues" dxfId="99" priority="155"/>
    <cfRule type="duplicateValues" dxfId="98" priority="154"/>
  </conditionalFormatting>
  <conditionalFormatting sqref="L708:L709">
    <cfRule type="duplicateValues" dxfId="97" priority="152"/>
    <cfRule type="duplicateValues" dxfId="96" priority="153"/>
  </conditionalFormatting>
  <conditionalFormatting sqref="L710">
    <cfRule type="duplicateValues" dxfId="95" priority="120"/>
    <cfRule type="duplicateValues" dxfId="94" priority="121"/>
  </conditionalFormatting>
  <conditionalFormatting sqref="L711">
    <cfRule type="duplicateValues" dxfId="93" priority="119"/>
    <cfRule type="duplicateValues" dxfId="92" priority="118"/>
  </conditionalFormatting>
  <conditionalFormatting sqref="L712">
    <cfRule type="duplicateValues" dxfId="91" priority="117"/>
    <cfRule type="duplicateValues" dxfId="90" priority="116"/>
  </conditionalFormatting>
  <conditionalFormatting sqref="L713">
    <cfRule type="duplicateValues" dxfId="89" priority="114"/>
    <cfRule type="duplicateValues" dxfId="88" priority="115"/>
  </conditionalFormatting>
  <conditionalFormatting sqref="L714">
    <cfRule type="duplicateValues" dxfId="87" priority="170"/>
    <cfRule type="duplicateValues" dxfId="86" priority="171"/>
  </conditionalFormatting>
  <conditionalFormatting sqref="L715">
    <cfRule type="duplicateValues" dxfId="85" priority="112"/>
    <cfRule type="duplicateValues" dxfId="84" priority="113"/>
  </conditionalFormatting>
  <conditionalFormatting sqref="L716">
    <cfRule type="duplicateValues" dxfId="83" priority="110"/>
    <cfRule type="duplicateValues" dxfId="82" priority="111"/>
  </conditionalFormatting>
  <conditionalFormatting sqref="L717">
    <cfRule type="duplicateValues" dxfId="81" priority="108"/>
    <cfRule type="duplicateValues" dxfId="80" priority="109"/>
  </conditionalFormatting>
  <conditionalFormatting sqref="L718">
    <cfRule type="duplicateValues" dxfId="79" priority="166"/>
    <cfRule type="duplicateValues" dxfId="78" priority="167"/>
  </conditionalFormatting>
  <conditionalFormatting sqref="L719">
    <cfRule type="duplicateValues" dxfId="77" priority="164"/>
    <cfRule type="duplicateValues" dxfId="76" priority="165"/>
  </conditionalFormatting>
  <conditionalFormatting sqref="L720">
    <cfRule type="duplicateValues" dxfId="75" priority="168"/>
    <cfRule type="duplicateValues" dxfId="74" priority="169"/>
  </conditionalFormatting>
  <conditionalFormatting sqref="L722">
    <cfRule type="duplicateValues" dxfId="73" priority="159"/>
    <cfRule type="duplicateValues" dxfId="72" priority="158"/>
  </conditionalFormatting>
  <conditionalFormatting sqref="L723">
    <cfRule type="duplicateValues" dxfId="71" priority="156"/>
    <cfRule type="duplicateValues" dxfId="70" priority="157"/>
  </conditionalFormatting>
  <conditionalFormatting sqref="L724">
    <cfRule type="duplicateValues" dxfId="69" priority="107"/>
    <cfRule type="duplicateValues" dxfId="68" priority="106"/>
  </conditionalFormatting>
  <conditionalFormatting sqref="L725">
    <cfRule type="duplicateValues" dxfId="67" priority="162"/>
    <cfRule type="duplicateValues" dxfId="66" priority="163"/>
  </conditionalFormatting>
  <conditionalFormatting sqref="L726">
    <cfRule type="duplicateValues" dxfId="65" priority="78"/>
    <cfRule type="duplicateValues" dxfId="64" priority="77"/>
  </conditionalFormatting>
  <conditionalFormatting sqref="L727">
    <cfRule type="duplicateValues" dxfId="63" priority="173"/>
    <cfRule type="duplicateValues" dxfId="62" priority="172"/>
  </conditionalFormatting>
  <conditionalFormatting sqref="L728">
    <cfRule type="duplicateValues" dxfId="61" priority="161"/>
    <cfRule type="duplicateValues" dxfId="60" priority="160"/>
  </conditionalFormatting>
  <conditionalFormatting sqref="L729">
    <cfRule type="duplicateValues" dxfId="59" priority="76"/>
    <cfRule type="duplicateValues" dxfId="58" priority="75"/>
  </conditionalFormatting>
  <conditionalFormatting sqref="L730:L732 L734:L736 L721 L738:L743">
    <cfRule type="duplicateValues" dxfId="57" priority="175"/>
    <cfRule type="duplicateValues" dxfId="56" priority="174"/>
  </conditionalFormatting>
  <conditionalFormatting sqref="L733">
    <cfRule type="duplicateValues" dxfId="55" priority="97"/>
    <cfRule type="duplicateValues" dxfId="54" priority="98"/>
  </conditionalFormatting>
  <conditionalFormatting sqref="L737">
    <cfRule type="duplicateValues" dxfId="53" priority="128"/>
    <cfRule type="duplicateValues" dxfId="52" priority="129"/>
  </conditionalFormatting>
  <conditionalFormatting sqref="L745">
    <cfRule type="duplicateValues" dxfId="51" priority="67"/>
    <cfRule type="duplicateValues" dxfId="50" priority="66"/>
  </conditionalFormatting>
  <conditionalFormatting sqref="L746">
    <cfRule type="duplicateValues" dxfId="49" priority="50"/>
    <cfRule type="duplicateValues" dxfId="48" priority="51"/>
  </conditionalFormatting>
  <conditionalFormatting sqref="L747">
    <cfRule type="duplicateValues" dxfId="47" priority="15"/>
    <cfRule type="duplicateValues" dxfId="46" priority="16"/>
  </conditionalFormatting>
  <conditionalFormatting sqref="L748">
    <cfRule type="duplicateValues" dxfId="45" priority="37"/>
    <cfRule type="duplicateValues" dxfId="44" priority="36"/>
  </conditionalFormatting>
  <conditionalFormatting sqref="L749">
    <cfRule type="duplicateValues" dxfId="43" priority="41"/>
    <cfRule type="duplicateValues" dxfId="42" priority="40"/>
  </conditionalFormatting>
  <conditionalFormatting sqref="L750">
    <cfRule type="duplicateValues" dxfId="41" priority="45"/>
    <cfRule type="duplicateValues" dxfId="40" priority="44"/>
  </conditionalFormatting>
  <conditionalFormatting sqref="L751">
    <cfRule type="duplicateValues" dxfId="39" priority="43"/>
    <cfRule type="duplicateValues" dxfId="38" priority="42"/>
  </conditionalFormatting>
  <conditionalFormatting sqref="L752">
    <cfRule type="duplicateValues" dxfId="37" priority="49"/>
    <cfRule type="duplicateValues" dxfId="36" priority="48"/>
  </conditionalFormatting>
  <conditionalFormatting sqref="L753">
    <cfRule type="duplicateValues" dxfId="35" priority="47"/>
    <cfRule type="duplicateValues" dxfId="34" priority="46"/>
  </conditionalFormatting>
  <conditionalFormatting sqref="L754">
    <cfRule type="duplicateValues" dxfId="33" priority="25"/>
    <cfRule type="duplicateValues" dxfId="32" priority="24"/>
  </conditionalFormatting>
  <conditionalFormatting sqref="L755">
    <cfRule type="duplicateValues" dxfId="31" priority="22"/>
    <cfRule type="duplicateValues" dxfId="30" priority="23"/>
  </conditionalFormatting>
  <conditionalFormatting sqref="L756">
    <cfRule type="duplicateValues" dxfId="29" priority="9"/>
    <cfRule type="duplicateValues" dxfId="28" priority="8"/>
  </conditionalFormatting>
  <conditionalFormatting sqref="L757">
    <cfRule type="duplicateValues" dxfId="27" priority="34"/>
    <cfRule type="duplicateValues" dxfId="26" priority="35"/>
  </conditionalFormatting>
  <conditionalFormatting sqref="L758">
    <cfRule type="duplicateValues" dxfId="25" priority="19"/>
    <cfRule type="duplicateValues" dxfId="24" priority="18"/>
  </conditionalFormatting>
  <conditionalFormatting sqref="L759">
    <cfRule type="duplicateValues" dxfId="23" priority="55"/>
    <cfRule type="duplicateValues" dxfId="22" priority="54"/>
  </conditionalFormatting>
  <conditionalFormatting sqref="L760">
    <cfRule type="duplicateValues" dxfId="21" priority="53"/>
    <cfRule type="duplicateValues" dxfId="20" priority="52"/>
  </conditionalFormatting>
  <conditionalFormatting sqref="L761">
    <cfRule type="duplicateValues" dxfId="19" priority="32"/>
    <cfRule type="duplicateValues" dxfId="18" priority="33"/>
  </conditionalFormatting>
  <conditionalFormatting sqref="L762">
    <cfRule type="duplicateValues" dxfId="17" priority="21"/>
    <cfRule type="duplicateValues" dxfId="16" priority="20"/>
  </conditionalFormatting>
  <conditionalFormatting sqref="L763">
    <cfRule type="duplicateValues" dxfId="15" priority="39"/>
    <cfRule type="duplicateValues" dxfId="14" priority="38"/>
  </conditionalFormatting>
  <conditionalFormatting sqref="L764">
    <cfRule type="duplicateValues" dxfId="13" priority="58"/>
    <cfRule type="duplicateValues" dxfId="12" priority="59"/>
  </conditionalFormatting>
  <conditionalFormatting sqref="L765:L766">
    <cfRule type="duplicateValues" dxfId="11" priority="56"/>
    <cfRule type="duplicateValues" dxfId="10" priority="57"/>
  </conditionalFormatting>
  <conditionalFormatting sqref="L767">
    <cfRule type="duplicateValues" dxfId="9" priority="31"/>
    <cfRule type="duplicateValues" dxfId="8" priority="30"/>
  </conditionalFormatting>
  <conditionalFormatting sqref="L768">
    <cfRule type="duplicateValues" dxfId="7" priority="29"/>
    <cfRule type="duplicateValues" dxfId="6" priority="28"/>
  </conditionalFormatting>
  <conditionalFormatting sqref="L769">
    <cfRule type="duplicateValues" dxfId="5" priority="62"/>
    <cfRule type="duplicateValues" dxfId="4" priority="63"/>
  </conditionalFormatting>
  <conditionalFormatting sqref="L770">
    <cfRule type="duplicateValues" dxfId="3" priority="27"/>
    <cfRule type="duplicateValues" dxfId="2" priority="26"/>
  </conditionalFormatting>
  <conditionalFormatting sqref="L771">
    <cfRule type="duplicateValues" dxfId="1" priority="60"/>
    <cfRule type="duplicateValues" dxfId="0" priority="61"/>
  </conditionalFormatting>
  <dataValidations count="2">
    <dataValidation type="list" allowBlank="1" showInputMessage="1" showErrorMessage="1" sqref="J4:J13 J16:J117 J119:J246 J248:J256 J258:J358 J360:J534 J536:J666 J669:J673 J675:J718 J720:J725 J727:J728 J730:J771" xr:uid="{00000000-0002-0000-0100-000000000000}">
      <formula1>"RMC,Road Project,Export,Infra,Others"</formula1>
    </dataValidation>
    <dataValidation type="list" allowBlank="1" showInputMessage="1" showErrorMessage="1" sqref="K4:K13 K16:K246 K248:K256 K258:K534 K536:K718 K720:K725 K727:K728 K730:K771" xr:uid="{00000000-0002-0000-0100-000001000000}">
      <formula1>"CASH,CREDIT"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Calyx_HP4</dc:creator>
  <cp:lastModifiedBy>k.sivaprasada@sgminerals.com</cp:lastModifiedBy>
  <dcterms:created xsi:type="dcterms:W3CDTF">2024-03-16T05:25:02Z</dcterms:created>
  <dcterms:modified xsi:type="dcterms:W3CDTF">2026-01-01T05:22:44Z</dcterms:modified>
</cp:coreProperties>
</file>